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6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4.xml" ContentType="application/vnd.openxmlformats-officedocument.drawing+xml"/>
  <Override PartName="/xl/drawings/drawing5.xml" ContentType="application/vnd.openxmlformats-officedocument.drawin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/>
  <bookViews>
    <workbookView xWindow="150" yWindow="525" windowWidth="18855" windowHeight="7365" activeTab="5"/>
  </bookViews>
  <sheets>
    <sheet name="CAPA" sheetId="1" r:id="rId1"/>
    <sheet name="Instruções" sheetId="2" r:id="rId2"/>
    <sheet name="FORN" sheetId="4" r:id="rId3"/>
    <sheet name="PROD" sheetId="3" r:id="rId4"/>
    <sheet name="ENTRADAS" sheetId="5" r:id="rId5"/>
    <sheet name="SAÍDAS" sheetId="6" r:id="rId6"/>
    <sheet name="CONT. ESTOQUE" sheetId="7" r:id="rId7"/>
    <sheet name="OBS" sheetId="8" r:id="rId8"/>
    <sheet name="Plan1" sheetId="9" r:id="rId9"/>
    <sheet name="Plan2" sheetId="10" r:id="rId10"/>
  </sheets>
  <calcPr calcId="125725"/>
</workbook>
</file>

<file path=xl/calcChain.xml><?xml version="1.0" encoding="utf-8"?>
<calcChain xmlns="http://schemas.openxmlformats.org/spreadsheetml/2006/main">
  <c r="J421" i="6"/>
  <c r="L421" s="1"/>
  <c r="K421"/>
  <c r="J422"/>
  <c r="K422"/>
  <c r="L422"/>
  <c r="J423"/>
  <c r="L423" s="1"/>
  <c r="K423"/>
  <c r="J424"/>
  <c r="K424"/>
  <c r="L424"/>
  <c r="J425"/>
  <c r="K425"/>
  <c r="L425"/>
  <c r="J426"/>
  <c r="L426" s="1"/>
  <c r="K426"/>
  <c r="J427"/>
  <c r="L427" s="1"/>
  <c r="K427"/>
  <c r="J428"/>
  <c r="L428" s="1"/>
  <c r="K428"/>
  <c r="J429"/>
  <c r="L429" s="1"/>
  <c r="K429"/>
  <c r="J430"/>
  <c r="L430" s="1"/>
  <c r="K430"/>
  <c r="J431"/>
  <c r="L431" s="1"/>
  <c r="K431"/>
  <c r="J432"/>
  <c r="L432" s="1"/>
  <c r="K432"/>
  <c r="J433"/>
  <c r="L433" s="1"/>
  <c r="K433"/>
  <c r="J434"/>
  <c r="L434" s="1"/>
  <c r="K434"/>
  <c r="J435"/>
  <c r="L435" s="1"/>
  <c r="K435"/>
  <c r="J436"/>
  <c r="L436" s="1"/>
  <c r="K436"/>
  <c r="J437"/>
  <c r="L437" s="1"/>
  <c r="K437"/>
  <c r="J438"/>
  <c r="K438"/>
  <c r="L438"/>
  <c r="J439"/>
  <c r="K439"/>
  <c r="L439"/>
  <c r="J440"/>
  <c r="L440" s="1"/>
  <c r="K440"/>
  <c r="J441"/>
  <c r="L441" s="1"/>
  <c r="K441"/>
  <c r="J442"/>
  <c r="L442" s="1"/>
  <c r="K442"/>
  <c r="J443"/>
  <c r="L443" s="1"/>
  <c r="K443"/>
  <c r="J444"/>
  <c r="L444" s="1"/>
  <c r="K444"/>
  <c r="J445"/>
  <c r="K445"/>
  <c r="L445"/>
  <c r="J446"/>
  <c r="K446"/>
  <c r="L446"/>
  <c r="J447"/>
  <c r="L447" s="1"/>
  <c r="K447"/>
  <c r="J448"/>
  <c r="K448"/>
  <c r="L448"/>
  <c r="J449"/>
  <c r="K449"/>
  <c r="L449"/>
  <c r="J450"/>
  <c r="L450" s="1"/>
  <c r="K450"/>
  <c r="J451"/>
  <c r="L451" s="1"/>
  <c r="K451"/>
  <c r="J452"/>
  <c r="K452"/>
  <c r="L452"/>
  <c r="J453"/>
  <c r="K453"/>
  <c r="L453"/>
  <c r="J454"/>
  <c r="L454" s="1"/>
  <c r="K454"/>
  <c r="J455"/>
  <c r="K455"/>
  <c r="L455"/>
  <c r="J456"/>
  <c r="K456"/>
  <c r="L456"/>
  <c r="J457"/>
  <c r="L457" s="1"/>
  <c r="K457"/>
  <c r="J458"/>
  <c r="L458" s="1"/>
  <c r="K458"/>
  <c r="J459"/>
  <c r="K459"/>
  <c r="L459"/>
  <c r="J460"/>
  <c r="L460" s="1"/>
  <c r="K460"/>
  <c r="J461"/>
  <c r="L461" s="1"/>
  <c r="K461"/>
  <c r="J462"/>
  <c r="L462" s="1"/>
  <c r="K462"/>
  <c r="J463"/>
  <c r="K463"/>
  <c r="L463"/>
  <c r="J464"/>
  <c r="K464"/>
  <c r="L464"/>
  <c r="J465"/>
  <c r="L465" s="1"/>
  <c r="K465"/>
  <c r="J466"/>
  <c r="L466" s="1"/>
  <c r="K466"/>
  <c r="J467"/>
  <c r="L467" s="1"/>
  <c r="K467"/>
  <c r="J468"/>
  <c r="L468" s="1"/>
  <c r="K468"/>
  <c r="J469"/>
  <c r="L469" s="1"/>
  <c r="K469"/>
  <c r="J470"/>
  <c r="L470" s="1"/>
  <c r="K470"/>
  <c r="J471"/>
  <c r="L471" s="1"/>
  <c r="K471"/>
  <c r="J472"/>
  <c r="L472" s="1"/>
  <c r="K472"/>
  <c r="J473"/>
  <c r="K473"/>
  <c r="L473"/>
  <c r="J474"/>
  <c r="K474"/>
  <c r="L474"/>
  <c r="J475"/>
  <c r="K475"/>
  <c r="L475"/>
  <c r="J476"/>
  <c r="K476"/>
  <c r="L476"/>
  <c r="J477"/>
  <c r="K477"/>
  <c r="L477"/>
  <c r="J478"/>
  <c r="K478"/>
  <c r="L478"/>
  <c r="J479"/>
  <c r="K479"/>
  <c r="L479"/>
  <c r="J480"/>
  <c r="K480"/>
  <c r="L480"/>
  <c r="J481"/>
  <c r="K481"/>
  <c r="L481"/>
  <c r="J482"/>
  <c r="K482"/>
  <c r="L482"/>
  <c r="J483"/>
  <c r="K483"/>
  <c r="L483"/>
  <c r="J484"/>
  <c r="K484"/>
  <c r="L484"/>
  <c r="J485"/>
  <c r="K485"/>
  <c r="L485"/>
  <c r="J486"/>
  <c r="K486"/>
  <c r="L486"/>
  <c r="J487"/>
  <c r="K487"/>
  <c r="L487"/>
  <c r="J488"/>
  <c r="K488"/>
  <c r="L488"/>
  <c r="J489"/>
  <c r="K489"/>
  <c r="L489"/>
  <c r="J490"/>
  <c r="K490"/>
  <c r="L490"/>
  <c r="J491"/>
  <c r="K491"/>
  <c r="L491"/>
  <c r="J391"/>
  <c r="L391" s="1"/>
  <c r="K391"/>
  <c r="J392"/>
  <c r="K392"/>
  <c r="L392"/>
  <c r="J393"/>
  <c r="L393" s="1"/>
  <c r="K393"/>
  <c r="J394"/>
  <c r="L394" s="1"/>
  <c r="K394"/>
  <c r="J395"/>
  <c r="L395" s="1"/>
  <c r="K395"/>
  <c r="J396"/>
  <c r="K396"/>
  <c r="L396"/>
  <c r="J397"/>
  <c r="K397"/>
  <c r="L397"/>
  <c r="J398"/>
  <c r="L398" s="1"/>
  <c r="K398"/>
  <c r="J399"/>
  <c r="L399" s="1"/>
  <c r="K399"/>
  <c r="J400"/>
  <c r="L400" s="1"/>
  <c r="K400"/>
  <c r="J401"/>
  <c r="L401" s="1"/>
  <c r="K401"/>
  <c r="J402"/>
  <c r="K402"/>
  <c r="L402"/>
  <c r="J403"/>
  <c r="L403" s="1"/>
  <c r="K403"/>
  <c r="J404"/>
  <c r="K404"/>
  <c r="L404"/>
  <c r="J405"/>
  <c r="K405"/>
  <c r="L405"/>
  <c r="J406"/>
  <c r="L406" s="1"/>
  <c r="K406"/>
  <c r="J407"/>
  <c r="K407"/>
  <c r="L407"/>
  <c r="J408"/>
  <c r="K408"/>
  <c r="L408"/>
  <c r="J409"/>
  <c r="L409" s="1"/>
  <c r="K409"/>
  <c r="J410"/>
  <c r="L410" s="1"/>
  <c r="K410"/>
  <c r="J411"/>
  <c r="L411" s="1"/>
  <c r="K411"/>
  <c r="J412"/>
  <c r="L412" s="1"/>
  <c r="K412"/>
  <c r="J413"/>
  <c r="L413" s="1"/>
  <c r="K413"/>
  <c r="J414"/>
  <c r="K414"/>
  <c r="L414"/>
  <c r="J415"/>
  <c r="K415"/>
  <c r="L415"/>
  <c r="J416"/>
  <c r="L416" s="1"/>
  <c r="K416"/>
  <c r="J417"/>
  <c r="L417" s="1"/>
  <c r="K417"/>
  <c r="J418"/>
  <c r="L418" s="1"/>
  <c r="K418"/>
  <c r="J419"/>
  <c r="L419" s="1"/>
  <c r="K419"/>
  <c r="J420"/>
  <c r="L420" s="1"/>
  <c r="K420"/>
  <c r="J337" l="1"/>
  <c r="L337" s="1"/>
  <c r="J338"/>
  <c r="L338" s="1"/>
  <c r="J339"/>
  <c r="L339" s="1"/>
  <c r="J340"/>
  <c r="L340" s="1"/>
  <c r="J341"/>
  <c r="L341" s="1"/>
  <c r="K341"/>
  <c r="J342"/>
  <c r="L342" s="1"/>
  <c r="K342"/>
  <c r="J343"/>
  <c r="L343" s="1"/>
  <c r="K343"/>
  <c r="J344"/>
  <c r="L344" s="1"/>
  <c r="K344"/>
  <c r="J345"/>
  <c r="L345" s="1"/>
  <c r="K345"/>
  <c r="J346"/>
  <c r="L346" s="1"/>
  <c r="K346"/>
  <c r="J347"/>
  <c r="L347" s="1"/>
  <c r="K347"/>
  <c r="J348"/>
  <c r="L348" s="1"/>
  <c r="K348"/>
  <c r="J349"/>
  <c r="L349" s="1"/>
  <c r="K349"/>
  <c r="J350"/>
  <c r="L350" s="1"/>
  <c r="K350"/>
  <c r="J351"/>
  <c r="K351"/>
  <c r="L351"/>
  <c r="J352"/>
  <c r="L352" s="1"/>
  <c r="K352"/>
  <c r="J353"/>
  <c r="L353" s="1"/>
  <c r="K353"/>
  <c r="J354"/>
  <c r="L354" s="1"/>
  <c r="K354"/>
  <c r="J355"/>
  <c r="L355" s="1"/>
  <c r="K355"/>
  <c r="J356"/>
  <c r="L356" s="1"/>
  <c r="K356"/>
  <c r="J357"/>
  <c r="L357" s="1"/>
  <c r="K357"/>
  <c r="J358"/>
  <c r="L358" s="1"/>
  <c r="K358"/>
  <c r="J359"/>
  <c r="L359" s="1"/>
  <c r="K359"/>
  <c r="J360"/>
  <c r="L360" s="1"/>
  <c r="K360"/>
  <c r="J361"/>
  <c r="L361" s="1"/>
  <c r="K361"/>
  <c r="J362"/>
  <c r="L362" s="1"/>
  <c r="K362"/>
  <c r="J363"/>
  <c r="L363" s="1"/>
  <c r="K363"/>
  <c r="J364"/>
  <c r="L364" s="1"/>
  <c r="K364"/>
  <c r="J365"/>
  <c r="L365" s="1"/>
  <c r="K365"/>
  <c r="J366"/>
  <c r="L366" s="1"/>
  <c r="K366"/>
  <c r="J367"/>
  <c r="L367" s="1"/>
  <c r="K367"/>
  <c r="J368"/>
  <c r="L368" s="1"/>
  <c r="K368"/>
  <c r="J369"/>
  <c r="L369" s="1"/>
  <c r="K369"/>
  <c r="J370"/>
  <c r="L370" s="1"/>
  <c r="K370"/>
  <c r="J371"/>
  <c r="L371" s="1"/>
  <c r="K371"/>
  <c r="J372"/>
  <c r="L372" s="1"/>
  <c r="K372"/>
  <c r="J373"/>
  <c r="L373" s="1"/>
  <c r="K373"/>
  <c r="J374"/>
  <c r="L374" s="1"/>
  <c r="K374"/>
  <c r="J375"/>
  <c r="L375" s="1"/>
  <c r="K375"/>
  <c r="J376"/>
  <c r="L376" s="1"/>
  <c r="K376"/>
  <c r="J377"/>
  <c r="L377" s="1"/>
  <c r="K377"/>
  <c r="J378"/>
  <c r="L378" s="1"/>
  <c r="K378"/>
  <c r="J379"/>
  <c r="L379" s="1"/>
  <c r="K379"/>
  <c r="J380"/>
  <c r="L380" s="1"/>
  <c r="K380"/>
  <c r="J381"/>
  <c r="L381" s="1"/>
  <c r="K381"/>
  <c r="J382"/>
  <c r="K382"/>
  <c r="L382"/>
  <c r="J383"/>
  <c r="L383" s="1"/>
  <c r="K383"/>
  <c r="J384"/>
  <c r="L384" s="1"/>
  <c r="K384"/>
  <c r="J385"/>
  <c r="L385" s="1"/>
  <c r="K385"/>
  <c r="J386"/>
  <c r="K386"/>
  <c r="L386"/>
  <c r="J387"/>
  <c r="L387" s="1"/>
  <c r="K387"/>
  <c r="J388"/>
  <c r="L388" s="1"/>
  <c r="K388"/>
  <c r="J389"/>
  <c r="L389" s="1"/>
  <c r="K389"/>
  <c r="J390"/>
  <c r="L390" s="1"/>
  <c r="K390"/>
  <c r="J325" l="1"/>
  <c r="L325" s="1"/>
  <c r="J326"/>
  <c r="L326" s="1"/>
  <c r="J327"/>
  <c r="L327" s="1"/>
  <c r="J328"/>
  <c r="L328" s="1"/>
  <c r="J329"/>
  <c r="L329" s="1"/>
  <c r="J330"/>
  <c r="L330" s="1"/>
  <c r="K330"/>
  <c r="J331"/>
  <c r="L331" s="1"/>
  <c r="J332"/>
  <c r="L332" s="1"/>
  <c r="J333"/>
  <c r="L333" s="1"/>
  <c r="J334"/>
  <c r="L334" s="1"/>
  <c r="J335"/>
  <c r="L335" s="1"/>
  <c r="J336"/>
  <c r="L336" s="1"/>
  <c r="J320"/>
  <c r="L320" s="1"/>
  <c r="K320"/>
  <c r="J321"/>
  <c r="J322"/>
  <c r="L322" s="1"/>
  <c r="J323"/>
  <c r="L323" s="1"/>
  <c r="K323"/>
  <c r="J324"/>
  <c r="L324" s="1"/>
  <c r="L321" l="1"/>
  <c r="B210" i="7" l="1"/>
  <c r="B204" l="1"/>
  <c r="D204" s="1"/>
  <c r="B146"/>
  <c r="D146" s="1"/>
  <c r="B56"/>
  <c r="D56" s="1"/>
  <c r="B79"/>
  <c r="D79" s="1"/>
  <c r="B94"/>
  <c r="B115"/>
  <c r="B279"/>
  <c r="D279" s="1"/>
  <c r="B280"/>
  <c r="B281"/>
  <c r="B282"/>
  <c r="D282" s="1"/>
  <c r="B283"/>
  <c r="H234" i="5"/>
  <c r="H235"/>
  <c r="B288" i="7"/>
  <c r="D288" s="1"/>
  <c r="B289"/>
  <c r="D289" s="1"/>
  <c r="G288" i="3"/>
  <c r="F288"/>
  <c r="G289"/>
  <c r="F289"/>
  <c r="H174" i="5"/>
  <c r="H173"/>
  <c r="H169"/>
  <c r="H166"/>
  <c r="H165"/>
  <c r="H133"/>
  <c r="H13"/>
  <c r="H14"/>
  <c r="H204" i="7"/>
  <c r="G204" i="3"/>
  <c r="F204"/>
  <c r="B105" i="7"/>
  <c r="G105" i="3"/>
  <c r="F105"/>
  <c r="B36" i="7"/>
  <c r="D36" s="1"/>
  <c r="B35"/>
  <c r="G36" i="3"/>
  <c r="F36"/>
  <c r="G35"/>
  <c r="F35"/>
  <c r="B77" i="7"/>
  <c r="B78"/>
  <c r="D78" s="1"/>
  <c r="G77" i="3"/>
  <c r="F77"/>
  <c r="G78"/>
  <c r="F78"/>
  <c r="B250" i="7"/>
  <c r="D250" s="1"/>
  <c r="B249"/>
  <c r="D249" s="1"/>
  <c r="B248"/>
  <c r="B247"/>
  <c r="D247" s="1"/>
  <c r="B246"/>
  <c r="B245"/>
  <c r="D245" s="1"/>
  <c r="B244"/>
  <c r="D244" s="1"/>
  <c r="G250" i="3"/>
  <c r="F250"/>
  <c r="G249"/>
  <c r="F249"/>
  <c r="F248"/>
  <c r="G248"/>
  <c r="G247"/>
  <c r="F247"/>
  <c r="G246"/>
  <c r="F246"/>
  <c r="G245"/>
  <c r="F245"/>
  <c r="G244"/>
  <c r="F244"/>
  <c r="G495"/>
  <c r="F495"/>
  <c r="G494"/>
  <c r="F494"/>
  <c r="G493"/>
  <c r="F493"/>
  <c r="G492"/>
  <c r="F492"/>
  <c r="G491"/>
  <c r="F491"/>
  <c r="G490"/>
  <c r="F490"/>
  <c r="G489"/>
  <c r="F489"/>
  <c r="G488"/>
  <c r="F488"/>
  <c r="G487"/>
  <c r="F487"/>
  <c r="G486"/>
  <c r="F486"/>
  <c r="G485"/>
  <c r="F485"/>
  <c r="G484"/>
  <c r="F484"/>
  <c r="G483"/>
  <c r="F483"/>
  <c r="G482"/>
  <c r="F482"/>
  <c r="G481"/>
  <c r="F481"/>
  <c r="G480"/>
  <c r="F480"/>
  <c r="G479"/>
  <c r="F479"/>
  <c r="G478"/>
  <c r="F478"/>
  <c r="G477"/>
  <c r="F477"/>
  <c r="G476"/>
  <c r="F476"/>
  <c r="G475"/>
  <c r="F475"/>
  <c r="G474"/>
  <c r="F474"/>
  <c r="G473"/>
  <c r="F473"/>
  <c r="G472"/>
  <c r="F472"/>
  <c r="G471"/>
  <c r="F471"/>
  <c r="G470"/>
  <c r="F470"/>
  <c r="G469"/>
  <c r="F469"/>
  <c r="G468"/>
  <c r="F468"/>
  <c r="G467"/>
  <c r="F467"/>
  <c r="G466"/>
  <c r="F466"/>
  <c r="G465"/>
  <c r="F465"/>
  <c r="G464"/>
  <c r="F464"/>
  <c r="G463"/>
  <c r="F463"/>
  <c r="G462"/>
  <c r="F462"/>
  <c r="G461"/>
  <c r="F461"/>
  <c r="G460"/>
  <c r="F460"/>
  <c r="G459"/>
  <c r="F459"/>
  <c r="G458"/>
  <c r="F458"/>
  <c r="G457"/>
  <c r="F457"/>
  <c r="G456"/>
  <c r="F456"/>
  <c r="G455"/>
  <c r="F455"/>
  <c r="G454"/>
  <c r="F454"/>
  <c r="G453"/>
  <c r="F453"/>
  <c r="G452"/>
  <c r="F452"/>
  <c r="G451"/>
  <c r="F451"/>
  <c r="G450"/>
  <c r="F450"/>
  <c r="G449"/>
  <c r="F449"/>
  <c r="G448"/>
  <c r="F448"/>
  <c r="G447"/>
  <c r="F447"/>
  <c r="G446"/>
  <c r="F446"/>
  <c r="G445"/>
  <c r="F445"/>
  <c r="G444"/>
  <c r="F444"/>
  <c r="G443"/>
  <c r="F443"/>
  <c r="G442"/>
  <c r="F442"/>
  <c r="G441"/>
  <c r="F441"/>
  <c r="G440"/>
  <c r="F440"/>
  <c r="G439"/>
  <c r="F439"/>
  <c r="G438"/>
  <c r="F438"/>
  <c r="G437"/>
  <c r="F437"/>
  <c r="G436"/>
  <c r="F436"/>
  <c r="G435"/>
  <c r="F435"/>
  <c r="G434"/>
  <c r="F434"/>
  <c r="G433"/>
  <c r="F433"/>
  <c r="G432"/>
  <c r="F432"/>
  <c r="G431"/>
  <c r="F431"/>
  <c r="G430"/>
  <c r="F430"/>
  <c r="G429"/>
  <c r="F429"/>
  <c r="G428"/>
  <c r="F428"/>
  <c r="G427"/>
  <c r="F427"/>
  <c r="G426"/>
  <c r="F426"/>
  <c r="G425"/>
  <c r="F425"/>
  <c r="G424"/>
  <c r="F424"/>
  <c r="G423"/>
  <c r="F423"/>
  <c r="G422"/>
  <c r="F422"/>
  <c r="G421"/>
  <c r="F421"/>
  <c r="G420"/>
  <c r="F420"/>
  <c r="G419"/>
  <c r="F419"/>
  <c r="G418"/>
  <c r="F418"/>
  <c r="G417"/>
  <c r="F417"/>
  <c r="G416"/>
  <c r="F416"/>
  <c r="G415"/>
  <c r="F415"/>
  <c r="G414"/>
  <c r="F414"/>
  <c r="G413"/>
  <c r="F413"/>
  <c r="G412"/>
  <c r="F412"/>
  <c r="G411"/>
  <c r="F411"/>
  <c r="G410"/>
  <c r="F410"/>
  <c r="G409"/>
  <c r="F409"/>
  <c r="G408"/>
  <c r="F408"/>
  <c r="G407"/>
  <c r="F407"/>
  <c r="G406"/>
  <c r="F406"/>
  <c r="G405"/>
  <c r="F405"/>
  <c r="G404"/>
  <c r="F404"/>
  <c r="G403"/>
  <c r="F403"/>
  <c r="G402"/>
  <c r="F402"/>
  <c r="G401"/>
  <c r="F401"/>
  <c r="G400"/>
  <c r="F400"/>
  <c r="G399"/>
  <c r="F399"/>
  <c r="G398"/>
  <c r="F398"/>
  <c r="G397"/>
  <c r="F397"/>
  <c r="G396"/>
  <c r="F396"/>
  <c r="H485" i="5"/>
  <c r="H484"/>
  <c r="H483"/>
  <c r="H482"/>
  <c r="H481"/>
  <c r="H480"/>
  <c r="H479"/>
  <c r="H478"/>
  <c r="H477"/>
  <c r="H476"/>
  <c r="H475"/>
  <c r="H474"/>
  <c r="H473"/>
  <c r="H472"/>
  <c r="H471"/>
  <c r="H470"/>
  <c r="H469"/>
  <c r="H468"/>
  <c r="H467"/>
  <c r="H466"/>
  <c r="H465"/>
  <c r="H464"/>
  <c r="H463"/>
  <c r="H462"/>
  <c r="H461"/>
  <c r="H460"/>
  <c r="H459"/>
  <c r="H458"/>
  <c r="H457"/>
  <c r="H456"/>
  <c r="H455"/>
  <c r="H454"/>
  <c r="H453"/>
  <c r="H452"/>
  <c r="H451"/>
  <c r="H450"/>
  <c r="H449"/>
  <c r="H448"/>
  <c r="H447"/>
  <c r="H446"/>
  <c r="H445"/>
  <c r="H444"/>
  <c r="H443"/>
  <c r="H442"/>
  <c r="H441"/>
  <c r="H440"/>
  <c r="H439"/>
  <c r="H438"/>
  <c r="H437"/>
  <c r="H436"/>
  <c r="H435"/>
  <c r="H434"/>
  <c r="H433"/>
  <c r="H432"/>
  <c r="H431"/>
  <c r="H430"/>
  <c r="H429"/>
  <c r="H428"/>
  <c r="H427"/>
  <c r="H426"/>
  <c r="H425"/>
  <c r="H424"/>
  <c r="H423"/>
  <c r="H422"/>
  <c r="H421"/>
  <c r="H420"/>
  <c r="H419"/>
  <c r="H418"/>
  <c r="H417"/>
  <c r="H416"/>
  <c r="H415"/>
  <c r="H414"/>
  <c r="H413"/>
  <c r="H412"/>
  <c r="H411"/>
  <c r="H410"/>
  <c r="H409"/>
  <c r="H408"/>
  <c r="H407"/>
  <c r="H406"/>
  <c r="H405"/>
  <c r="H404"/>
  <c r="H403"/>
  <c r="H402"/>
  <c r="H401"/>
  <c r="H400"/>
  <c r="H399"/>
  <c r="H398"/>
  <c r="H397"/>
  <c r="H396"/>
  <c r="H395"/>
  <c r="H394"/>
  <c r="H393"/>
  <c r="H392"/>
  <c r="H391"/>
  <c r="H390"/>
  <c r="H389"/>
  <c r="H388"/>
  <c r="H387"/>
  <c r="H386"/>
  <c r="H385"/>
  <c r="H384"/>
  <c r="H383"/>
  <c r="H382"/>
  <c r="H381"/>
  <c r="H380"/>
  <c r="H379"/>
  <c r="H378"/>
  <c r="H377"/>
  <c r="H376"/>
  <c r="H375"/>
  <c r="H374"/>
  <c r="H373"/>
  <c r="H372"/>
  <c r="H371"/>
  <c r="H370"/>
  <c r="H369"/>
  <c r="H368"/>
  <c r="H367"/>
  <c r="H366"/>
  <c r="H365"/>
  <c r="H364"/>
  <c r="H363"/>
  <c r="H362"/>
  <c r="H361"/>
  <c r="H360"/>
  <c r="H359"/>
  <c r="H358"/>
  <c r="H357"/>
  <c r="H356"/>
  <c r="H355"/>
  <c r="H354"/>
  <c r="H353"/>
  <c r="H352"/>
  <c r="H351"/>
  <c r="H350"/>
  <c r="H349"/>
  <c r="H348"/>
  <c r="H347"/>
  <c r="H346"/>
  <c r="H345"/>
  <c r="H344"/>
  <c r="H343"/>
  <c r="H342"/>
  <c r="H341"/>
  <c r="H340"/>
  <c r="H339"/>
  <c r="H338"/>
  <c r="H337"/>
  <c r="H336"/>
  <c r="H335"/>
  <c r="H334"/>
  <c r="H333"/>
  <c r="H332"/>
  <c r="H331"/>
  <c r="H330"/>
  <c r="H329"/>
  <c r="H328"/>
  <c r="H327"/>
  <c r="H326"/>
  <c r="H325"/>
  <c r="B396" i="7"/>
  <c r="D396" s="1"/>
  <c r="B397"/>
  <c r="D397" s="1"/>
  <c r="B398"/>
  <c r="B399"/>
  <c r="B400"/>
  <c r="D400" s="1"/>
  <c r="B401"/>
  <c r="B402"/>
  <c r="B403"/>
  <c r="B404"/>
  <c r="D404" s="1"/>
  <c r="B405"/>
  <c r="B406"/>
  <c r="B407"/>
  <c r="B408"/>
  <c r="D408" s="1"/>
  <c r="B409"/>
  <c r="B410"/>
  <c r="B411"/>
  <c r="B412"/>
  <c r="D412" s="1"/>
  <c r="B413"/>
  <c r="B414"/>
  <c r="B415"/>
  <c r="B416"/>
  <c r="D416" s="1"/>
  <c r="B417"/>
  <c r="B418"/>
  <c r="B419"/>
  <c r="B420"/>
  <c r="D420" s="1"/>
  <c r="B421"/>
  <c r="B422"/>
  <c r="B423"/>
  <c r="B424"/>
  <c r="D424" s="1"/>
  <c r="B425"/>
  <c r="B426"/>
  <c r="B427"/>
  <c r="B428"/>
  <c r="D428" s="1"/>
  <c r="B429"/>
  <c r="B430"/>
  <c r="B431"/>
  <c r="B432"/>
  <c r="D432" s="1"/>
  <c r="B433"/>
  <c r="B434"/>
  <c r="B435"/>
  <c r="B436"/>
  <c r="D436" s="1"/>
  <c r="B437"/>
  <c r="B438"/>
  <c r="B439"/>
  <c r="B440"/>
  <c r="D440" s="1"/>
  <c r="B441"/>
  <c r="B442"/>
  <c r="B443"/>
  <c r="B444"/>
  <c r="D444" s="1"/>
  <c r="B445"/>
  <c r="B446"/>
  <c r="B447"/>
  <c r="B448"/>
  <c r="D448" s="1"/>
  <c r="B449"/>
  <c r="B450"/>
  <c r="B451"/>
  <c r="B452"/>
  <c r="D452" s="1"/>
  <c r="B453"/>
  <c r="B454"/>
  <c r="B455"/>
  <c r="B456"/>
  <c r="D456" s="1"/>
  <c r="B457"/>
  <c r="B458"/>
  <c r="B459"/>
  <c r="B460"/>
  <c r="D460" s="1"/>
  <c r="B461"/>
  <c r="B462"/>
  <c r="B463"/>
  <c r="B464"/>
  <c r="D464" s="1"/>
  <c r="B465"/>
  <c r="B466"/>
  <c r="B467"/>
  <c r="B468"/>
  <c r="D468" s="1"/>
  <c r="B469"/>
  <c r="B470"/>
  <c r="B471"/>
  <c r="B472"/>
  <c r="D472" s="1"/>
  <c r="B473"/>
  <c r="B474"/>
  <c r="B475"/>
  <c r="B476"/>
  <c r="D476" s="1"/>
  <c r="B477"/>
  <c r="B478"/>
  <c r="B479"/>
  <c r="B480"/>
  <c r="D480" s="1"/>
  <c r="B481"/>
  <c r="B482"/>
  <c r="B483"/>
  <c r="B484"/>
  <c r="D484" s="1"/>
  <c r="B485"/>
  <c r="B486"/>
  <c r="B487"/>
  <c r="B488"/>
  <c r="D488" s="1"/>
  <c r="B489"/>
  <c r="B490"/>
  <c r="B491"/>
  <c r="B492"/>
  <c r="D492" s="1"/>
  <c r="B493"/>
  <c r="B494"/>
  <c r="B495"/>
  <c r="B213"/>
  <c r="D213" s="1"/>
  <c r="B214"/>
  <c r="D214" s="1"/>
  <c r="B215"/>
  <c r="D215" s="1"/>
  <c r="G213" i="3"/>
  <c r="F213"/>
  <c r="G214"/>
  <c r="F214"/>
  <c r="G215"/>
  <c r="F215"/>
  <c r="B240" i="7"/>
  <c r="D240" s="1"/>
  <c r="B241"/>
  <c r="D241" s="1"/>
  <c r="B242"/>
  <c r="H202" i="5"/>
  <c r="H201"/>
  <c r="G243" i="3"/>
  <c r="F243"/>
  <c r="G242"/>
  <c r="F242"/>
  <c r="G241"/>
  <c r="F241"/>
  <c r="G240"/>
  <c r="F240"/>
  <c r="B219" i="7"/>
  <c r="D219" s="1"/>
  <c r="B211"/>
  <c r="D211" s="1"/>
  <c r="B218"/>
  <c r="B217"/>
  <c r="D217" s="1"/>
  <c r="B216"/>
  <c r="D216" s="1"/>
  <c r="B212"/>
  <c r="D212" s="1"/>
  <c r="B220"/>
  <c r="D220" s="1"/>
  <c r="B221"/>
  <c r="D221" s="1"/>
  <c r="B222"/>
  <c r="D222" s="1"/>
  <c r="H200" i="5"/>
  <c r="H199"/>
  <c r="H198"/>
  <c r="H197"/>
  <c r="H196"/>
  <c r="H195"/>
  <c r="H194"/>
  <c r="H193"/>
  <c r="H192"/>
  <c r="H191"/>
  <c r="H190"/>
  <c r="H189"/>
  <c r="H188"/>
  <c r="H187"/>
  <c r="H186"/>
  <c r="H185"/>
  <c r="B239" i="7"/>
  <c r="D239" s="1"/>
  <c r="B238"/>
  <c r="D238" s="1"/>
  <c r="B237"/>
  <c r="D237" s="1"/>
  <c r="B236"/>
  <c r="B235"/>
  <c r="D235" s="1"/>
  <c r="B234"/>
  <c r="D234" s="1"/>
  <c r="B233"/>
  <c r="D233" s="1"/>
  <c r="G233" i="3"/>
  <c r="F233"/>
  <c r="G239"/>
  <c r="F239"/>
  <c r="G238"/>
  <c r="F238"/>
  <c r="G237"/>
  <c r="F237"/>
  <c r="G236"/>
  <c r="F236"/>
  <c r="G235"/>
  <c r="F235"/>
  <c r="B226" i="7"/>
  <c r="B225"/>
  <c r="G226" i="3"/>
  <c r="F226"/>
  <c r="G225"/>
  <c r="F225"/>
  <c r="B108" i="7"/>
  <c r="D108" s="1"/>
  <c r="G108" i="3"/>
  <c r="F108"/>
  <c r="H92" i="5"/>
  <c r="B292" i="7"/>
  <c r="B293"/>
  <c r="J56" i="6"/>
  <c r="L56" s="1"/>
  <c r="B232" i="7"/>
  <c r="D232" s="1"/>
  <c r="B231"/>
  <c r="D231" s="1"/>
  <c r="B230"/>
  <c r="D230" s="1"/>
  <c r="B229"/>
  <c r="D229" s="1"/>
  <c r="B228"/>
  <c r="D228" s="1"/>
  <c r="B227"/>
  <c r="D227" s="1"/>
  <c r="B224"/>
  <c r="D224" s="1"/>
  <c r="B223"/>
  <c r="D223" s="1"/>
  <c r="G229" i="3"/>
  <c r="F229"/>
  <c r="G232"/>
  <c r="F232"/>
  <c r="G231"/>
  <c r="F231"/>
  <c r="G230"/>
  <c r="F230"/>
  <c r="G228"/>
  <c r="F228"/>
  <c r="G227"/>
  <c r="F227"/>
  <c r="G224"/>
  <c r="F224"/>
  <c r="G223"/>
  <c r="F223"/>
  <c r="G222"/>
  <c r="F222"/>
  <c r="G221"/>
  <c r="F221"/>
  <c r="G220"/>
  <c r="F220"/>
  <c r="B243" i="7"/>
  <c r="D243" s="1"/>
  <c r="G211" i="3"/>
  <c r="F211"/>
  <c r="G219"/>
  <c r="F219"/>
  <c r="G218"/>
  <c r="F218"/>
  <c r="G217"/>
  <c r="F217"/>
  <c r="G216"/>
  <c r="F216"/>
  <c r="G212"/>
  <c r="F212"/>
  <c r="B192" i="7"/>
  <c r="D192" s="1"/>
  <c r="G192" i="3"/>
  <c r="F192"/>
  <c r="B147" i="7"/>
  <c r="D147" s="1"/>
  <c r="G147" i="3"/>
  <c r="F147"/>
  <c r="H125" i="5"/>
  <c r="B109" i="7"/>
  <c r="D109" s="1"/>
  <c r="H93" i="5"/>
  <c r="G109" i="3"/>
  <c r="F109"/>
  <c r="B44" i="7"/>
  <c r="D44" s="1"/>
  <c r="B42"/>
  <c r="B40"/>
  <c r="D40" s="1"/>
  <c r="H39" i="5"/>
  <c r="H37"/>
  <c r="H35"/>
  <c r="G40" i="3"/>
  <c r="F40"/>
  <c r="G42"/>
  <c r="F42"/>
  <c r="G44"/>
  <c r="F44"/>
  <c r="B34" i="7"/>
  <c r="D34" s="1"/>
  <c r="G34" i="3"/>
  <c r="F34"/>
  <c r="B26" i="7"/>
  <c r="G26" i="3"/>
  <c r="F26"/>
  <c r="H32" i="5"/>
  <c r="B278" i="7"/>
  <c r="D278" s="1"/>
  <c r="B277"/>
  <c r="D277" s="1"/>
  <c r="H203" i="5"/>
  <c r="B15" i="7"/>
  <c r="D15" s="1"/>
  <c r="B24"/>
  <c r="D24" s="1"/>
  <c r="B37"/>
  <c r="D37" s="1"/>
  <c r="B45"/>
  <c r="D45" s="1"/>
  <c r="B54"/>
  <c r="D54" s="1"/>
  <c r="B67"/>
  <c r="D67" s="1"/>
  <c r="B75"/>
  <c r="D75" s="1"/>
  <c r="B82"/>
  <c r="D82" s="1"/>
  <c r="B91"/>
  <c r="D91" s="1"/>
  <c r="B99"/>
  <c r="B106"/>
  <c r="D106" s="1"/>
  <c r="B112"/>
  <c r="D112" s="1"/>
  <c r="B118"/>
  <c r="D118" s="1"/>
  <c r="B122"/>
  <c r="D122" s="1"/>
  <c r="B132"/>
  <c r="D132" s="1"/>
  <c r="B139"/>
  <c r="D139" s="1"/>
  <c r="B145"/>
  <c r="D145" s="1"/>
  <c r="B151"/>
  <c r="D151" s="1"/>
  <c r="B157"/>
  <c r="D157" s="1"/>
  <c r="B170"/>
  <c r="D170" s="1"/>
  <c r="B176"/>
  <c r="D176" s="1"/>
  <c r="B184"/>
  <c r="D184" s="1"/>
  <c r="B190"/>
  <c r="B198"/>
  <c r="D198" s="1"/>
  <c r="B205"/>
  <c r="D205" s="1"/>
  <c r="F251" i="3"/>
  <c r="G251"/>
  <c r="B206" i="7"/>
  <c r="D206" s="1"/>
  <c r="B199"/>
  <c r="B191"/>
  <c r="D191" s="1"/>
  <c r="B185"/>
  <c r="D185" s="1"/>
  <c r="B177"/>
  <c r="D177" s="1"/>
  <c r="B171"/>
  <c r="D171" s="1"/>
  <c r="B158"/>
  <c r="D158" s="1"/>
  <c r="B152"/>
  <c r="D152" s="1"/>
  <c r="B140"/>
  <c r="D140" s="1"/>
  <c r="B133"/>
  <c r="D133" s="1"/>
  <c r="B123"/>
  <c r="D123" s="1"/>
  <c r="B119"/>
  <c r="B107"/>
  <c r="D107" s="1"/>
  <c r="B113"/>
  <c r="D113" s="1"/>
  <c r="B111"/>
  <c r="D111" s="1"/>
  <c r="B110"/>
  <c r="B100"/>
  <c r="D100" s="1"/>
  <c r="B92"/>
  <c r="D92" s="1"/>
  <c r="B93"/>
  <c r="B95"/>
  <c r="B96"/>
  <c r="B97"/>
  <c r="B83"/>
  <c r="D83" s="1"/>
  <c r="B84"/>
  <c r="D84" s="1"/>
  <c r="B76"/>
  <c r="D76" s="1"/>
  <c r="B68"/>
  <c r="D68" s="1"/>
  <c r="B55"/>
  <c r="D55" s="1"/>
  <c r="B38"/>
  <c r="D38" s="1"/>
  <c r="B39"/>
  <c r="B41"/>
  <c r="B43"/>
  <c r="B25"/>
  <c r="D25" s="1"/>
  <c r="B46"/>
  <c r="D46" s="1"/>
  <c r="C494" l="1"/>
  <c r="D494"/>
  <c r="F490"/>
  <c r="D490"/>
  <c r="C486"/>
  <c r="D486"/>
  <c r="F482"/>
  <c r="D482"/>
  <c r="C478"/>
  <c r="D478"/>
  <c r="F474"/>
  <c r="D474"/>
  <c r="C470"/>
  <c r="D470"/>
  <c r="F466"/>
  <c r="D466"/>
  <c r="C462"/>
  <c r="D462"/>
  <c r="F458"/>
  <c r="D458"/>
  <c r="C454"/>
  <c r="D454"/>
  <c r="F450"/>
  <c r="D450"/>
  <c r="C446"/>
  <c r="D446"/>
  <c r="F442"/>
  <c r="D442"/>
  <c r="C438"/>
  <c r="D438"/>
  <c r="F434"/>
  <c r="D434"/>
  <c r="C430"/>
  <c r="D430"/>
  <c r="F426"/>
  <c r="D426"/>
  <c r="C422"/>
  <c r="D422"/>
  <c r="F418"/>
  <c r="D418"/>
  <c r="F414"/>
  <c r="D414"/>
  <c r="F410"/>
  <c r="D410"/>
  <c r="F406"/>
  <c r="D406"/>
  <c r="F402"/>
  <c r="D402"/>
  <c r="C398"/>
  <c r="D398"/>
  <c r="H41"/>
  <c r="D41"/>
  <c r="H97"/>
  <c r="D97"/>
  <c r="C199"/>
  <c r="D199"/>
  <c r="I495"/>
  <c r="D495"/>
  <c r="I491"/>
  <c r="D491"/>
  <c r="I487"/>
  <c r="D487"/>
  <c r="I483"/>
  <c r="D483"/>
  <c r="I479"/>
  <c r="D479"/>
  <c r="I475"/>
  <c r="D475"/>
  <c r="I471"/>
  <c r="D471"/>
  <c r="I467"/>
  <c r="D467"/>
  <c r="I463"/>
  <c r="D463"/>
  <c r="I459"/>
  <c r="D459"/>
  <c r="I455"/>
  <c r="D455"/>
  <c r="I451"/>
  <c r="D451"/>
  <c r="I447"/>
  <c r="D447"/>
  <c r="I443"/>
  <c r="D443"/>
  <c r="I439"/>
  <c r="D439"/>
  <c r="I435"/>
  <c r="D435"/>
  <c r="I431"/>
  <c r="D431"/>
  <c r="I427"/>
  <c r="D427"/>
  <c r="I423"/>
  <c r="D423"/>
  <c r="I419"/>
  <c r="D419"/>
  <c r="I415"/>
  <c r="D415"/>
  <c r="I411"/>
  <c r="D411"/>
  <c r="I407"/>
  <c r="D407"/>
  <c r="I403"/>
  <c r="D403"/>
  <c r="I399"/>
  <c r="D399"/>
  <c r="C35"/>
  <c r="D35"/>
  <c r="C105"/>
  <c r="D105"/>
  <c r="H248"/>
  <c r="D248"/>
  <c r="H77"/>
  <c r="D77"/>
  <c r="I280"/>
  <c r="D280"/>
  <c r="H99"/>
  <c r="D99"/>
  <c r="C218"/>
  <c r="D218"/>
  <c r="C119"/>
  <c r="D119"/>
  <c r="C190"/>
  <c r="D190"/>
  <c r="C493"/>
  <c r="D493"/>
  <c r="C489"/>
  <c r="D489"/>
  <c r="C485"/>
  <c r="D485"/>
  <c r="C481"/>
  <c r="D481"/>
  <c r="C477"/>
  <c r="D477"/>
  <c r="C473"/>
  <c r="D473"/>
  <c r="C469"/>
  <c r="D469"/>
  <c r="C465"/>
  <c r="D465"/>
  <c r="C461"/>
  <c r="D461"/>
  <c r="C457"/>
  <c r="D457"/>
  <c r="C453"/>
  <c r="D453"/>
  <c r="C449"/>
  <c r="D449"/>
  <c r="C445"/>
  <c r="D445"/>
  <c r="C441"/>
  <c r="D441"/>
  <c r="C437"/>
  <c r="D437"/>
  <c r="C433"/>
  <c r="D433"/>
  <c r="C429"/>
  <c r="D429"/>
  <c r="C425"/>
  <c r="D425"/>
  <c r="C421"/>
  <c r="D421"/>
  <c r="C417"/>
  <c r="D417"/>
  <c r="C413"/>
  <c r="D413"/>
  <c r="C409"/>
  <c r="D409"/>
  <c r="C405"/>
  <c r="D405"/>
  <c r="C401"/>
  <c r="D401"/>
  <c r="C281"/>
  <c r="D281"/>
  <c r="C246"/>
  <c r="D246"/>
  <c r="H83"/>
  <c r="H224"/>
  <c r="H139"/>
  <c r="H82"/>
  <c r="H229"/>
  <c r="H216"/>
  <c r="C282"/>
  <c r="F279"/>
  <c r="C279"/>
  <c r="F283"/>
  <c r="H279"/>
  <c r="H282"/>
  <c r="F281"/>
  <c r="I282"/>
  <c r="I281"/>
  <c r="C283"/>
  <c r="F282"/>
  <c r="H281"/>
  <c r="F280"/>
  <c r="C280"/>
  <c r="H280"/>
  <c r="J280" s="1"/>
  <c r="F288"/>
  <c r="H288"/>
  <c r="C288"/>
  <c r="F289"/>
  <c r="I289"/>
  <c r="H289"/>
  <c r="C289"/>
  <c r="C204"/>
  <c r="F204"/>
  <c r="F105"/>
  <c r="H105"/>
  <c r="F36"/>
  <c r="H36"/>
  <c r="C36"/>
  <c r="F35"/>
  <c r="I35"/>
  <c r="H35"/>
  <c r="C77"/>
  <c r="F77"/>
  <c r="F78"/>
  <c r="H78"/>
  <c r="C78"/>
  <c r="C248"/>
  <c r="F250"/>
  <c r="I250"/>
  <c r="H250"/>
  <c r="C250"/>
  <c r="F249"/>
  <c r="H249"/>
  <c r="C249"/>
  <c r="F248"/>
  <c r="F247"/>
  <c r="H247"/>
  <c r="C247"/>
  <c r="F246"/>
  <c r="H246"/>
  <c r="F245"/>
  <c r="I245"/>
  <c r="H245"/>
  <c r="C245"/>
  <c r="F244"/>
  <c r="I244"/>
  <c r="H244"/>
  <c r="C244"/>
  <c r="C396"/>
  <c r="I396"/>
  <c r="H466"/>
  <c r="H396"/>
  <c r="F495"/>
  <c r="F432"/>
  <c r="H430"/>
  <c r="H494"/>
  <c r="F433"/>
  <c r="F431"/>
  <c r="F472"/>
  <c r="H470"/>
  <c r="F465"/>
  <c r="F463"/>
  <c r="H414"/>
  <c r="F473"/>
  <c r="F471"/>
  <c r="F464"/>
  <c r="H462"/>
  <c r="F441"/>
  <c r="F439"/>
  <c r="H418"/>
  <c r="F409"/>
  <c r="H482"/>
  <c r="F440"/>
  <c r="H438"/>
  <c r="F408"/>
  <c r="F488"/>
  <c r="H486"/>
  <c r="F481"/>
  <c r="F479"/>
  <c r="F457"/>
  <c r="F455"/>
  <c r="F448"/>
  <c r="H446"/>
  <c r="F424"/>
  <c r="H422"/>
  <c r="F417"/>
  <c r="F413"/>
  <c r="F404"/>
  <c r="F400"/>
  <c r="H398"/>
  <c r="H450"/>
  <c r="H402"/>
  <c r="F489"/>
  <c r="F487"/>
  <c r="F480"/>
  <c r="H478"/>
  <c r="F456"/>
  <c r="H454"/>
  <c r="F449"/>
  <c r="F447"/>
  <c r="H434"/>
  <c r="F425"/>
  <c r="F423"/>
  <c r="F416"/>
  <c r="F412"/>
  <c r="F405"/>
  <c r="F401"/>
  <c r="F399"/>
  <c r="H490"/>
  <c r="H474"/>
  <c r="H458"/>
  <c r="H442"/>
  <c r="H426"/>
  <c r="F396"/>
  <c r="H410"/>
  <c r="H406"/>
  <c r="F493"/>
  <c r="F492"/>
  <c r="F491"/>
  <c r="F485"/>
  <c r="F484"/>
  <c r="F483"/>
  <c r="F477"/>
  <c r="F476"/>
  <c r="F475"/>
  <c r="F469"/>
  <c r="F468"/>
  <c r="F467"/>
  <c r="F461"/>
  <c r="F460"/>
  <c r="F459"/>
  <c r="F453"/>
  <c r="F452"/>
  <c r="F451"/>
  <c r="F445"/>
  <c r="F444"/>
  <c r="F443"/>
  <c r="F437"/>
  <c r="F436"/>
  <c r="F435"/>
  <c r="F429"/>
  <c r="F428"/>
  <c r="F427"/>
  <c r="F421"/>
  <c r="F420"/>
  <c r="F419"/>
  <c r="F494"/>
  <c r="H493"/>
  <c r="I492"/>
  <c r="H491"/>
  <c r="J491" s="1"/>
  <c r="I490"/>
  <c r="C490"/>
  <c r="C488"/>
  <c r="E488" s="1"/>
  <c r="G488" s="1"/>
  <c r="F486"/>
  <c r="H485"/>
  <c r="I484"/>
  <c r="H483"/>
  <c r="I482"/>
  <c r="C482"/>
  <c r="C480"/>
  <c r="E480" s="1"/>
  <c r="G480" s="1"/>
  <c r="F478"/>
  <c r="H477"/>
  <c r="I476"/>
  <c r="H475"/>
  <c r="J475" s="1"/>
  <c r="I474"/>
  <c r="C474"/>
  <c r="C472"/>
  <c r="F470"/>
  <c r="H469"/>
  <c r="I468"/>
  <c r="H467"/>
  <c r="I466"/>
  <c r="C466"/>
  <c r="C464"/>
  <c r="F462"/>
  <c r="H461"/>
  <c r="I460"/>
  <c r="H459"/>
  <c r="J459" s="1"/>
  <c r="I458"/>
  <c r="J458" s="1"/>
  <c r="C458"/>
  <c r="C456"/>
  <c r="E456" s="1"/>
  <c r="G456" s="1"/>
  <c r="F454"/>
  <c r="H453"/>
  <c r="I452"/>
  <c r="H451"/>
  <c r="I450"/>
  <c r="C450"/>
  <c r="C448"/>
  <c r="F446"/>
  <c r="H445"/>
  <c r="I444"/>
  <c r="H443"/>
  <c r="J443" s="1"/>
  <c r="I442"/>
  <c r="C442"/>
  <c r="C440"/>
  <c r="E440" s="1"/>
  <c r="G440" s="1"/>
  <c r="F438"/>
  <c r="H437"/>
  <c r="I436"/>
  <c r="H435"/>
  <c r="I434"/>
  <c r="C434"/>
  <c r="C432"/>
  <c r="E432" s="1"/>
  <c r="G432" s="1"/>
  <c r="F430"/>
  <c r="H429"/>
  <c r="I428"/>
  <c r="H427"/>
  <c r="J427" s="1"/>
  <c r="I426"/>
  <c r="C426"/>
  <c r="C424"/>
  <c r="F422"/>
  <c r="H421"/>
  <c r="I420"/>
  <c r="H419"/>
  <c r="I418"/>
  <c r="C418"/>
  <c r="C416"/>
  <c r="I414"/>
  <c r="C414"/>
  <c r="C412"/>
  <c r="I410"/>
  <c r="C410"/>
  <c r="C408"/>
  <c r="I406"/>
  <c r="J406" s="1"/>
  <c r="C406"/>
  <c r="C404"/>
  <c r="I402"/>
  <c r="J402" s="1"/>
  <c r="C402"/>
  <c r="C400"/>
  <c r="F398"/>
  <c r="F397"/>
  <c r="H495"/>
  <c r="I494"/>
  <c r="C492"/>
  <c r="E492" s="1"/>
  <c r="G492" s="1"/>
  <c r="H489"/>
  <c r="I488"/>
  <c r="H487"/>
  <c r="J487" s="1"/>
  <c r="I486"/>
  <c r="C484"/>
  <c r="H481"/>
  <c r="I480"/>
  <c r="H479"/>
  <c r="I478"/>
  <c r="C476"/>
  <c r="H473"/>
  <c r="I472"/>
  <c r="H471"/>
  <c r="I470"/>
  <c r="C468"/>
  <c r="H465"/>
  <c r="I464"/>
  <c r="H463"/>
  <c r="I462"/>
  <c r="J462" s="1"/>
  <c r="C460"/>
  <c r="H457"/>
  <c r="I456"/>
  <c r="H455"/>
  <c r="J455" s="1"/>
  <c r="I454"/>
  <c r="C452"/>
  <c r="E452" s="1"/>
  <c r="G452" s="1"/>
  <c r="H449"/>
  <c r="I448"/>
  <c r="H447"/>
  <c r="I446"/>
  <c r="C444"/>
  <c r="H441"/>
  <c r="I440"/>
  <c r="H439"/>
  <c r="I438"/>
  <c r="C436"/>
  <c r="H433"/>
  <c r="I432"/>
  <c r="H431"/>
  <c r="I430"/>
  <c r="C428"/>
  <c r="H425"/>
  <c r="I424"/>
  <c r="H423"/>
  <c r="J423" s="1"/>
  <c r="I422"/>
  <c r="J422" s="1"/>
  <c r="C420"/>
  <c r="H417"/>
  <c r="I416"/>
  <c r="F415"/>
  <c r="H413"/>
  <c r="I412"/>
  <c r="F411"/>
  <c r="H409"/>
  <c r="I408"/>
  <c r="F407"/>
  <c r="H405"/>
  <c r="I404"/>
  <c r="F403"/>
  <c r="H401"/>
  <c r="I400"/>
  <c r="H399"/>
  <c r="I398"/>
  <c r="J398" s="1"/>
  <c r="C495"/>
  <c r="I493"/>
  <c r="C491"/>
  <c r="I489"/>
  <c r="C487"/>
  <c r="I485"/>
  <c r="C483"/>
  <c r="I481"/>
  <c r="C479"/>
  <c r="I477"/>
  <c r="C475"/>
  <c r="I473"/>
  <c r="C471"/>
  <c r="I469"/>
  <c r="C467"/>
  <c r="I465"/>
  <c r="C463"/>
  <c r="I461"/>
  <c r="C459"/>
  <c r="I457"/>
  <c r="C455"/>
  <c r="I453"/>
  <c r="C451"/>
  <c r="I449"/>
  <c r="C447"/>
  <c r="I445"/>
  <c r="C443"/>
  <c r="I441"/>
  <c r="C439"/>
  <c r="I437"/>
  <c r="C435"/>
  <c r="I433"/>
  <c r="C431"/>
  <c r="I429"/>
  <c r="C427"/>
  <c r="I425"/>
  <c r="C423"/>
  <c r="I421"/>
  <c r="C419"/>
  <c r="I417"/>
  <c r="C415"/>
  <c r="I413"/>
  <c r="C411"/>
  <c r="I409"/>
  <c r="C407"/>
  <c r="I405"/>
  <c r="C403"/>
  <c r="I401"/>
  <c r="C399"/>
  <c r="I397"/>
  <c r="H415"/>
  <c r="H411"/>
  <c r="J411" s="1"/>
  <c r="H407"/>
  <c r="H403"/>
  <c r="J403" s="1"/>
  <c r="H492"/>
  <c r="J492" s="1"/>
  <c r="H488"/>
  <c r="H484"/>
  <c r="H480"/>
  <c r="H476"/>
  <c r="H472"/>
  <c r="H468"/>
  <c r="H464"/>
  <c r="H460"/>
  <c r="H456"/>
  <c r="H452"/>
  <c r="H448"/>
  <c r="H444"/>
  <c r="H440"/>
  <c r="H436"/>
  <c r="H432"/>
  <c r="H428"/>
  <c r="H424"/>
  <c r="H420"/>
  <c r="H416"/>
  <c r="H412"/>
  <c r="H408"/>
  <c r="H404"/>
  <c r="H400"/>
  <c r="C397"/>
  <c r="H397"/>
  <c r="F213"/>
  <c r="I213"/>
  <c r="H213"/>
  <c r="C213"/>
  <c r="F214"/>
  <c r="I214"/>
  <c r="H214"/>
  <c r="C214"/>
  <c r="F215"/>
  <c r="I215"/>
  <c r="H215"/>
  <c r="C215"/>
  <c r="C242"/>
  <c r="I242"/>
  <c r="F240"/>
  <c r="I240"/>
  <c r="H240"/>
  <c r="C240"/>
  <c r="F241"/>
  <c r="I241"/>
  <c r="H241"/>
  <c r="C241"/>
  <c r="F242"/>
  <c r="C216"/>
  <c r="F219"/>
  <c r="H219"/>
  <c r="C219"/>
  <c r="F211"/>
  <c r="I211"/>
  <c r="H211"/>
  <c r="C211"/>
  <c r="F218"/>
  <c r="H218"/>
  <c r="F217"/>
  <c r="H217"/>
  <c r="C217"/>
  <c r="F216"/>
  <c r="F212"/>
  <c r="H212"/>
  <c r="C212"/>
  <c r="F220"/>
  <c r="I220"/>
  <c r="H220"/>
  <c r="C220"/>
  <c r="F221"/>
  <c r="H221"/>
  <c r="C221"/>
  <c r="F222"/>
  <c r="I222"/>
  <c r="H222"/>
  <c r="C222"/>
  <c r="F239"/>
  <c r="I239"/>
  <c r="H239"/>
  <c r="C239"/>
  <c r="I238"/>
  <c r="H238"/>
  <c r="F238"/>
  <c r="C238"/>
  <c r="F237"/>
  <c r="I237"/>
  <c r="H237"/>
  <c r="C237"/>
  <c r="F236"/>
  <c r="I236"/>
  <c r="C236"/>
  <c r="F235"/>
  <c r="I235"/>
  <c r="H235"/>
  <c r="C235"/>
  <c r="F234"/>
  <c r="I234"/>
  <c r="H234"/>
  <c r="C234"/>
  <c r="F233"/>
  <c r="I233"/>
  <c r="H233"/>
  <c r="C233"/>
  <c r="F226"/>
  <c r="I226"/>
  <c r="C226"/>
  <c r="F225"/>
  <c r="I225"/>
  <c r="C225"/>
  <c r="F108"/>
  <c r="H108"/>
  <c r="C108"/>
  <c r="F292"/>
  <c r="C292"/>
  <c r="F293"/>
  <c r="C293"/>
  <c r="H109"/>
  <c r="C224"/>
  <c r="I224"/>
  <c r="C229"/>
  <c r="I232"/>
  <c r="H232"/>
  <c r="F232"/>
  <c r="C232"/>
  <c r="F231"/>
  <c r="I231"/>
  <c r="H231"/>
  <c r="C231"/>
  <c r="F230"/>
  <c r="I230"/>
  <c r="H230"/>
  <c r="C230"/>
  <c r="F229"/>
  <c r="F228"/>
  <c r="I228"/>
  <c r="C228"/>
  <c r="F227"/>
  <c r="I227"/>
  <c r="C227"/>
  <c r="F224"/>
  <c r="F223"/>
  <c r="H223"/>
  <c r="C223"/>
  <c r="F243"/>
  <c r="C243"/>
  <c r="H243"/>
  <c r="F192"/>
  <c r="H192"/>
  <c r="C192"/>
  <c r="F147"/>
  <c r="H147"/>
  <c r="C147"/>
  <c r="C109"/>
  <c r="F109"/>
  <c r="C40"/>
  <c r="F44"/>
  <c r="H44"/>
  <c r="C44"/>
  <c r="F42"/>
  <c r="C42"/>
  <c r="F40"/>
  <c r="F34"/>
  <c r="H34"/>
  <c r="C34"/>
  <c r="F26"/>
  <c r="C26"/>
  <c r="F278"/>
  <c r="H278"/>
  <c r="C278"/>
  <c r="F277"/>
  <c r="H277"/>
  <c r="C277"/>
  <c r="C139"/>
  <c r="C99"/>
  <c r="C82"/>
  <c r="F15"/>
  <c r="H15"/>
  <c r="C15"/>
  <c r="F24"/>
  <c r="H24"/>
  <c r="C24"/>
  <c r="F37"/>
  <c r="H37"/>
  <c r="C37"/>
  <c r="F45"/>
  <c r="H45"/>
  <c r="C45"/>
  <c r="F54"/>
  <c r="H54"/>
  <c r="C54"/>
  <c r="F67"/>
  <c r="H67"/>
  <c r="C67"/>
  <c r="F75"/>
  <c r="H75"/>
  <c r="C75"/>
  <c r="F82"/>
  <c r="F91"/>
  <c r="H91"/>
  <c r="C91"/>
  <c r="F99"/>
  <c r="F106"/>
  <c r="H106"/>
  <c r="C106"/>
  <c r="F112"/>
  <c r="H112"/>
  <c r="C112"/>
  <c r="F118"/>
  <c r="H118"/>
  <c r="C118"/>
  <c r="F122"/>
  <c r="H122"/>
  <c r="C122"/>
  <c r="F132"/>
  <c r="H132"/>
  <c r="C132"/>
  <c r="F139"/>
  <c r="F145"/>
  <c r="H145"/>
  <c r="C145"/>
  <c r="F151"/>
  <c r="H151"/>
  <c r="C151"/>
  <c r="F157"/>
  <c r="H157"/>
  <c r="C157"/>
  <c r="H170"/>
  <c r="F170"/>
  <c r="C170"/>
  <c r="H176"/>
  <c r="F176"/>
  <c r="C176"/>
  <c r="F184"/>
  <c r="H184"/>
  <c r="C184"/>
  <c r="F190"/>
  <c r="H190"/>
  <c r="F198"/>
  <c r="H198"/>
  <c r="C198"/>
  <c r="F205"/>
  <c r="H205"/>
  <c r="C205"/>
  <c r="F206"/>
  <c r="H206"/>
  <c r="C206"/>
  <c r="F199"/>
  <c r="H199"/>
  <c r="F191"/>
  <c r="H191"/>
  <c r="C191"/>
  <c r="F185"/>
  <c r="H185"/>
  <c r="C185"/>
  <c r="F177"/>
  <c r="H177"/>
  <c r="C177"/>
  <c r="F171"/>
  <c r="H171"/>
  <c r="C171"/>
  <c r="F158"/>
  <c r="H158"/>
  <c r="C158"/>
  <c r="F152"/>
  <c r="H152"/>
  <c r="C152"/>
  <c r="F146"/>
  <c r="H146"/>
  <c r="C146"/>
  <c r="F140"/>
  <c r="H140"/>
  <c r="C140"/>
  <c r="F133"/>
  <c r="H133"/>
  <c r="C133"/>
  <c r="F123"/>
  <c r="H123"/>
  <c r="C123"/>
  <c r="F119"/>
  <c r="H119"/>
  <c r="F107"/>
  <c r="H107"/>
  <c r="C107"/>
  <c r="F113"/>
  <c r="H113"/>
  <c r="C113"/>
  <c r="F111"/>
  <c r="H111"/>
  <c r="C111"/>
  <c r="F110"/>
  <c r="C110"/>
  <c r="F100"/>
  <c r="H100"/>
  <c r="C100"/>
  <c r="C94"/>
  <c r="F92"/>
  <c r="H92"/>
  <c r="C92"/>
  <c r="C93"/>
  <c r="F93"/>
  <c r="F94"/>
  <c r="F95"/>
  <c r="C95"/>
  <c r="F96"/>
  <c r="C96"/>
  <c r="C97"/>
  <c r="F97"/>
  <c r="C83"/>
  <c r="F83"/>
  <c r="F84"/>
  <c r="H84"/>
  <c r="C84"/>
  <c r="H76"/>
  <c r="F76"/>
  <c r="C76"/>
  <c r="F68"/>
  <c r="H68"/>
  <c r="C68"/>
  <c r="F55"/>
  <c r="H55"/>
  <c r="C55"/>
  <c r="F38"/>
  <c r="H38"/>
  <c r="C38"/>
  <c r="C41"/>
  <c r="F39"/>
  <c r="C39"/>
  <c r="F41"/>
  <c r="F43"/>
  <c r="C43"/>
  <c r="F25"/>
  <c r="C25"/>
  <c r="H46"/>
  <c r="F46"/>
  <c r="C46"/>
  <c r="J415" l="1"/>
  <c r="J399"/>
  <c r="J447"/>
  <c r="J479"/>
  <c r="J483"/>
  <c r="J439"/>
  <c r="J471"/>
  <c r="J407"/>
  <c r="J431"/>
  <c r="J463"/>
  <c r="J495"/>
  <c r="J419"/>
  <c r="J451"/>
  <c r="E405"/>
  <c r="G405" s="1"/>
  <c r="E413"/>
  <c r="G413" s="1"/>
  <c r="E421"/>
  <c r="G421" s="1"/>
  <c r="E429"/>
  <c r="G429" s="1"/>
  <c r="E437"/>
  <c r="G437" s="1"/>
  <c r="E445"/>
  <c r="G445" s="1"/>
  <c r="E453"/>
  <c r="G453" s="1"/>
  <c r="E461"/>
  <c r="G461" s="1"/>
  <c r="E469"/>
  <c r="G469" s="1"/>
  <c r="E477"/>
  <c r="G477" s="1"/>
  <c r="E485"/>
  <c r="G485" s="1"/>
  <c r="E493"/>
  <c r="G493" s="1"/>
  <c r="E119"/>
  <c r="G119" s="1"/>
  <c r="E105"/>
  <c r="G105" s="1"/>
  <c r="E398"/>
  <c r="G398" s="1"/>
  <c r="E422"/>
  <c r="G422" s="1"/>
  <c r="E430"/>
  <c r="G430" s="1"/>
  <c r="E438"/>
  <c r="G438" s="1"/>
  <c r="E446"/>
  <c r="G446" s="1"/>
  <c r="E454"/>
  <c r="G454" s="1"/>
  <c r="E462"/>
  <c r="G462" s="1"/>
  <c r="E470"/>
  <c r="G470" s="1"/>
  <c r="E478"/>
  <c r="G478" s="1"/>
  <c r="E486"/>
  <c r="G486" s="1"/>
  <c r="E494"/>
  <c r="G494" s="1"/>
  <c r="J435"/>
  <c r="J467"/>
  <c r="E246"/>
  <c r="G246" s="1"/>
  <c r="E401"/>
  <c r="G401" s="1"/>
  <c r="E409"/>
  <c r="G409" s="1"/>
  <c r="E417"/>
  <c r="G417" s="1"/>
  <c r="E425"/>
  <c r="G425" s="1"/>
  <c r="E433"/>
  <c r="G433" s="1"/>
  <c r="E441"/>
  <c r="G441" s="1"/>
  <c r="E449"/>
  <c r="G449" s="1"/>
  <c r="E457"/>
  <c r="G457" s="1"/>
  <c r="E465"/>
  <c r="G465" s="1"/>
  <c r="E473"/>
  <c r="G473" s="1"/>
  <c r="E481"/>
  <c r="G481" s="1"/>
  <c r="E489"/>
  <c r="G489" s="1"/>
  <c r="E190"/>
  <c r="G190" s="1"/>
  <c r="E218"/>
  <c r="G218" s="1"/>
  <c r="E35"/>
  <c r="G35" s="1"/>
  <c r="E199"/>
  <c r="G199" s="1"/>
  <c r="E442"/>
  <c r="G442" s="1"/>
  <c r="E474"/>
  <c r="G474" s="1"/>
  <c r="E281"/>
  <c r="G281" s="1"/>
  <c r="E410"/>
  <c r="G410" s="1"/>
  <c r="E404"/>
  <c r="G404" s="1"/>
  <c r="E282"/>
  <c r="G282" s="1"/>
  <c r="E397"/>
  <c r="G397" s="1"/>
  <c r="E420"/>
  <c r="G420" s="1"/>
  <c r="E464"/>
  <c r="G464" s="1"/>
  <c r="E428"/>
  <c r="G428" s="1"/>
  <c r="J224"/>
  <c r="E468"/>
  <c r="G468" s="1"/>
  <c r="E416"/>
  <c r="G416" s="1"/>
  <c r="E396"/>
  <c r="G396" s="1"/>
  <c r="E472"/>
  <c r="G472" s="1"/>
  <c r="J476"/>
  <c r="E400"/>
  <c r="G400" s="1"/>
  <c r="E484"/>
  <c r="G484" s="1"/>
  <c r="E436"/>
  <c r="G436" s="1"/>
  <c r="E444"/>
  <c r="G444" s="1"/>
  <c r="E408"/>
  <c r="G408" s="1"/>
  <c r="E412"/>
  <c r="G412" s="1"/>
  <c r="E448"/>
  <c r="G448" s="1"/>
  <c r="E460"/>
  <c r="G460" s="1"/>
  <c r="E424"/>
  <c r="G424" s="1"/>
  <c r="E476"/>
  <c r="G476" s="1"/>
  <c r="J281"/>
  <c r="J486"/>
  <c r="E426"/>
  <c r="G426" s="1"/>
  <c r="J478"/>
  <c r="J482"/>
  <c r="E466"/>
  <c r="G466" s="1"/>
  <c r="J430"/>
  <c r="E406"/>
  <c r="G406" s="1"/>
  <c r="E418"/>
  <c r="G418" s="1"/>
  <c r="E450"/>
  <c r="G450" s="1"/>
  <c r="J426"/>
  <c r="J490"/>
  <c r="J466"/>
  <c r="J454"/>
  <c r="J438"/>
  <c r="J470"/>
  <c r="J446"/>
  <c r="J282"/>
  <c r="E280"/>
  <c r="G280" s="1"/>
  <c r="E279"/>
  <c r="G279" s="1"/>
  <c r="E249"/>
  <c r="G249" s="1"/>
  <c r="E288"/>
  <c r="G288" s="1"/>
  <c r="E36"/>
  <c r="G36" s="1"/>
  <c r="J444"/>
  <c r="J494"/>
  <c r="J410"/>
  <c r="J414"/>
  <c r="J418"/>
  <c r="J450"/>
  <c r="E458"/>
  <c r="G458" s="1"/>
  <c r="E490"/>
  <c r="G490" s="1"/>
  <c r="J396"/>
  <c r="E289"/>
  <c r="G289" s="1"/>
  <c r="J474"/>
  <c r="E482"/>
  <c r="G482" s="1"/>
  <c r="E78"/>
  <c r="G78" s="1"/>
  <c r="J434"/>
  <c r="J289"/>
  <c r="E204"/>
  <c r="G204" s="1"/>
  <c r="J488"/>
  <c r="J460"/>
  <c r="J35"/>
  <c r="E402"/>
  <c r="G402" s="1"/>
  <c r="E414"/>
  <c r="G414" s="1"/>
  <c r="J442"/>
  <c r="E434"/>
  <c r="G434" s="1"/>
  <c r="E244"/>
  <c r="G244" s="1"/>
  <c r="E250"/>
  <c r="G250" s="1"/>
  <c r="E77"/>
  <c r="J456"/>
  <c r="J452"/>
  <c r="J484"/>
  <c r="G77"/>
  <c r="E247"/>
  <c r="G247" s="1"/>
  <c r="J424"/>
  <c r="E248"/>
  <c r="G248" s="1"/>
  <c r="E245"/>
  <c r="G245" s="1"/>
  <c r="J250"/>
  <c r="J245"/>
  <c r="J244"/>
  <c r="J428"/>
  <c r="J420"/>
  <c r="J432"/>
  <c r="J464"/>
  <c r="J408"/>
  <c r="E431"/>
  <c r="G431" s="1"/>
  <c r="E463"/>
  <c r="G463" s="1"/>
  <c r="E495"/>
  <c r="G495" s="1"/>
  <c r="J445"/>
  <c r="J477"/>
  <c r="J404"/>
  <c r="J436"/>
  <c r="J468"/>
  <c r="J400"/>
  <c r="J416"/>
  <c r="J448"/>
  <c r="J480"/>
  <c r="J412"/>
  <c r="J440"/>
  <c r="J472"/>
  <c r="E423"/>
  <c r="G423" s="1"/>
  <c r="E455"/>
  <c r="G455" s="1"/>
  <c r="E487"/>
  <c r="G487" s="1"/>
  <c r="J437"/>
  <c r="J469"/>
  <c r="J441"/>
  <c r="J473"/>
  <c r="J413"/>
  <c r="J421"/>
  <c r="J453"/>
  <c r="J485"/>
  <c r="E443"/>
  <c r="G443" s="1"/>
  <c r="E475"/>
  <c r="G475" s="1"/>
  <c r="J405"/>
  <c r="E419"/>
  <c r="G419" s="1"/>
  <c r="E451"/>
  <c r="G451" s="1"/>
  <c r="E483"/>
  <c r="G483" s="1"/>
  <c r="E241"/>
  <c r="G241" s="1"/>
  <c r="E215"/>
  <c r="G215" s="1"/>
  <c r="J465"/>
  <c r="E399"/>
  <c r="G399" s="1"/>
  <c r="E439"/>
  <c r="G439" s="1"/>
  <c r="E447"/>
  <c r="G447" s="1"/>
  <c r="E471"/>
  <c r="G471" s="1"/>
  <c r="E479"/>
  <c r="G479" s="1"/>
  <c r="J429"/>
  <c r="J461"/>
  <c r="J493"/>
  <c r="E213"/>
  <c r="G213" s="1"/>
  <c r="E427"/>
  <c r="G427" s="1"/>
  <c r="E435"/>
  <c r="G435" s="1"/>
  <c r="E459"/>
  <c r="G459" s="1"/>
  <c r="E467"/>
  <c r="G467" s="1"/>
  <c r="E491"/>
  <c r="G491" s="1"/>
  <c r="J401"/>
  <c r="J409"/>
  <c r="J417"/>
  <c r="J425"/>
  <c r="J433"/>
  <c r="J449"/>
  <c r="J457"/>
  <c r="J481"/>
  <c r="J489"/>
  <c r="J397"/>
  <c r="E411"/>
  <c r="G411" s="1"/>
  <c r="E415"/>
  <c r="G415" s="1"/>
  <c r="E403"/>
  <c r="G403" s="1"/>
  <c r="E217"/>
  <c r="G217" s="1"/>
  <c r="E219"/>
  <c r="G219" s="1"/>
  <c r="E240"/>
  <c r="G240" s="1"/>
  <c r="E214"/>
  <c r="G214" s="1"/>
  <c r="E407"/>
  <c r="G407" s="1"/>
  <c r="J213"/>
  <c r="J214"/>
  <c r="J215"/>
  <c r="J240"/>
  <c r="J241"/>
  <c r="E211"/>
  <c r="G211" s="1"/>
  <c r="E238"/>
  <c r="G238" s="1"/>
  <c r="E220"/>
  <c r="G220" s="1"/>
  <c r="E216"/>
  <c r="G216" s="1"/>
  <c r="E234"/>
  <c r="G234" s="1"/>
  <c r="E212"/>
  <c r="G212" s="1"/>
  <c r="E108"/>
  <c r="G108" s="1"/>
  <c r="E235"/>
  <c r="G235" s="1"/>
  <c r="E239"/>
  <c r="G239" s="1"/>
  <c r="J211"/>
  <c r="E221"/>
  <c r="G221" s="1"/>
  <c r="E222"/>
  <c r="G222" s="1"/>
  <c r="J220"/>
  <c r="J222"/>
  <c r="E233"/>
  <c r="G233" s="1"/>
  <c r="E237"/>
  <c r="G237" s="1"/>
  <c r="J239"/>
  <c r="J238"/>
  <c r="J237"/>
  <c r="J235"/>
  <c r="J234"/>
  <c r="J233"/>
  <c r="E224"/>
  <c r="G224" s="1"/>
  <c r="E229"/>
  <c r="G229" s="1"/>
  <c r="E46"/>
  <c r="G46" s="1"/>
  <c r="E232"/>
  <c r="G232" s="1"/>
  <c r="E223"/>
  <c r="G223" s="1"/>
  <c r="E231"/>
  <c r="G231" s="1"/>
  <c r="E230"/>
  <c r="G230" s="1"/>
  <c r="J232"/>
  <c r="J231"/>
  <c r="J230"/>
  <c r="E147"/>
  <c r="G147" s="1"/>
  <c r="E192"/>
  <c r="G192" s="1"/>
  <c r="E243"/>
  <c r="G243" s="1"/>
  <c r="E34"/>
  <c r="G34" s="1"/>
  <c r="E44"/>
  <c r="G44" s="1"/>
  <c r="E109"/>
  <c r="G109" s="1"/>
  <c r="E277"/>
  <c r="G277" s="1"/>
  <c r="E132"/>
  <c r="G132" s="1"/>
  <c r="E118"/>
  <c r="G118" s="1"/>
  <c r="E112"/>
  <c r="G112" s="1"/>
  <c r="E106"/>
  <c r="G106" s="1"/>
  <c r="E67"/>
  <c r="G67" s="1"/>
  <c r="E54"/>
  <c r="G54" s="1"/>
  <c r="E24"/>
  <c r="G24" s="1"/>
  <c r="E15"/>
  <c r="G15" s="1"/>
  <c r="E278"/>
  <c r="G278" s="1"/>
  <c r="E170"/>
  <c r="G170" s="1"/>
  <c r="E99"/>
  <c r="G99" s="1"/>
  <c r="E184"/>
  <c r="G184" s="1"/>
  <c r="E157"/>
  <c r="G157" s="1"/>
  <c r="E151"/>
  <c r="G151" s="1"/>
  <c r="E91"/>
  <c r="G91" s="1"/>
  <c r="E139"/>
  <c r="G139" s="1"/>
  <c r="E82"/>
  <c r="G82" s="1"/>
  <c r="E176"/>
  <c r="G176" s="1"/>
  <c r="E45"/>
  <c r="G45" s="1"/>
  <c r="E198"/>
  <c r="G198" s="1"/>
  <c r="E75"/>
  <c r="G75" s="1"/>
  <c r="E37"/>
  <c r="G37" s="1"/>
  <c r="E205"/>
  <c r="G205" s="1"/>
  <c r="E145"/>
  <c r="G145" s="1"/>
  <c r="E122"/>
  <c r="G122" s="1"/>
  <c r="E206"/>
  <c r="G206" s="1"/>
  <c r="E41"/>
  <c r="G41" s="1"/>
  <c r="E113"/>
  <c r="G113" s="1"/>
  <c r="E140"/>
  <c r="G140" s="1"/>
  <c r="E171"/>
  <c r="G171" s="1"/>
  <c r="E191"/>
  <c r="G191" s="1"/>
  <c r="E111"/>
  <c r="G111" s="1"/>
  <c r="E133"/>
  <c r="G133" s="1"/>
  <c r="E158"/>
  <c r="G158" s="1"/>
  <c r="E185"/>
  <c r="G185" s="1"/>
  <c r="E123"/>
  <c r="G123" s="1"/>
  <c r="E152"/>
  <c r="G152" s="1"/>
  <c r="E177"/>
  <c r="G177" s="1"/>
  <c r="E146"/>
  <c r="G146" s="1"/>
  <c r="E107"/>
  <c r="G107" s="1"/>
  <c r="E100"/>
  <c r="G100" s="1"/>
  <c r="E92"/>
  <c r="G92" s="1"/>
  <c r="E38"/>
  <c r="G38" s="1"/>
  <c r="E84"/>
  <c r="G84" s="1"/>
  <c r="E76"/>
  <c r="G76" s="1"/>
  <c r="E97"/>
  <c r="G97" s="1"/>
  <c r="E83"/>
  <c r="G83" s="1"/>
  <c r="E68"/>
  <c r="G68" s="1"/>
  <c r="E55"/>
  <c r="G55" s="1"/>
  <c r="B7"/>
  <c r="D7" s="1"/>
  <c r="B8"/>
  <c r="B9"/>
  <c r="B10"/>
  <c r="B11"/>
  <c r="B12"/>
  <c r="B13"/>
  <c r="B14"/>
  <c r="D14" s="1"/>
  <c r="B16"/>
  <c r="B19"/>
  <c r="B18"/>
  <c r="D18" s="1"/>
  <c r="B17"/>
  <c r="D17" s="1"/>
  <c r="B27"/>
  <c r="B23"/>
  <c r="B22"/>
  <c r="B21"/>
  <c r="B20"/>
  <c r="B28"/>
  <c r="G111" i="3"/>
  <c r="F111"/>
  <c r="G110"/>
  <c r="F110"/>
  <c r="G43"/>
  <c r="F43"/>
  <c r="G41"/>
  <c r="F41"/>
  <c r="G39"/>
  <c r="F39"/>
  <c r="G8"/>
  <c r="F8"/>
  <c r="F9"/>
  <c r="G9"/>
  <c r="J219" i="6"/>
  <c r="L219" s="1"/>
  <c r="J220"/>
  <c r="L220" s="1"/>
  <c r="J221"/>
  <c r="L221" s="1"/>
  <c r="J222"/>
  <c r="K222"/>
  <c r="J223"/>
  <c r="L223" s="1"/>
  <c r="K223"/>
  <c r="J224"/>
  <c r="L224" s="1"/>
  <c r="J225"/>
  <c r="L225" s="1"/>
  <c r="J226"/>
  <c r="L226" s="1"/>
  <c r="J227"/>
  <c r="L227" s="1"/>
  <c r="J228"/>
  <c r="L228" s="1"/>
  <c r="J229"/>
  <c r="L229" s="1"/>
  <c r="J230"/>
  <c r="L230" s="1"/>
  <c r="J231"/>
  <c r="L231" s="1"/>
  <c r="J232"/>
  <c r="L232" s="1"/>
  <c r="J233"/>
  <c r="L233" s="1"/>
  <c r="J234"/>
  <c r="L234" s="1"/>
  <c r="J235"/>
  <c r="L235" s="1"/>
  <c r="J236"/>
  <c r="L236" s="1"/>
  <c r="J237"/>
  <c r="L237" s="1"/>
  <c r="K237"/>
  <c r="J238"/>
  <c r="L238" s="1"/>
  <c r="J239"/>
  <c r="L239" s="1"/>
  <c r="J240"/>
  <c r="L240" s="1"/>
  <c r="K240"/>
  <c r="J241"/>
  <c r="L241" s="1"/>
  <c r="K241"/>
  <c r="J242"/>
  <c r="L242" s="1"/>
  <c r="J243"/>
  <c r="L243" s="1"/>
  <c r="J244"/>
  <c r="L244" s="1"/>
  <c r="J245"/>
  <c r="L245" s="1"/>
  <c r="J246"/>
  <c r="L246" s="1"/>
  <c r="J247"/>
  <c r="L247" s="1"/>
  <c r="J248"/>
  <c r="L248" s="1"/>
  <c r="J249"/>
  <c r="L249" s="1"/>
  <c r="J250"/>
  <c r="L250" s="1"/>
  <c r="K250"/>
  <c r="J251"/>
  <c r="K251"/>
  <c r="J252"/>
  <c r="L252" s="1"/>
  <c r="J253"/>
  <c r="L253" s="1"/>
  <c r="K253"/>
  <c r="J254"/>
  <c r="L254" s="1"/>
  <c r="K254"/>
  <c r="J255"/>
  <c r="L255" s="1"/>
  <c r="K255"/>
  <c r="J256"/>
  <c r="L256" s="1"/>
  <c r="K256"/>
  <c r="J257"/>
  <c r="L257" s="1"/>
  <c r="J258"/>
  <c r="L258" s="1"/>
  <c r="J259"/>
  <c r="L259" s="1"/>
  <c r="K259"/>
  <c r="J260"/>
  <c r="L260" s="1"/>
  <c r="J261"/>
  <c r="L261" s="1"/>
  <c r="J262"/>
  <c r="L262" s="1"/>
  <c r="J263"/>
  <c r="L263" s="1"/>
  <c r="J264"/>
  <c r="L264" s="1"/>
  <c r="K264"/>
  <c r="J265"/>
  <c r="L265" s="1"/>
  <c r="J266"/>
  <c r="K266"/>
  <c r="J267"/>
  <c r="L267" s="1"/>
  <c r="J268"/>
  <c r="L268" s="1"/>
  <c r="J269"/>
  <c r="L269" s="1"/>
  <c r="J270"/>
  <c r="L270" s="1"/>
  <c r="J271"/>
  <c r="L271" s="1"/>
  <c r="K271"/>
  <c r="J272"/>
  <c r="L272" s="1"/>
  <c r="J273"/>
  <c r="L273" s="1"/>
  <c r="J274"/>
  <c r="L274" s="1"/>
  <c r="J275"/>
  <c r="L275" s="1"/>
  <c r="K275"/>
  <c r="J276"/>
  <c r="L276" s="1"/>
  <c r="J277"/>
  <c r="L277" s="1"/>
  <c r="J278"/>
  <c r="L278" s="1"/>
  <c r="J279"/>
  <c r="L279" s="1"/>
  <c r="J280"/>
  <c r="L280" s="1"/>
  <c r="J281"/>
  <c r="L281" s="1"/>
  <c r="J282"/>
  <c r="L282" s="1"/>
  <c r="J283"/>
  <c r="L283" s="1"/>
  <c r="J284"/>
  <c r="L284" s="1"/>
  <c r="J285"/>
  <c r="L285" s="1"/>
  <c r="J286"/>
  <c r="L286" s="1"/>
  <c r="J287"/>
  <c r="L287" s="1"/>
  <c r="K287"/>
  <c r="J288"/>
  <c r="L288" s="1"/>
  <c r="K288"/>
  <c r="J289"/>
  <c r="L289" s="1"/>
  <c r="J290"/>
  <c r="L290" s="1"/>
  <c r="J291"/>
  <c r="L291" s="1"/>
  <c r="J292"/>
  <c r="L292" s="1"/>
  <c r="J293"/>
  <c r="L293" s="1"/>
  <c r="J294"/>
  <c r="L294" s="1"/>
  <c r="J295"/>
  <c r="L295" s="1"/>
  <c r="J296"/>
  <c r="L296" s="1"/>
  <c r="J297"/>
  <c r="L297" s="1"/>
  <c r="J298"/>
  <c r="L298" s="1"/>
  <c r="K298"/>
  <c r="J299"/>
  <c r="L299" s="1"/>
  <c r="J300"/>
  <c r="L300" s="1"/>
  <c r="J301"/>
  <c r="L301" s="1"/>
  <c r="J302"/>
  <c r="L302" s="1"/>
  <c r="J303"/>
  <c r="L303" s="1"/>
  <c r="J304"/>
  <c r="L304" s="1"/>
  <c r="J305"/>
  <c r="L305" s="1"/>
  <c r="J212"/>
  <c r="L212" s="1"/>
  <c r="J204"/>
  <c r="L204" s="1"/>
  <c r="J197"/>
  <c r="L197" s="1"/>
  <c r="J190"/>
  <c r="L190" s="1"/>
  <c r="K190"/>
  <c r="J191"/>
  <c r="D242" i="7" s="1"/>
  <c r="K191" i="6"/>
  <c r="J180"/>
  <c r="L180" s="1"/>
  <c r="J169"/>
  <c r="L169" s="1"/>
  <c r="K169"/>
  <c r="J7"/>
  <c r="J8"/>
  <c r="J9"/>
  <c r="L9" s="1"/>
  <c r="J10"/>
  <c r="L10" s="1"/>
  <c r="J11"/>
  <c r="J12"/>
  <c r="J13"/>
  <c r="L13" s="1"/>
  <c r="J14"/>
  <c r="K232" s="1"/>
  <c r="J15"/>
  <c r="L15" s="1"/>
  <c r="J16"/>
  <c r="L16" s="1"/>
  <c r="J17"/>
  <c r="L17" s="1"/>
  <c r="J18"/>
  <c r="D26" i="7" s="1"/>
  <c r="J19" i="6"/>
  <c r="L19" s="1"/>
  <c r="J20"/>
  <c r="J21"/>
  <c r="L21" s="1"/>
  <c r="J22"/>
  <c r="D93" i="7" s="1"/>
  <c r="J23" i="6"/>
  <c r="J24"/>
  <c r="J25"/>
  <c r="D96" i="7" s="1"/>
  <c r="J26" i="6"/>
  <c r="L26" s="1"/>
  <c r="J27"/>
  <c r="J28"/>
  <c r="K28" s="1"/>
  <c r="J29"/>
  <c r="J30"/>
  <c r="L30" s="1"/>
  <c r="J31"/>
  <c r="L31" s="1"/>
  <c r="J32"/>
  <c r="J33"/>
  <c r="L33" s="1"/>
  <c r="J34"/>
  <c r="L34" s="1"/>
  <c r="J35"/>
  <c r="L35" s="1"/>
  <c r="J36"/>
  <c r="L36" s="1"/>
  <c r="J37"/>
  <c r="L37" s="1"/>
  <c r="K37"/>
  <c r="J38"/>
  <c r="D236" i="7" s="1"/>
  <c r="J39" i="6"/>
  <c r="L39" s="1"/>
  <c r="J40"/>
  <c r="L40" s="1"/>
  <c r="J41"/>
  <c r="L41" s="1"/>
  <c r="J42"/>
  <c r="L42" s="1"/>
  <c r="J43"/>
  <c r="L43" s="1"/>
  <c r="J44"/>
  <c r="J45"/>
  <c r="L45" s="1"/>
  <c r="J46"/>
  <c r="J47"/>
  <c r="L47" s="1"/>
  <c r="J48"/>
  <c r="L48" s="1"/>
  <c r="J49"/>
  <c r="L49" s="1"/>
  <c r="J50"/>
  <c r="L50" s="1"/>
  <c r="J51"/>
  <c r="L51" s="1"/>
  <c r="J52"/>
  <c r="L52" s="1"/>
  <c r="J53"/>
  <c r="L53" s="1"/>
  <c r="J54"/>
  <c r="J55"/>
  <c r="L55" s="1"/>
  <c r="J57"/>
  <c r="J58"/>
  <c r="K229" s="1"/>
  <c r="J59"/>
  <c r="J60"/>
  <c r="J61"/>
  <c r="L61" s="1"/>
  <c r="J62"/>
  <c r="L62" s="1"/>
  <c r="J63"/>
  <c r="L63" s="1"/>
  <c r="J64"/>
  <c r="L64" s="1"/>
  <c r="J65"/>
  <c r="J66"/>
  <c r="L66" s="1"/>
  <c r="J67"/>
  <c r="L67" s="1"/>
  <c r="J68"/>
  <c r="K239" s="1"/>
  <c r="J69"/>
  <c r="L69" s="1"/>
  <c r="J70"/>
  <c r="L70" s="1"/>
  <c r="J71"/>
  <c r="L71" s="1"/>
  <c r="J72"/>
  <c r="L72" s="1"/>
  <c r="J73"/>
  <c r="L73" s="1"/>
  <c r="J74"/>
  <c r="L74" s="1"/>
  <c r="J75"/>
  <c r="L75" s="1"/>
  <c r="J76"/>
  <c r="L76" s="1"/>
  <c r="J77"/>
  <c r="L77" s="1"/>
  <c r="J78"/>
  <c r="L78" s="1"/>
  <c r="J79"/>
  <c r="L79" s="1"/>
  <c r="J80"/>
  <c r="L80" s="1"/>
  <c r="J81"/>
  <c r="L81" s="1"/>
  <c r="J82"/>
  <c r="L82" s="1"/>
  <c r="J83"/>
  <c r="L83" s="1"/>
  <c r="J84"/>
  <c r="L84" s="1"/>
  <c r="J85"/>
  <c r="J86"/>
  <c r="D292" i="7" s="1"/>
  <c r="J87" i="6"/>
  <c r="J88"/>
  <c r="L88" s="1"/>
  <c r="J89"/>
  <c r="L89" s="1"/>
  <c r="J90"/>
  <c r="L90" s="1"/>
  <c r="J91"/>
  <c r="L91" s="1"/>
  <c r="J92"/>
  <c r="L92" s="1"/>
  <c r="J93"/>
  <c r="L93" s="1"/>
  <c r="J94"/>
  <c r="J95"/>
  <c r="J96"/>
  <c r="L96" s="1"/>
  <c r="J97"/>
  <c r="L97" s="1"/>
  <c r="J98"/>
  <c r="L98" s="1"/>
  <c r="J99"/>
  <c r="L99" s="1"/>
  <c r="J100"/>
  <c r="L100" s="1"/>
  <c r="J101"/>
  <c r="L101" s="1"/>
  <c r="J102"/>
  <c r="L102" s="1"/>
  <c r="J103"/>
  <c r="L103" s="1"/>
  <c r="J104"/>
  <c r="L104" s="1"/>
  <c r="J105"/>
  <c r="L105" s="1"/>
  <c r="J106"/>
  <c r="L106" s="1"/>
  <c r="J107"/>
  <c r="L107" s="1"/>
  <c r="J108"/>
  <c r="L108" s="1"/>
  <c r="J109"/>
  <c r="L109" s="1"/>
  <c r="J110"/>
  <c r="L110" s="1"/>
  <c r="J111"/>
  <c r="L111" s="1"/>
  <c r="J112"/>
  <c r="L112" s="1"/>
  <c r="J113"/>
  <c r="L113" s="1"/>
  <c r="J114"/>
  <c r="L114" s="1"/>
  <c r="J115"/>
  <c r="L115" s="1"/>
  <c r="J116"/>
  <c r="K305" s="1"/>
  <c r="J117"/>
  <c r="L117" s="1"/>
  <c r="J118"/>
  <c r="L118" s="1"/>
  <c r="J119"/>
  <c r="L119" s="1"/>
  <c r="J120"/>
  <c r="L120" s="1"/>
  <c r="J121"/>
  <c r="L121" s="1"/>
  <c r="J122"/>
  <c r="L122" s="1"/>
  <c r="J123"/>
  <c r="L123" s="1"/>
  <c r="J124"/>
  <c r="L124" s="1"/>
  <c r="J125"/>
  <c r="L125" s="1"/>
  <c r="J126"/>
  <c r="L126" s="1"/>
  <c r="J127"/>
  <c r="L127" s="1"/>
  <c r="J128"/>
  <c r="L128" s="1"/>
  <c r="J129"/>
  <c r="L129" s="1"/>
  <c r="J130"/>
  <c r="K230" s="1"/>
  <c r="J131"/>
  <c r="L131" s="1"/>
  <c r="J132"/>
  <c r="L132" s="1"/>
  <c r="J133"/>
  <c r="L133" s="1"/>
  <c r="J134"/>
  <c r="L134" s="1"/>
  <c r="J135"/>
  <c r="L135" s="1"/>
  <c r="J136"/>
  <c r="L136" s="1"/>
  <c r="J137"/>
  <c r="L137" s="1"/>
  <c r="J138"/>
  <c r="L138" s="1"/>
  <c r="J139"/>
  <c r="L139" s="1"/>
  <c r="J140"/>
  <c r="L140" s="1"/>
  <c r="J141"/>
  <c r="L141" s="1"/>
  <c r="J142"/>
  <c r="L142" s="1"/>
  <c r="J143"/>
  <c r="J144"/>
  <c r="L144" s="1"/>
  <c r="J145"/>
  <c r="L145" s="1"/>
  <c r="J146"/>
  <c r="L146" s="1"/>
  <c r="J147"/>
  <c r="L147" s="1"/>
  <c r="J148"/>
  <c r="L148" s="1"/>
  <c r="J149"/>
  <c r="L149" s="1"/>
  <c r="J150"/>
  <c r="L150" s="1"/>
  <c r="J151"/>
  <c r="L151" s="1"/>
  <c r="J152"/>
  <c r="L152" s="1"/>
  <c r="J153"/>
  <c r="L153" s="1"/>
  <c r="J154"/>
  <c r="L154" s="1"/>
  <c r="J155"/>
  <c r="J156"/>
  <c r="L156" s="1"/>
  <c r="J157"/>
  <c r="L157" s="1"/>
  <c r="J158"/>
  <c r="L158" s="1"/>
  <c r="J159"/>
  <c r="L159" s="1"/>
  <c r="J160"/>
  <c r="L160" s="1"/>
  <c r="J161"/>
  <c r="L161" s="1"/>
  <c r="J162"/>
  <c r="L162" s="1"/>
  <c r="J163"/>
  <c r="K219" s="1"/>
  <c r="B87" i="7"/>
  <c r="B137"/>
  <c r="B81"/>
  <c r="B53"/>
  <c r="D53" s="1"/>
  <c r="B130"/>
  <c r="B141"/>
  <c r="D141" s="1"/>
  <c r="B29"/>
  <c r="F20" i="3"/>
  <c r="B395" i="7"/>
  <c r="B394"/>
  <c r="B393"/>
  <c r="B392"/>
  <c r="B391"/>
  <c r="B390"/>
  <c r="D390" s="1"/>
  <c r="B389"/>
  <c r="B388"/>
  <c r="D388" s="1"/>
  <c r="B387"/>
  <c r="B386"/>
  <c r="B385"/>
  <c r="B384"/>
  <c r="B383"/>
  <c r="B382"/>
  <c r="D382" s="1"/>
  <c r="B381"/>
  <c r="B380"/>
  <c r="D380" s="1"/>
  <c r="B379"/>
  <c r="B378"/>
  <c r="B377"/>
  <c r="B376"/>
  <c r="B375"/>
  <c r="B374"/>
  <c r="D374" s="1"/>
  <c r="B373"/>
  <c r="B372"/>
  <c r="D372" s="1"/>
  <c r="B371"/>
  <c r="B370"/>
  <c r="D370" s="1"/>
  <c r="B369"/>
  <c r="B368"/>
  <c r="B367"/>
  <c r="B366"/>
  <c r="D366" s="1"/>
  <c r="B365"/>
  <c r="B364"/>
  <c r="D364" s="1"/>
  <c r="B363"/>
  <c r="B362"/>
  <c r="B361"/>
  <c r="B360"/>
  <c r="B359"/>
  <c r="B358"/>
  <c r="D358" s="1"/>
  <c r="B357"/>
  <c r="B356"/>
  <c r="D356" s="1"/>
  <c r="B355"/>
  <c r="B354"/>
  <c r="B353"/>
  <c r="B352"/>
  <c r="B351"/>
  <c r="B350"/>
  <c r="D350" s="1"/>
  <c r="B349"/>
  <c r="B348"/>
  <c r="D348" s="1"/>
  <c r="B347"/>
  <c r="B346"/>
  <c r="B345"/>
  <c r="B344"/>
  <c r="B343"/>
  <c r="B342"/>
  <c r="D342" s="1"/>
  <c r="B341"/>
  <c r="B340"/>
  <c r="D340" s="1"/>
  <c r="B339"/>
  <c r="B338"/>
  <c r="D338" s="1"/>
  <c r="B337"/>
  <c r="B336"/>
  <c r="B335"/>
  <c r="B334"/>
  <c r="D334" s="1"/>
  <c r="B333"/>
  <c r="B332"/>
  <c r="D332" s="1"/>
  <c r="B331"/>
  <c r="B330"/>
  <c r="B329"/>
  <c r="B328"/>
  <c r="B327"/>
  <c r="B326"/>
  <c r="D326" s="1"/>
  <c r="B325"/>
  <c r="B324"/>
  <c r="D324" s="1"/>
  <c r="B323"/>
  <c r="B322"/>
  <c r="B321"/>
  <c r="B320"/>
  <c r="B319"/>
  <c r="B318"/>
  <c r="D318" s="1"/>
  <c r="B317"/>
  <c r="B316"/>
  <c r="B315"/>
  <c r="B314"/>
  <c r="B313"/>
  <c r="B312"/>
  <c r="B311"/>
  <c r="B310"/>
  <c r="D310" s="1"/>
  <c r="B309"/>
  <c r="B308"/>
  <c r="D308" s="1"/>
  <c r="B307"/>
  <c r="B306"/>
  <c r="B305"/>
  <c r="B304"/>
  <c r="B303"/>
  <c r="B302"/>
  <c r="D302" s="1"/>
  <c r="B301"/>
  <c r="B300"/>
  <c r="B299"/>
  <c r="B298"/>
  <c r="B297"/>
  <c r="B296"/>
  <c r="B295"/>
  <c r="B294"/>
  <c r="D294" s="1"/>
  <c r="B291"/>
  <c r="B290"/>
  <c r="D290" s="1"/>
  <c r="B287"/>
  <c r="B286"/>
  <c r="D286" s="1"/>
  <c r="B285"/>
  <c r="B284"/>
  <c r="D284" s="1"/>
  <c r="B276"/>
  <c r="B275"/>
  <c r="D275" s="1"/>
  <c r="B274"/>
  <c r="B273"/>
  <c r="B272"/>
  <c r="B271"/>
  <c r="B270"/>
  <c r="B269"/>
  <c r="D269" s="1"/>
  <c r="B268"/>
  <c r="B267"/>
  <c r="D267" s="1"/>
  <c r="B266"/>
  <c r="B265"/>
  <c r="D265" s="1"/>
  <c r="B264"/>
  <c r="B263"/>
  <c r="B262"/>
  <c r="B261"/>
  <c r="D261" s="1"/>
  <c r="B260"/>
  <c r="B259"/>
  <c r="D259" s="1"/>
  <c r="B258"/>
  <c r="B257"/>
  <c r="D257" s="1"/>
  <c r="B256"/>
  <c r="B255"/>
  <c r="B254"/>
  <c r="B253"/>
  <c r="B252"/>
  <c r="B251"/>
  <c r="D251" s="1"/>
  <c r="B209"/>
  <c r="B208"/>
  <c r="B207"/>
  <c r="D207" s="1"/>
  <c r="B203"/>
  <c r="B202"/>
  <c r="B201"/>
  <c r="B200"/>
  <c r="B197"/>
  <c r="B196"/>
  <c r="D196" s="1"/>
  <c r="B195"/>
  <c r="B194"/>
  <c r="B193"/>
  <c r="D193" s="1"/>
  <c r="B189"/>
  <c r="B188"/>
  <c r="B187"/>
  <c r="B186"/>
  <c r="B183"/>
  <c r="B182"/>
  <c r="B181"/>
  <c r="D181" s="1"/>
  <c r="B180"/>
  <c r="B179"/>
  <c r="B178"/>
  <c r="B175"/>
  <c r="B174"/>
  <c r="B173"/>
  <c r="B172"/>
  <c r="D172" s="1"/>
  <c r="B169"/>
  <c r="B168"/>
  <c r="D168" s="1"/>
  <c r="B167"/>
  <c r="B166"/>
  <c r="B165"/>
  <c r="B164"/>
  <c r="B163"/>
  <c r="B162"/>
  <c r="B161"/>
  <c r="B160"/>
  <c r="B159"/>
  <c r="B156"/>
  <c r="B155"/>
  <c r="B154"/>
  <c r="D154" s="1"/>
  <c r="B153"/>
  <c r="B150"/>
  <c r="D150" s="1"/>
  <c r="B149"/>
  <c r="B148"/>
  <c r="D148" s="1"/>
  <c r="B144"/>
  <c r="B143"/>
  <c r="B142"/>
  <c r="B138"/>
  <c r="D138" s="1"/>
  <c r="B136"/>
  <c r="B135"/>
  <c r="D135" s="1"/>
  <c r="B134"/>
  <c r="B131"/>
  <c r="C131" s="1"/>
  <c r="B129"/>
  <c r="B128"/>
  <c r="D128" s="1"/>
  <c r="B127"/>
  <c r="B126"/>
  <c r="B125"/>
  <c r="B124"/>
  <c r="D124" s="1"/>
  <c r="B121"/>
  <c r="B120"/>
  <c r="B117"/>
  <c r="B116"/>
  <c r="B114"/>
  <c r="B104"/>
  <c r="B103"/>
  <c r="B102"/>
  <c r="B101"/>
  <c r="D101" s="1"/>
  <c r="B98"/>
  <c r="D98" s="1"/>
  <c r="B90"/>
  <c r="B89"/>
  <c r="D89" s="1"/>
  <c r="B88"/>
  <c r="D88" s="1"/>
  <c r="B86"/>
  <c r="B85"/>
  <c r="B80"/>
  <c r="D80" s="1"/>
  <c r="B74"/>
  <c r="D74" s="1"/>
  <c r="B73"/>
  <c r="B72"/>
  <c r="D72" s="1"/>
  <c r="B71"/>
  <c r="D71" s="1"/>
  <c r="B70"/>
  <c r="B69"/>
  <c r="D69" s="1"/>
  <c r="B66"/>
  <c r="B65"/>
  <c r="B64"/>
  <c r="D64" s="1"/>
  <c r="B63"/>
  <c r="D63" s="1"/>
  <c r="B62"/>
  <c r="B61"/>
  <c r="D61" s="1"/>
  <c r="B60"/>
  <c r="B59"/>
  <c r="D59" s="1"/>
  <c r="B58"/>
  <c r="B57"/>
  <c r="C56"/>
  <c r="B52"/>
  <c r="B51"/>
  <c r="B50"/>
  <c r="D50" s="1"/>
  <c r="B49"/>
  <c r="B48"/>
  <c r="D48" s="1"/>
  <c r="B47"/>
  <c r="B33"/>
  <c r="D33" s="1"/>
  <c r="B32"/>
  <c r="B31"/>
  <c r="B30"/>
  <c r="K319" i="6"/>
  <c r="J319"/>
  <c r="K318"/>
  <c r="J318"/>
  <c r="L318" s="1"/>
  <c r="J317"/>
  <c r="L317" s="1"/>
  <c r="K316"/>
  <c r="J316"/>
  <c r="L316" s="1"/>
  <c r="J315"/>
  <c r="L315" s="1"/>
  <c r="K314"/>
  <c r="J314"/>
  <c r="L314" s="1"/>
  <c r="J313"/>
  <c r="L313" s="1"/>
  <c r="K312"/>
  <c r="J312"/>
  <c r="L312" s="1"/>
  <c r="K311"/>
  <c r="J311"/>
  <c r="L311" s="1"/>
  <c r="K310"/>
  <c r="J310"/>
  <c r="L310" s="1"/>
  <c r="J309"/>
  <c r="L309" s="1"/>
  <c r="K308"/>
  <c r="J308"/>
  <c r="L308" s="1"/>
  <c r="K307"/>
  <c r="J307"/>
  <c r="L307" s="1"/>
  <c r="K306"/>
  <c r="J306"/>
  <c r="L306" s="1"/>
  <c r="J218"/>
  <c r="L218" s="1"/>
  <c r="J217"/>
  <c r="L217" s="1"/>
  <c r="J216"/>
  <c r="L216" s="1"/>
  <c r="J215"/>
  <c r="L215" s="1"/>
  <c r="J214"/>
  <c r="L214" s="1"/>
  <c r="J213"/>
  <c r="L213" s="1"/>
  <c r="J211"/>
  <c r="L211" s="1"/>
  <c r="J210"/>
  <c r="L210" s="1"/>
  <c r="J209"/>
  <c r="L209" s="1"/>
  <c r="J208"/>
  <c r="L208" s="1"/>
  <c r="J207"/>
  <c r="L207" s="1"/>
  <c r="J206"/>
  <c r="L206" s="1"/>
  <c r="J205"/>
  <c r="L205" s="1"/>
  <c r="J203"/>
  <c r="L203" s="1"/>
  <c r="J202"/>
  <c r="L202" s="1"/>
  <c r="J201"/>
  <c r="L201" s="1"/>
  <c r="J200"/>
  <c r="L200" s="1"/>
  <c r="J199"/>
  <c r="L199" s="1"/>
  <c r="J198"/>
  <c r="L198" s="1"/>
  <c r="J196"/>
  <c r="L196" s="1"/>
  <c r="J195"/>
  <c r="L195" s="1"/>
  <c r="J194"/>
  <c r="L194" s="1"/>
  <c r="J193"/>
  <c r="L193" s="1"/>
  <c r="J192"/>
  <c r="L192" s="1"/>
  <c r="J189"/>
  <c r="D226" i="7" s="1"/>
  <c r="J188" i="6"/>
  <c r="D225" i="7" s="1"/>
  <c r="J187" i="6"/>
  <c r="L187" s="1"/>
  <c r="J186"/>
  <c r="L186" s="1"/>
  <c r="J185"/>
  <c r="L185" s="1"/>
  <c r="J184"/>
  <c r="L184" s="1"/>
  <c r="J183"/>
  <c r="L183" s="1"/>
  <c r="J182"/>
  <c r="J181"/>
  <c r="L181" s="1"/>
  <c r="J179"/>
  <c r="L179" s="1"/>
  <c r="J178"/>
  <c r="L178" s="1"/>
  <c r="J177"/>
  <c r="L177" s="1"/>
  <c r="J176"/>
  <c r="L176" s="1"/>
  <c r="J175"/>
  <c r="L175" s="1"/>
  <c r="J174"/>
  <c r="L174" s="1"/>
  <c r="J173"/>
  <c r="D110" i="7" s="1"/>
  <c r="J172" i="6"/>
  <c r="L172" s="1"/>
  <c r="J171"/>
  <c r="L171" s="1"/>
  <c r="J170"/>
  <c r="L170" s="1"/>
  <c r="J168"/>
  <c r="L168" s="1"/>
  <c r="J167"/>
  <c r="L167" s="1"/>
  <c r="J166"/>
  <c r="L166" s="1"/>
  <c r="J165"/>
  <c r="L165" s="1"/>
  <c r="J164"/>
  <c r="L164" s="1"/>
  <c r="H324" i="5"/>
  <c r="H323"/>
  <c r="H322"/>
  <c r="H321"/>
  <c r="H320"/>
  <c r="H319"/>
  <c r="H318"/>
  <c r="H317"/>
  <c r="H316"/>
  <c r="H315"/>
  <c r="H314"/>
  <c r="H313"/>
  <c r="H312"/>
  <c r="H311"/>
  <c r="H310"/>
  <c r="H309"/>
  <c r="H308"/>
  <c r="H307"/>
  <c r="H306"/>
  <c r="H305"/>
  <c r="H304"/>
  <c r="H303"/>
  <c r="H302"/>
  <c r="H301"/>
  <c r="H300"/>
  <c r="H297"/>
  <c r="H296"/>
  <c r="H295"/>
  <c r="H294"/>
  <c r="H293"/>
  <c r="H292"/>
  <c r="I204" i="7" s="1"/>
  <c r="J204" s="1"/>
  <c r="H291" i="5"/>
  <c r="H290"/>
  <c r="H289"/>
  <c r="H288"/>
  <c r="H287"/>
  <c r="H286"/>
  <c r="H285"/>
  <c r="I36" i="7" s="1"/>
  <c r="J36" s="1"/>
  <c r="H284" i="5"/>
  <c r="H283"/>
  <c r="H282"/>
  <c r="H281"/>
  <c r="H280"/>
  <c r="H279"/>
  <c r="H278"/>
  <c r="H277"/>
  <c r="H276"/>
  <c r="H275"/>
  <c r="H274"/>
  <c r="I78" i="7" s="1"/>
  <c r="J78" s="1"/>
  <c r="H273" i="5"/>
  <c r="I77" i="7" s="1"/>
  <c r="J77" s="1"/>
  <c r="H272" i="5"/>
  <c r="I249" i="7" s="1"/>
  <c r="J249" s="1"/>
  <c r="H271" i="5"/>
  <c r="I248" i="7" s="1"/>
  <c r="J248" s="1"/>
  <c r="H270" i="5"/>
  <c r="I247" i="7" s="1"/>
  <c r="J247" s="1"/>
  <c r="H269" i="5"/>
  <c r="I246" i="7" s="1"/>
  <c r="J246" s="1"/>
  <c r="H266" i="5"/>
  <c r="H265"/>
  <c r="H264"/>
  <c r="H263"/>
  <c r="H262"/>
  <c r="H261"/>
  <c r="H260"/>
  <c r="H259"/>
  <c r="H258"/>
  <c r="H257"/>
  <c r="H256"/>
  <c r="H255"/>
  <c r="H254"/>
  <c r="H253"/>
  <c r="H252"/>
  <c r="H251"/>
  <c r="H250"/>
  <c r="H249"/>
  <c r="H248"/>
  <c r="H247"/>
  <c r="H246"/>
  <c r="H245"/>
  <c r="H244"/>
  <c r="H243"/>
  <c r="H242"/>
  <c r="H241"/>
  <c r="H240"/>
  <c r="H239"/>
  <c r="H238"/>
  <c r="I293" i="7" s="1"/>
  <c r="H237" i="5"/>
  <c r="I292" i="7" s="1"/>
  <c r="H236" i="5"/>
  <c r="H233"/>
  <c r="I288" i="7" s="1"/>
  <c r="J288" s="1"/>
  <c r="H232" i="5"/>
  <c r="H231"/>
  <c r="H230"/>
  <c r="H229"/>
  <c r="H228"/>
  <c r="I283" i="7" s="1"/>
  <c r="H227" i="5"/>
  <c r="I279" i="7" s="1"/>
  <c r="J279" s="1"/>
  <c r="H226" i="5"/>
  <c r="I278" i="7" s="1"/>
  <c r="J278" s="1"/>
  <c r="H225" i="5"/>
  <c r="I277" i="7" s="1"/>
  <c r="J277" s="1"/>
  <c r="H224" i="5"/>
  <c r="H223"/>
  <c r="H222"/>
  <c r="H221"/>
  <c r="H220"/>
  <c r="H219"/>
  <c r="H218"/>
  <c r="H217"/>
  <c r="H216"/>
  <c r="H215"/>
  <c r="H214"/>
  <c r="H213"/>
  <c r="H212"/>
  <c r="H211"/>
  <c r="H210"/>
  <c r="H209"/>
  <c r="H208"/>
  <c r="H207"/>
  <c r="H206"/>
  <c r="H205"/>
  <c r="H204"/>
  <c r="H184"/>
  <c r="I221" i="7" s="1"/>
  <c r="J221" s="1"/>
  <c r="H183" i="5"/>
  <c r="H182"/>
  <c r="H181"/>
  <c r="H180"/>
  <c r="H179"/>
  <c r="I206" i="7" s="1"/>
  <c r="J206" s="1"/>
  <c r="H178" i="5"/>
  <c r="H177"/>
  <c r="H176"/>
  <c r="H175"/>
  <c r="I199" i="7"/>
  <c r="J199" s="1"/>
  <c r="H172" i="5"/>
  <c r="H171"/>
  <c r="H170"/>
  <c r="H168"/>
  <c r="I192" i="7" s="1"/>
  <c r="J192" s="1"/>
  <c r="H167" i="5"/>
  <c r="I191" i="7" s="1"/>
  <c r="J191" s="1"/>
  <c r="H164" i="5"/>
  <c r="H163"/>
  <c r="H162"/>
  <c r="I185" i="7" s="1"/>
  <c r="J185" s="1"/>
  <c r="H161" i="5"/>
  <c r="H160"/>
  <c r="H159"/>
  <c r="H158"/>
  <c r="H157"/>
  <c r="H156"/>
  <c r="H155"/>
  <c r="I177" i="7" s="1"/>
  <c r="J177" s="1"/>
  <c r="H154" i="5"/>
  <c r="I219" i="7" s="1"/>
  <c r="J219" s="1"/>
  <c r="H153" i="5"/>
  <c r="I218" i="7" s="1"/>
  <c r="J218" s="1"/>
  <c r="H152" i="5"/>
  <c r="I217" i="7" s="1"/>
  <c r="J217" s="1"/>
  <c r="H151" i="5"/>
  <c r="I216" i="7" s="1"/>
  <c r="J216" s="1"/>
  <c r="H150" i="5"/>
  <c r="H149"/>
  <c r="H148"/>
  <c r="H147"/>
  <c r="H146"/>
  <c r="H145"/>
  <c r="I171" i="7" s="1"/>
  <c r="J171" s="1"/>
  <c r="H144" i="5"/>
  <c r="H143"/>
  <c r="H142"/>
  <c r="H141"/>
  <c r="H140"/>
  <c r="H139"/>
  <c r="H138"/>
  <c r="H137"/>
  <c r="H136"/>
  <c r="H135"/>
  <c r="H134"/>
  <c r="H132"/>
  <c r="I158" i="7" s="1"/>
  <c r="J158" s="1"/>
  <c r="H131" i="5"/>
  <c r="H130"/>
  <c r="H129"/>
  <c r="H128"/>
  <c r="I152" i="7" s="1"/>
  <c r="J152" s="1"/>
  <c r="H127" i="5"/>
  <c r="H126"/>
  <c r="H124"/>
  <c r="I147" i="7" s="1"/>
  <c r="J147" s="1"/>
  <c r="H123" i="5"/>
  <c r="I146" i="7" s="1"/>
  <c r="J146" s="1"/>
  <c r="H122" i="5"/>
  <c r="H121"/>
  <c r="H120"/>
  <c r="H119"/>
  <c r="H118"/>
  <c r="I140" i="7" s="1"/>
  <c r="J140" s="1"/>
  <c r="H117" i="5"/>
  <c r="H116"/>
  <c r="H115"/>
  <c r="H114"/>
  <c r="H113"/>
  <c r="H112"/>
  <c r="I133" i="7" s="1"/>
  <c r="J133" s="1"/>
  <c r="H111" i="5"/>
  <c r="H110"/>
  <c r="H109"/>
  <c r="H108"/>
  <c r="H107"/>
  <c r="H106"/>
  <c r="H105"/>
  <c r="H104"/>
  <c r="H103"/>
  <c r="I123" i="7" s="1"/>
  <c r="J123" s="1"/>
  <c r="H102" i="5"/>
  <c r="H101"/>
  <c r="H100"/>
  <c r="I119" i="7" s="1"/>
  <c r="J119" s="1"/>
  <c r="H99" i="5"/>
  <c r="H98"/>
  <c r="H97"/>
  <c r="H96"/>
  <c r="H95"/>
  <c r="I113" i="7" s="1"/>
  <c r="J113" s="1"/>
  <c r="H94" i="5"/>
  <c r="I111" i="7" s="1"/>
  <c r="J111" s="1"/>
  <c r="H91" i="5"/>
  <c r="I108" i="7" s="1"/>
  <c r="J108" s="1"/>
  <c r="H90" i="5"/>
  <c r="I107" i="7" s="1"/>
  <c r="J107" s="1"/>
  <c r="H89" i="5"/>
  <c r="H88"/>
  <c r="H87"/>
  <c r="H86"/>
  <c r="H85"/>
  <c r="I100" i="7" s="1"/>
  <c r="J100" s="1"/>
  <c r="H84" i="5"/>
  <c r="H83"/>
  <c r="I97" i="7" s="1"/>
  <c r="J97" s="1"/>
  <c r="H82" i="5"/>
  <c r="H81"/>
  <c r="I95" i="7" s="1"/>
  <c r="H80" i="5"/>
  <c r="H79"/>
  <c r="I93" i="7" s="1"/>
  <c r="H78" i="5"/>
  <c r="I92" i="7" s="1"/>
  <c r="J92" s="1"/>
  <c r="H77" i="5"/>
  <c r="H76"/>
  <c r="H75"/>
  <c r="H74"/>
  <c r="H73"/>
  <c r="H72"/>
  <c r="H71"/>
  <c r="I84" i="7" s="1"/>
  <c r="J84" s="1"/>
  <c r="H70" i="5"/>
  <c r="I83" i="7" s="1"/>
  <c r="J83" s="1"/>
  <c r="H69" i="5"/>
  <c r="H68"/>
  <c r="H67"/>
  <c r="H66"/>
  <c r="I76" i="7" s="1"/>
  <c r="J76" s="1"/>
  <c r="H65" i="5"/>
  <c r="H64"/>
  <c r="H63"/>
  <c r="H62"/>
  <c r="H61"/>
  <c r="H60"/>
  <c r="H59"/>
  <c r="I68" i="7" s="1"/>
  <c r="J68" s="1"/>
  <c r="H58" i="5"/>
  <c r="H57"/>
  <c r="H56"/>
  <c r="H55"/>
  <c r="H54"/>
  <c r="H53"/>
  <c r="H52"/>
  <c r="H51"/>
  <c r="H50"/>
  <c r="H49"/>
  <c r="H48"/>
  <c r="H47"/>
  <c r="I55" i="7" s="1"/>
  <c r="J55" s="1"/>
  <c r="H46" i="5"/>
  <c r="H45"/>
  <c r="H44"/>
  <c r="H43"/>
  <c r="H42"/>
  <c r="H41"/>
  <c r="H40"/>
  <c r="H38"/>
  <c r="H36"/>
  <c r="H34"/>
  <c r="H33"/>
  <c r="H31"/>
  <c r="H30"/>
  <c r="H29"/>
  <c r="H28"/>
  <c r="H27"/>
  <c r="H26"/>
  <c r="H25"/>
  <c r="H23"/>
  <c r="H22"/>
  <c r="I25" i="7" s="1"/>
  <c r="H21" i="5"/>
  <c r="H20"/>
  <c r="H19"/>
  <c r="H18"/>
  <c r="H17"/>
  <c r="H16"/>
  <c r="H15"/>
  <c r="H12"/>
  <c r="H11"/>
  <c r="H10"/>
  <c r="H9"/>
  <c r="H8"/>
  <c r="H7"/>
  <c r="F130" i="4"/>
  <c r="F129"/>
  <c r="F128"/>
  <c r="F127"/>
  <c r="F126"/>
  <c r="F125"/>
  <c r="F124"/>
  <c r="F123"/>
  <c r="F122"/>
  <c r="F121"/>
  <c r="F120"/>
  <c r="F119"/>
  <c r="F118"/>
  <c r="F117"/>
  <c r="F116"/>
  <c r="F115"/>
  <c r="F114"/>
  <c r="F113"/>
  <c r="F112"/>
  <c r="F111"/>
  <c r="F110"/>
  <c r="F109"/>
  <c r="F108"/>
  <c r="F107"/>
  <c r="F106"/>
  <c r="F105"/>
  <c r="F104"/>
  <c r="F103"/>
  <c r="F102"/>
  <c r="F101"/>
  <c r="F100"/>
  <c r="F99"/>
  <c r="F98"/>
  <c r="F97"/>
  <c r="F96"/>
  <c r="F95"/>
  <c r="F94"/>
  <c r="F93"/>
  <c r="F92"/>
  <c r="F91"/>
  <c r="F90"/>
  <c r="F89"/>
  <c r="F88"/>
  <c r="F87"/>
  <c r="F86"/>
  <c r="F85"/>
  <c r="F84"/>
  <c r="F83"/>
  <c r="F82"/>
  <c r="F81"/>
  <c r="F80"/>
  <c r="F79"/>
  <c r="F78"/>
  <c r="F77"/>
  <c r="F76"/>
  <c r="F75"/>
  <c r="F74"/>
  <c r="F73"/>
  <c r="F72"/>
  <c r="F71"/>
  <c r="F70"/>
  <c r="F69"/>
  <c r="F68"/>
  <c r="F67"/>
  <c r="F66"/>
  <c r="F65"/>
  <c r="F64"/>
  <c r="F63"/>
  <c r="F62"/>
  <c r="F61"/>
  <c r="F60"/>
  <c r="F59"/>
  <c r="F58"/>
  <c r="F57"/>
  <c r="F56"/>
  <c r="F55"/>
  <c r="F54"/>
  <c r="F53"/>
  <c r="F52"/>
  <c r="F51"/>
  <c r="F50"/>
  <c r="F49"/>
  <c r="F48"/>
  <c r="F47"/>
  <c r="F46"/>
  <c r="F45"/>
  <c r="F44"/>
  <c r="F43"/>
  <c r="F42"/>
  <c r="F41"/>
  <c r="F40"/>
  <c r="F39"/>
  <c r="F38"/>
  <c r="F37"/>
  <c r="F36"/>
  <c r="F35"/>
  <c r="F34"/>
  <c r="F33"/>
  <c r="F32"/>
  <c r="F31"/>
  <c r="F30"/>
  <c r="F29"/>
  <c r="F28"/>
  <c r="F27"/>
  <c r="F26"/>
  <c r="F25"/>
  <c r="F24"/>
  <c r="F23"/>
  <c r="F22"/>
  <c r="F21"/>
  <c r="F20"/>
  <c r="F19"/>
  <c r="F18"/>
  <c r="F17"/>
  <c r="F16"/>
  <c r="F15"/>
  <c r="F14"/>
  <c r="F13"/>
  <c r="F12"/>
  <c r="F11"/>
  <c r="F10"/>
  <c r="F9"/>
  <c r="F8"/>
  <c r="G395" i="3"/>
  <c r="F395"/>
  <c r="G394"/>
  <c r="F394"/>
  <c r="G393"/>
  <c r="F393"/>
  <c r="G392"/>
  <c r="F392"/>
  <c r="G391"/>
  <c r="F391"/>
  <c r="G390"/>
  <c r="F390"/>
  <c r="G389"/>
  <c r="F389"/>
  <c r="G388"/>
  <c r="F388"/>
  <c r="G387"/>
  <c r="F387"/>
  <c r="G386"/>
  <c r="F386"/>
  <c r="G385"/>
  <c r="F385"/>
  <c r="G384"/>
  <c r="F384"/>
  <c r="G383"/>
  <c r="F383"/>
  <c r="G382"/>
  <c r="F382"/>
  <c r="G381"/>
  <c r="F381"/>
  <c r="G380"/>
  <c r="F380"/>
  <c r="G379"/>
  <c r="F379"/>
  <c r="G378"/>
  <c r="F378"/>
  <c r="G377"/>
  <c r="F377"/>
  <c r="G376"/>
  <c r="F376"/>
  <c r="G375"/>
  <c r="F375"/>
  <c r="G374"/>
  <c r="F374"/>
  <c r="G373"/>
  <c r="F373"/>
  <c r="G372"/>
  <c r="F372"/>
  <c r="G371"/>
  <c r="F371"/>
  <c r="G370"/>
  <c r="F370"/>
  <c r="G369"/>
  <c r="F369"/>
  <c r="G368"/>
  <c r="F368"/>
  <c r="G367"/>
  <c r="F367"/>
  <c r="G366"/>
  <c r="F366"/>
  <c r="G365"/>
  <c r="F365"/>
  <c r="G364"/>
  <c r="F364"/>
  <c r="G363"/>
  <c r="F363"/>
  <c r="G362"/>
  <c r="F362"/>
  <c r="G361"/>
  <c r="F361"/>
  <c r="G360"/>
  <c r="F360"/>
  <c r="G359"/>
  <c r="F359"/>
  <c r="G358"/>
  <c r="F358"/>
  <c r="G357"/>
  <c r="F357"/>
  <c r="G356"/>
  <c r="F356"/>
  <c r="G355"/>
  <c r="F355"/>
  <c r="G354"/>
  <c r="F354"/>
  <c r="G353"/>
  <c r="F353"/>
  <c r="G352"/>
  <c r="F352"/>
  <c r="G351"/>
  <c r="F351"/>
  <c r="G350"/>
  <c r="F350"/>
  <c r="G349"/>
  <c r="F349"/>
  <c r="G348"/>
  <c r="F348"/>
  <c r="G347"/>
  <c r="F347"/>
  <c r="G346"/>
  <c r="F346"/>
  <c r="G345"/>
  <c r="F345"/>
  <c r="G344"/>
  <c r="F344"/>
  <c r="G343"/>
  <c r="F343"/>
  <c r="G342"/>
  <c r="F342"/>
  <c r="G341"/>
  <c r="F341"/>
  <c r="G340"/>
  <c r="F340"/>
  <c r="G339"/>
  <c r="F339"/>
  <c r="G338"/>
  <c r="F338"/>
  <c r="G337"/>
  <c r="F337"/>
  <c r="G336"/>
  <c r="F336"/>
  <c r="G335"/>
  <c r="F335"/>
  <c r="G334"/>
  <c r="F334"/>
  <c r="G333"/>
  <c r="F333"/>
  <c r="G332"/>
  <c r="F332"/>
  <c r="G331"/>
  <c r="F331"/>
  <c r="G330"/>
  <c r="F330"/>
  <c r="G329"/>
  <c r="F329"/>
  <c r="G328"/>
  <c r="F328"/>
  <c r="G327"/>
  <c r="F327"/>
  <c r="G326"/>
  <c r="F326"/>
  <c r="G325"/>
  <c r="F325"/>
  <c r="G324"/>
  <c r="F324"/>
  <c r="G323"/>
  <c r="F323"/>
  <c r="G322"/>
  <c r="F322"/>
  <c r="G321"/>
  <c r="F321"/>
  <c r="G320"/>
  <c r="F320"/>
  <c r="G319"/>
  <c r="F319"/>
  <c r="G318"/>
  <c r="F318"/>
  <c r="G317"/>
  <c r="F317"/>
  <c r="G316"/>
  <c r="F316"/>
  <c r="G315"/>
  <c r="F315"/>
  <c r="G314"/>
  <c r="F314"/>
  <c r="G313"/>
  <c r="F313"/>
  <c r="G312"/>
  <c r="F312"/>
  <c r="G311"/>
  <c r="F311"/>
  <c r="G310"/>
  <c r="F310"/>
  <c r="G309"/>
  <c r="F309"/>
  <c r="G308"/>
  <c r="F308"/>
  <c r="G307"/>
  <c r="F307"/>
  <c r="G306"/>
  <c r="F306"/>
  <c r="G305"/>
  <c r="F305"/>
  <c r="G304"/>
  <c r="F304"/>
  <c r="G303"/>
  <c r="F303"/>
  <c r="G302"/>
  <c r="F302"/>
  <c r="G301"/>
  <c r="F301"/>
  <c r="G300"/>
  <c r="F300"/>
  <c r="G299"/>
  <c r="F299"/>
  <c r="G298"/>
  <c r="F298"/>
  <c r="G297"/>
  <c r="F297"/>
  <c r="G296"/>
  <c r="F296"/>
  <c r="G295"/>
  <c r="F295"/>
  <c r="G294"/>
  <c r="F294"/>
  <c r="G293"/>
  <c r="F293"/>
  <c r="G292"/>
  <c r="F292"/>
  <c r="G291"/>
  <c r="F291"/>
  <c r="G290"/>
  <c r="F290"/>
  <c r="G287"/>
  <c r="F287"/>
  <c r="G286"/>
  <c r="F286"/>
  <c r="G285"/>
  <c r="F285"/>
  <c r="G284"/>
  <c r="F284"/>
  <c r="G283"/>
  <c r="F283"/>
  <c r="G282"/>
  <c r="F282"/>
  <c r="G281"/>
  <c r="F281"/>
  <c r="G280"/>
  <c r="F280"/>
  <c r="G276"/>
  <c r="F276"/>
  <c r="G275"/>
  <c r="F275"/>
  <c r="G274"/>
  <c r="F274"/>
  <c r="G273"/>
  <c r="F273"/>
  <c r="G272"/>
  <c r="F272"/>
  <c r="G271"/>
  <c r="F271"/>
  <c r="G270"/>
  <c r="F270"/>
  <c r="G269"/>
  <c r="F269"/>
  <c r="G268"/>
  <c r="F268"/>
  <c r="G267"/>
  <c r="F267"/>
  <c r="G266"/>
  <c r="F266"/>
  <c r="G265"/>
  <c r="F265"/>
  <c r="G264"/>
  <c r="F264"/>
  <c r="G263"/>
  <c r="F263"/>
  <c r="G262"/>
  <c r="F262"/>
  <c r="G261"/>
  <c r="F261"/>
  <c r="G260"/>
  <c r="F260"/>
  <c r="G259"/>
  <c r="F259"/>
  <c r="G258"/>
  <c r="F258"/>
  <c r="G257"/>
  <c r="F257"/>
  <c r="G256"/>
  <c r="F256"/>
  <c r="G255"/>
  <c r="F255"/>
  <c r="G254"/>
  <c r="F254"/>
  <c r="G253"/>
  <c r="F253"/>
  <c r="G252"/>
  <c r="F252"/>
  <c r="G210"/>
  <c r="F210"/>
  <c r="G209"/>
  <c r="F209"/>
  <c r="G208"/>
  <c r="F208"/>
  <c r="G207"/>
  <c r="F207"/>
  <c r="G203"/>
  <c r="F203"/>
  <c r="G202"/>
  <c r="F202"/>
  <c r="G201"/>
  <c r="F201"/>
  <c r="G200"/>
  <c r="F200"/>
  <c r="G197"/>
  <c r="F197"/>
  <c r="G196"/>
  <c r="F196"/>
  <c r="G195"/>
  <c r="F195"/>
  <c r="G194"/>
  <c r="F194"/>
  <c r="G193"/>
  <c r="F193"/>
  <c r="G189"/>
  <c r="F189"/>
  <c r="G188"/>
  <c r="F188"/>
  <c r="G187"/>
  <c r="F187"/>
  <c r="G186"/>
  <c r="F186"/>
  <c r="G183"/>
  <c r="F183"/>
  <c r="G182"/>
  <c r="F182"/>
  <c r="G181"/>
  <c r="F181"/>
  <c r="G180"/>
  <c r="F180"/>
  <c r="G179"/>
  <c r="F179"/>
  <c r="G178"/>
  <c r="F178"/>
  <c r="G175"/>
  <c r="F175"/>
  <c r="G174"/>
  <c r="F174"/>
  <c r="G173"/>
  <c r="F173"/>
  <c r="G172"/>
  <c r="F172"/>
  <c r="G169"/>
  <c r="F169"/>
  <c r="G168"/>
  <c r="F168"/>
  <c r="G167"/>
  <c r="F167"/>
  <c r="G166"/>
  <c r="F166"/>
  <c r="G165"/>
  <c r="F165"/>
  <c r="G164"/>
  <c r="F164"/>
  <c r="G163"/>
  <c r="F163"/>
  <c r="G162"/>
  <c r="F162"/>
  <c r="G161"/>
  <c r="F161"/>
  <c r="G160"/>
  <c r="F160"/>
  <c r="G159"/>
  <c r="F159"/>
  <c r="G156"/>
  <c r="F156"/>
  <c r="G155"/>
  <c r="F155"/>
  <c r="G154"/>
  <c r="F154"/>
  <c r="G153"/>
  <c r="F153"/>
  <c r="G150"/>
  <c r="F150"/>
  <c r="G149"/>
  <c r="F149"/>
  <c r="G148"/>
  <c r="F148"/>
  <c r="G144"/>
  <c r="F144"/>
  <c r="G143"/>
  <c r="F143"/>
  <c r="G142"/>
  <c r="F142"/>
  <c r="G141"/>
  <c r="F141"/>
  <c r="G138"/>
  <c r="F138"/>
  <c r="G137"/>
  <c r="F137"/>
  <c r="G136"/>
  <c r="F136"/>
  <c r="G135"/>
  <c r="F135"/>
  <c r="G134"/>
  <c r="F134"/>
  <c r="G131"/>
  <c r="F131"/>
  <c r="G130"/>
  <c r="F130"/>
  <c r="G129"/>
  <c r="F129"/>
  <c r="G128"/>
  <c r="F128"/>
  <c r="G127"/>
  <c r="F127"/>
  <c r="G126"/>
  <c r="F126"/>
  <c r="G125"/>
  <c r="F125"/>
  <c r="G124"/>
  <c r="F124"/>
  <c r="G121"/>
  <c r="F121"/>
  <c r="G120"/>
  <c r="F120"/>
  <c r="G117"/>
  <c r="F117"/>
  <c r="G116"/>
  <c r="F116"/>
  <c r="G115"/>
  <c r="F115"/>
  <c r="G114"/>
  <c r="F114"/>
  <c r="G104"/>
  <c r="F104"/>
  <c r="G103"/>
  <c r="F103"/>
  <c r="G102"/>
  <c r="F102"/>
  <c r="G101"/>
  <c r="F101"/>
  <c r="G98"/>
  <c r="F98"/>
  <c r="G97"/>
  <c r="F97"/>
  <c r="G96"/>
  <c r="F96"/>
  <c r="G95"/>
  <c r="F95"/>
  <c r="G94"/>
  <c r="F94"/>
  <c r="G93"/>
  <c r="F93"/>
  <c r="G90"/>
  <c r="F90"/>
  <c r="G89"/>
  <c r="F89"/>
  <c r="G88"/>
  <c r="F88"/>
  <c r="G87"/>
  <c r="F87"/>
  <c r="G86"/>
  <c r="F86"/>
  <c r="G85"/>
  <c r="F85"/>
  <c r="G84"/>
  <c r="F84"/>
  <c r="G83"/>
  <c r="F83"/>
  <c r="G81"/>
  <c r="F81"/>
  <c r="G80"/>
  <c r="F80"/>
  <c r="G79"/>
  <c r="F79"/>
  <c r="G74"/>
  <c r="F74"/>
  <c r="G73"/>
  <c r="F73"/>
  <c r="G72"/>
  <c r="F72"/>
  <c r="G71"/>
  <c r="F71"/>
  <c r="G70"/>
  <c r="F70"/>
  <c r="G69"/>
  <c r="F69"/>
  <c r="G66"/>
  <c r="F66"/>
  <c r="G65"/>
  <c r="F65"/>
  <c r="G64"/>
  <c r="F64"/>
  <c r="G63"/>
  <c r="F63"/>
  <c r="G62"/>
  <c r="F62"/>
  <c r="G61"/>
  <c r="F61"/>
  <c r="G60"/>
  <c r="F60"/>
  <c r="G59"/>
  <c r="F59"/>
  <c r="G58"/>
  <c r="F58"/>
  <c r="G57"/>
  <c r="F57"/>
  <c r="G56"/>
  <c r="F56"/>
  <c r="G53"/>
  <c r="F53"/>
  <c r="G52"/>
  <c r="F52"/>
  <c r="G51"/>
  <c r="F51"/>
  <c r="G50"/>
  <c r="F50"/>
  <c r="G49"/>
  <c r="F49"/>
  <c r="G48"/>
  <c r="F48"/>
  <c r="G47"/>
  <c r="F47"/>
  <c r="G33"/>
  <c r="F33"/>
  <c r="G32"/>
  <c r="F32"/>
  <c r="G31"/>
  <c r="F31"/>
  <c r="G30"/>
  <c r="F30"/>
  <c r="G29"/>
  <c r="F29"/>
  <c r="G28"/>
  <c r="F28"/>
  <c r="G27"/>
  <c r="F27"/>
  <c r="G23"/>
  <c r="F23"/>
  <c r="G22"/>
  <c r="F22"/>
  <c r="G21"/>
  <c r="F21"/>
  <c r="G20"/>
  <c r="G19"/>
  <c r="F19"/>
  <c r="G18"/>
  <c r="F18"/>
  <c r="G17"/>
  <c r="F17"/>
  <c r="G14"/>
  <c r="F14"/>
  <c r="G13"/>
  <c r="F13"/>
  <c r="G12"/>
  <c r="F12"/>
  <c r="G11"/>
  <c r="F11"/>
  <c r="G10"/>
  <c r="F10"/>
  <c r="H7" a="1"/>
  <c r="H7" s="1"/>
  <c r="C65" i="7" l="1"/>
  <c r="D65"/>
  <c r="C102"/>
  <c r="D102"/>
  <c r="C116"/>
  <c r="D116"/>
  <c r="C143"/>
  <c r="D143"/>
  <c r="C178"/>
  <c r="D178"/>
  <c r="H182"/>
  <c r="D182"/>
  <c r="C188"/>
  <c r="D188"/>
  <c r="F195"/>
  <c r="D195"/>
  <c r="C201"/>
  <c r="D201"/>
  <c r="F208"/>
  <c r="D208"/>
  <c r="F273"/>
  <c r="D273"/>
  <c r="I296"/>
  <c r="D296"/>
  <c r="H300"/>
  <c r="D300"/>
  <c r="I304"/>
  <c r="D304"/>
  <c r="I328"/>
  <c r="D328"/>
  <c r="I344"/>
  <c r="D344"/>
  <c r="I360"/>
  <c r="D360"/>
  <c r="I376"/>
  <c r="D376"/>
  <c r="I392"/>
  <c r="D392"/>
  <c r="L24" i="6"/>
  <c r="D95" i="7"/>
  <c r="E95" s="1"/>
  <c r="G95" s="1"/>
  <c r="K20" i="6"/>
  <c r="K322"/>
  <c r="L12"/>
  <c r="K335"/>
  <c r="L8"/>
  <c r="K339"/>
  <c r="D28" i="7"/>
  <c r="C28"/>
  <c r="K309" i="6"/>
  <c r="K313"/>
  <c r="D253" i="7"/>
  <c r="K180" i="6"/>
  <c r="K204"/>
  <c r="K303"/>
  <c r="K301"/>
  <c r="K299"/>
  <c r="K297"/>
  <c r="K295"/>
  <c r="K293"/>
  <c r="K291"/>
  <c r="K289"/>
  <c r="K285"/>
  <c r="K283"/>
  <c r="K281"/>
  <c r="K279"/>
  <c r="K277"/>
  <c r="K273"/>
  <c r="K269"/>
  <c r="K267"/>
  <c r="K265"/>
  <c r="K263"/>
  <c r="K261"/>
  <c r="K257"/>
  <c r="K249"/>
  <c r="K247"/>
  <c r="K245"/>
  <c r="K243"/>
  <c r="K235"/>
  <c r="K233"/>
  <c r="K231"/>
  <c r="K227"/>
  <c r="K225"/>
  <c r="K221"/>
  <c r="D23" i="7"/>
  <c r="D19"/>
  <c r="D12"/>
  <c r="D8"/>
  <c r="C57"/>
  <c r="D57"/>
  <c r="C156"/>
  <c r="D156"/>
  <c r="C162"/>
  <c r="D162"/>
  <c r="C166"/>
  <c r="D166"/>
  <c r="I312"/>
  <c r="D312"/>
  <c r="H316"/>
  <c r="D316"/>
  <c r="I320"/>
  <c r="D320"/>
  <c r="I336"/>
  <c r="D336"/>
  <c r="I352"/>
  <c r="D352"/>
  <c r="I368"/>
  <c r="D368"/>
  <c r="I384"/>
  <c r="D384"/>
  <c r="L163" i="6"/>
  <c r="K331"/>
  <c r="L116"/>
  <c r="K332"/>
  <c r="L68"/>
  <c r="K333"/>
  <c r="L32"/>
  <c r="D115" i="7"/>
  <c r="F60"/>
  <c r="D60"/>
  <c r="C70"/>
  <c r="D70"/>
  <c r="C121"/>
  <c r="D121"/>
  <c r="F134"/>
  <c r="D134"/>
  <c r="C142"/>
  <c r="D142"/>
  <c r="C155"/>
  <c r="D155"/>
  <c r="H169"/>
  <c r="D169"/>
  <c r="C175"/>
  <c r="D175"/>
  <c r="F187"/>
  <c r="D187"/>
  <c r="F200"/>
  <c r="D200"/>
  <c r="F252"/>
  <c r="D252"/>
  <c r="F260"/>
  <c r="D260"/>
  <c r="C264"/>
  <c r="D264"/>
  <c r="F268"/>
  <c r="D268"/>
  <c r="C272"/>
  <c r="D272"/>
  <c r="C276"/>
  <c r="D276"/>
  <c r="C287"/>
  <c r="D287"/>
  <c r="F295"/>
  <c r="D295"/>
  <c r="F299"/>
  <c r="D299"/>
  <c r="F303"/>
  <c r="D303"/>
  <c r="F307"/>
  <c r="D307"/>
  <c r="F311"/>
  <c r="D311"/>
  <c r="F315"/>
  <c r="D315"/>
  <c r="F319"/>
  <c r="D319"/>
  <c r="F323"/>
  <c r="D323"/>
  <c r="F327"/>
  <c r="D327"/>
  <c r="F331"/>
  <c r="D331"/>
  <c r="F335"/>
  <c r="D335"/>
  <c r="F339"/>
  <c r="D339"/>
  <c r="F343"/>
  <c r="D343"/>
  <c r="F347"/>
  <c r="D347"/>
  <c r="F351"/>
  <c r="D351"/>
  <c r="F355"/>
  <c r="D355"/>
  <c r="F359"/>
  <c r="D359"/>
  <c r="F363"/>
  <c r="D363"/>
  <c r="F367"/>
  <c r="D367"/>
  <c r="F371"/>
  <c r="D371"/>
  <c r="F375"/>
  <c r="D375"/>
  <c r="F379"/>
  <c r="D379"/>
  <c r="F383"/>
  <c r="D383"/>
  <c r="F387"/>
  <c r="D387"/>
  <c r="F391"/>
  <c r="D391"/>
  <c r="F395"/>
  <c r="D395"/>
  <c r="C130"/>
  <c r="D130"/>
  <c r="L85" i="6"/>
  <c r="K338"/>
  <c r="L44"/>
  <c r="K340"/>
  <c r="L266"/>
  <c r="K327"/>
  <c r="L222"/>
  <c r="D43" i="7"/>
  <c r="E43" s="1"/>
  <c r="G43" s="1"/>
  <c r="C13"/>
  <c r="D13"/>
  <c r="E13" s="1"/>
  <c r="K315" i="6"/>
  <c r="K317"/>
  <c r="D32" i="7"/>
  <c r="D49"/>
  <c r="D114"/>
  <c r="D127"/>
  <c r="D149"/>
  <c r="D161"/>
  <c r="D165"/>
  <c r="D194"/>
  <c r="D256"/>
  <c r="D87"/>
  <c r="K160" i="6"/>
  <c r="D22" i="7"/>
  <c r="D9"/>
  <c r="F31"/>
  <c r="D31"/>
  <c r="C73"/>
  <c r="D73"/>
  <c r="C86"/>
  <c r="D86"/>
  <c r="F346"/>
  <c r="D346"/>
  <c r="I362"/>
  <c r="D362"/>
  <c r="I386"/>
  <c r="D386"/>
  <c r="K197" i="6"/>
  <c r="K304"/>
  <c r="K294"/>
  <c r="K286"/>
  <c r="K284"/>
  <c r="K282"/>
  <c r="K280"/>
  <c r="K278"/>
  <c r="K276"/>
  <c r="K274"/>
  <c r="K272"/>
  <c r="K270"/>
  <c r="K268"/>
  <c r="K262"/>
  <c r="K260"/>
  <c r="K258"/>
  <c r="K252"/>
  <c r="K248"/>
  <c r="K246"/>
  <c r="K244"/>
  <c r="K242"/>
  <c r="K238"/>
  <c r="K236"/>
  <c r="K234"/>
  <c r="K228"/>
  <c r="K226"/>
  <c r="K224"/>
  <c r="K220"/>
  <c r="D21" i="7"/>
  <c r="D10"/>
  <c r="C52"/>
  <c r="D52"/>
  <c r="F104"/>
  <c r="D104"/>
  <c r="C120"/>
  <c r="D120"/>
  <c r="F160"/>
  <c r="D160"/>
  <c r="C164"/>
  <c r="D164"/>
  <c r="C174"/>
  <c r="D174"/>
  <c r="C186"/>
  <c r="D186"/>
  <c r="E186" s="1"/>
  <c r="F197"/>
  <c r="D197"/>
  <c r="F203"/>
  <c r="D203"/>
  <c r="C255"/>
  <c r="D255"/>
  <c r="C263"/>
  <c r="D263"/>
  <c r="E263" s="1"/>
  <c r="H271"/>
  <c r="D271"/>
  <c r="I298"/>
  <c r="D298"/>
  <c r="I306"/>
  <c r="D306"/>
  <c r="F314"/>
  <c r="D314"/>
  <c r="I322"/>
  <c r="D322"/>
  <c r="I330"/>
  <c r="D330"/>
  <c r="I354"/>
  <c r="D354"/>
  <c r="H378"/>
  <c r="D378"/>
  <c r="I394"/>
  <c r="D394"/>
  <c r="C137"/>
  <c r="D137"/>
  <c r="K94" i="6"/>
  <c r="D39" i="7"/>
  <c r="E39" s="1"/>
  <c r="G39" s="1"/>
  <c r="L58" i="6"/>
  <c r="K325"/>
  <c r="L14"/>
  <c r="K336"/>
  <c r="L182"/>
  <c r="K321"/>
  <c r="C30" i="7"/>
  <c r="D30"/>
  <c r="F47"/>
  <c r="D47"/>
  <c r="C51"/>
  <c r="D51"/>
  <c r="C62"/>
  <c r="D62"/>
  <c r="F66"/>
  <c r="D66"/>
  <c r="C85"/>
  <c r="D85"/>
  <c r="C90"/>
  <c r="D90"/>
  <c r="C103"/>
  <c r="D103"/>
  <c r="E103" s="1"/>
  <c r="C117"/>
  <c r="D117"/>
  <c r="C129"/>
  <c r="D129"/>
  <c r="H136"/>
  <c r="D136"/>
  <c r="C153"/>
  <c r="D153"/>
  <c r="C173"/>
  <c r="D173"/>
  <c r="C179"/>
  <c r="D179"/>
  <c r="C183"/>
  <c r="D183"/>
  <c r="C189"/>
  <c r="D189"/>
  <c r="E189" s="1"/>
  <c r="F254"/>
  <c r="D254"/>
  <c r="F258"/>
  <c r="D258"/>
  <c r="F262"/>
  <c r="D262"/>
  <c r="F266"/>
  <c r="D266"/>
  <c r="F270"/>
  <c r="D270"/>
  <c r="F274"/>
  <c r="D274"/>
  <c r="F285"/>
  <c r="D285"/>
  <c r="F291"/>
  <c r="D291"/>
  <c r="C297"/>
  <c r="D297"/>
  <c r="C301"/>
  <c r="D301"/>
  <c r="C305"/>
  <c r="D305"/>
  <c r="C309"/>
  <c r="D309"/>
  <c r="C313"/>
  <c r="D313"/>
  <c r="C317"/>
  <c r="D317"/>
  <c r="C321"/>
  <c r="D321"/>
  <c r="C325"/>
  <c r="D325"/>
  <c r="C329"/>
  <c r="D329"/>
  <c r="C333"/>
  <c r="D333"/>
  <c r="C337"/>
  <c r="D337"/>
  <c r="C341"/>
  <c r="D341"/>
  <c r="C345"/>
  <c r="D345"/>
  <c r="C349"/>
  <c r="D349"/>
  <c r="C353"/>
  <c r="D353"/>
  <c r="C357"/>
  <c r="D357"/>
  <c r="C361"/>
  <c r="D361"/>
  <c r="C365"/>
  <c r="D365"/>
  <c r="C369"/>
  <c r="D369"/>
  <c r="C373"/>
  <c r="D373"/>
  <c r="C377"/>
  <c r="D377"/>
  <c r="C381"/>
  <c r="D381"/>
  <c r="C385"/>
  <c r="D385"/>
  <c r="C389"/>
  <c r="D389"/>
  <c r="C393"/>
  <c r="D393"/>
  <c r="C29"/>
  <c r="D29"/>
  <c r="H81"/>
  <c r="D81"/>
  <c r="L143" i="6"/>
  <c r="H101" i="7" s="1"/>
  <c r="K328" i="6"/>
  <c r="K95"/>
  <c r="K326"/>
  <c r="D42" i="7"/>
  <c r="E42" s="1"/>
  <c r="G42" s="1"/>
  <c r="K87" i="6"/>
  <c r="D293" i="7"/>
  <c r="E293" s="1"/>
  <c r="G293" s="1"/>
  <c r="L54" i="6"/>
  <c r="K324"/>
  <c r="L46"/>
  <c r="D283" i="7"/>
  <c r="E283" s="1"/>
  <c r="G283" s="1"/>
  <c r="L27" i="6"/>
  <c r="K329"/>
  <c r="L23"/>
  <c r="D94" i="7"/>
  <c r="L11" i="6"/>
  <c r="K334"/>
  <c r="L7"/>
  <c r="K337"/>
  <c r="L251"/>
  <c r="D210" i="7"/>
  <c r="C16"/>
  <c r="D16"/>
  <c r="E16" s="1"/>
  <c r="G16" s="1"/>
  <c r="D126"/>
  <c r="D180"/>
  <c r="K212" i="6"/>
  <c r="K302"/>
  <c r="K300"/>
  <c r="K296"/>
  <c r="K292"/>
  <c r="K290"/>
  <c r="D58" i="7"/>
  <c r="D125"/>
  <c r="D144"/>
  <c r="D159"/>
  <c r="D163"/>
  <c r="D167"/>
  <c r="D202"/>
  <c r="D209"/>
  <c r="D20"/>
  <c r="D27"/>
  <c r="D11"/>
  <c r="E11" s="1"/>
  <c r="L319" i="6"/>
  <c r="D131" i="7"/>
  <c r="E131" s="1"/>
  <c r="L191" i="6"/>
  <c r="H242" i="7" s="1"/>
  <c r="J242" s="1"/>
  <c r="E242"/>
  <c r="G242" s="1"/>
  <c r="I39"/>
  <c r="K128" i="6"/>
  <c r="K85"/>
  <c r="K82"/>
  <c r="H115" i="7"/>
  <c r="K136" i="6"/>
  <c r="K111"/>
  <c r="K93"/>
  <c r="K126"/>
  <c r="K155"/>
  <c r="K144"/>
  <c r="K130"/>
  <c r="K119"/>
  <c r="K101"/>
  <c r="K152"/>
  <c r="H227" i="7"/>
  <c r="J227" s="1"/>
  <c r="E227"/>
  <c r="G227" s="1"/>
  <c r="L189" i="6"/>
  <c r="H226" i="7" s="1"/>
  <c r="J226" s="1"/>
  <c r="E226"/>
  <c r="G226" s="1"/>
  <c r="L188" i="6"/>
  <c r="H225" i="7" s="1"/>
  <c r="J225" s="1"/>
  <c r="E225"/>
  <c r="G225" s="1"/>
  <c r="K158" i="6"/>
  <c r="K142"/>
  <c r="K117"/>
  <c r="K99"/>
  <c r="K91"/>
  <c r="K74"/>
  <c r="K41"/>
  <c r="H32" i="7"/>
  <c r="K156" i="6"/>
  <c r="K140"/>
  <c r="K115"/>
  <c r="K97"/>
  <c r="K89"/>
  <c r="K78"/>
  <c r="K58"/>
  <c r="K150"/>
  <c r="K134"/>
  <c r="K80"/>
  <c r="K71"/>
  <c r="K148"/>
  <c r="K132"/>
  <c r="K162"/>
  <c r="K154"/>
  <c r="K146"/>
  <c r="K138"/>
  <c r="K121"/>
  <c r="K113"/>
  <c r="K103"/>
  <c r="K66"/>
  <c r="K59"/>
  <c r="K76"/>
  <c r="L86"/>
  <c r="H292" i="7" s="1"/>
  <c r="J292" s="1"/>
  <c r="E292"/>
  <c r="G292" s="1"/>
  <c r="K161" i="6"/>
  <c r="K157"/>
  <c r="K153"/>
  <c r="K149"/>
  <c r="K145"/>
  <c r="K141"/>
  <c r="K137"/>
  <c r="K122"/>
  <c r="K118"/>
  <c r="K114"/>
  <c r="K110"/>
  <c r="K106"/>
  <c r="K102"/>
  <c r="K98"/>
  <c r="K90"/>
  <c r="K86"/>
  <c r="K79"/>
  <c r="K70"/>
  <c r="K60"/>
  <c r="K45"/>
  <c r="K163"/>
  <c r="K159"/>
  <c r="K151"/>
  <c r="K147"/>
  <c r="K143"/>
  <c r="K139"/>
  <c r="K135"/>
  <c r="K133"/>
  <c r="K131"/>
  <c r="K129"/>
  <c r="K127"/>
  <c r="K125"/>
  <c r="K120"/>
  <c r="K116"/>
  <c r="K112"/>
  <c r="K108"/>
  <c r="K104"/>
  <c r="K100"/>
  <c r="K96"/>
  <c r="K92"/>
  <c r="K88"/>
  <c r="K81"/>
  <c r="K77"/>
  <c r="K72"/>
  <c r="K57"/>
  <c r="K29"/>
  <c r="K65"/>
  <c r="K49"/>
  <c r="K33"/>
  <c r="K109"/>
  <c r="K107"/>
  <c r="K105"/>
  <c r="L173"/>
  <c r="H110" i="7" s="1"/>
  <c r="E110"/>
  <c r="G110" s="1"/>
  <c r="H8"/>
  <c r="L155" i="6"/>
  <c r="H283" i="7" s="1"/>
  <c r="J283" s="1"/>
  <c r="L130" i="6"/>
  <c r="H25" i="7" s="1"/>
  <c r="J25" s="1"/>
  <c r="E25"/>
  <c r="G25" s="1"/>
  <c r="K124" i="6"/>
  <c r="K123"/>
  <c r="L95"/>
  <c r="H42" i="7" s="1"/>
  <c r="L94" i="6"/>
  <c r="H39" i="7" s="1"/>
  <c r="L87" i="6"/>
  <c r="H293" i="7" s="1"/>
  <c r="J293" s="1"/>
  <c r="I96"/>
  <c r="I105"/>
  <c r="J105" s="1"/>
  <c r="I26"/>
  <c r="I94"/>
  <c r="F210"/>
  <c r="C210"/>
  <c r="K84" i="6"/>
  <c r="K83"/>
  <c r="K75"/>
  <c r="K73"/>
  <c r="K62"/>
  <c r="K53"/>
  <c r="L38"/>
  <c r="H236" i="7" s="1"/>
  <c r="J236" s="1"/>
  <c r="E236"/>
  <c r="G236" s="1"/>
  <c r="K25" i="6"/>
  <c r="E96" i="7"/>
  <c r="G96" s="1"/>
  <c r="L22" i="6"/>
  <c r="H93" i="7" s="1"/>
  <c r="J93" s="1"/>
  <c r="E93"/>
  <c r="G93" s="1"/>
  <c r="L18" i="6"/>
  <c r="H26" i="7" s="1"/>
  <c r="E26"/>
  <c r="G26" s="1"/>
  <c r="I212"/>
  <c r="J212" s="1"/>
  <c r="K68" i="6"/>
  <c r="K51"/>
  <c r="K43"/>
  <c r="K35"/>
  <c r="K64"/>
  <c r="K55"/>
  <c r="K47"/>
  <c r="K39"/>
  <c r="K31"/>
  <c r="K67"/>
  <c r="K63"/>
  <c r="K54"/>
  <c r="K50"/>
  <c r="K46"/>
  <c r="K42"/>
  <c r="K38"/>
  <c r="K34"/>
  <c r="K30"/>
  <c r="K69"/>
  <c r="K61"/>
  <c r="K52"/>
  <c r="K48"/>
  <c r="K44"/>
  <c r="K40"/>
  <c r="K36"/>
  <c r="K32"/>
  <c r="L65"/>
  <c r="H228" i="7" s="1"/>
  <c r="J228" s="1"/>
  <c r="E228"/>
  <c r="G228" s="1"/>
  <c r="L60" i="6"/>
  <c r="H43" i="7" s="1"/>
  <c r="L59" i="6"/>
  <c r="H40" i="7" s="1"/>
  <c r="E40"/>
  <c r="G40" s="1"/>
  <c r="L57" i="6"/>
  <c r="H31" i="7" s="1"/>
  <c r="K56" i="6"/>
  <c r="I286" i="7"/>
  <c r="I229"/>
  <c r="J229" s="1"/>
  <c r="I223"/>
  <c r="J223" s="1"/>
  <c r="H161"/>
  <c r="L25" i="6"/>
  <c r="H96" i="7" s="1"/>
  <c r="K24" i="6"/>
  <c r="K27"/>
  <c r="L29"/>
  <c r="H163" i="7" s="1"/>
  <c r="L28" i="6"/>
  <c r="H94" i="7" s="1"/>
  <c r="K26" i="6"/>
  <c r="H27" i="7"/>
  <c r="K16" i="6"/>
  <c r="K14"/>
  <c r="K12"/>
  <c r="L20"/>
  <c r="H59" i="7" s="1"/>
  <c r="K17" i="6"/>
  <c r="K15"/>
  <c r="K13"/>
  <c r="K11"/>
  <c r="K7"/>
  <c r="K19"/>
  <c r="K21"/>
  <c r="K22"/>
  <c r="H22" i="7"/>
  <c r="K23" i="6"/>
  <c r="H11" i="7"/>
  <c r="K18" i="6"/>
  <c r="I243" i="7"/>
  <c r="J243" s="1"/>
  <c r="I41"/>
  <c r="J41" s="1"/>
  <c r="I40"/>
  <c r="I110"/>
  <c r="I109"/>
  <c r="J109" s="1"/>
  <c r="I38"/>
  <c r="J38" s="1"/>
  <c r="I34"/>
  <c r="J34" s="1"/>
  <c r="I46"/>
  <c r="J46" s="1"/>
  <c r="I44"/>
  <c r="J44" s="1"/>
  <c r="I43"/>
  <c r="I42"/>
  <c r="K10" i="6"/>
  <c r="K9"/>
  <c r="K8"/>
  <c r="F7" i="4"/>
  <c r="I149" i="7"/>
  <c r="I207"/>
  <c r="I251"/>
  <c r="I259"/>
  <c r="I275"/>
  <c r="I82"/>
  <c r="J82" s="1"/>
  <c r="I139"/>
  <c r="J139" s="1"/>
  <c r="I15"/>
  <c r="J15" s="1"/>
  <c r="I54"/>
  <c r="J54" s="1"/>
  <c r="I106"/>
  <c r="J106" s="1"/>
  <c r="I132"/>
  <c r="J132" s="1"/>
  <c r="I151"/>
  <c r="J151" s="1"/>
  <c r="I184"/>
  <c r="J184" s="1"/>
  <c r="I24"/>
  <c r="J24" s="1"/>
  <c r="I45"/>
  <c r="J45" s="1"/>
  <c r="I122"/>
  <c r="J122" s="1"/>
  <c r="I145"/>
  <c r="J145" s="1"/>
  <c r="I37"/>
  <c r="J37" s="1"/>
  <c r="I75"/>
  <c r="J75" s="1"/>
  <c r="I118"/>
  <c r="J118" s="1"/>
  <c r="I176"/>
  <c r="J176" s="1"/>
  <c r="I99"/>
  <c r="J99" s="1"/>
  <c r="I67"/>
  <c r="J67" s="1"/>
  <c r="I91"/>
  <c r="J91" s="1"/>
  <c r="I112"/>
  <c r="J112" s="1"/>
  <c r="I157"/>
  <c r="J157" s="1"/>
  <c r="I170"/>
  <c r="J170" s="1"/>
  <c r="I190"/>
  <c r="J190" s="1"/>
  <c r="I198"/>
  <c r="J198" s="1"/>
  <c r="I205"/>
  <c r="J205" s="1"/>
  <c r="I209"/>
  <c r="I8"/>
  <c r="F7"/>
  <c r="I7"/>
  <c r="H7"/>
  <c r="C7"/>
  <c r="F8"/>
  <c r="I16"/>
  <c r="I13"/>
  <c r="I11"/>
  <c r="F9"/>
  <c r="I9"/>
  <c r="H9"/>
  <c r="F10"/>
  <c r="I10"/>
  <c r="H10"/>
  <c r="C10"/>
  <c r="F11"/>
  <c r="F12"/>
  <c r="I12"/>
  <c r="H12"/>
  <c r="F13"/>
  <c r="H13"/>
  <c r="F14"/>
  <c r="I14"/>
  <c r="H14"/>
  <c r="C14"/>
  <c r="F16"/>
  <c r="H16"/>
  <c r="F19"/>
  <c r="I19"/>
  <c r="H19"/>
  <c r="C19"/>
  <c r="F18"/>
  <c r="I18"/>
  <c r="H18"/>
  <c r="C18"/>
  <c r="F17"/>
  <c r="I17"/>
  <c r="H17"/>
  <c r="C17"/>
  <c r="C22"/>
  <c r="I27"/>
  <c r="I22"/>
  <c r="C27"/>
  <c r="F27"/>
  <c r="F23"/>
  <c r="I23"/>
  <c r="H23"/>
  <c r="C23"/>
  <c r="F22"/>
  <c r="F21"/>
  <c r="I21"/>
  <c r="C21"/>
  <c r="F20"/>
  <c r="I20"/>
  <c r="C20"/>
  <c r="F28"/>
  <c r="I28"/>
  <c r="H28"/>
  <c r="K187" i="6"/>
  <c r="I194" i="7"/>
  <c r="I269"/>
  <c r="I267"/>
  <c r="K216" i="6"/>
  <c r="K218"/>
  <c r="K164"/>
  <c r="K166"/>
  <c r="K168"/>
  <c r="K170"/>
  <c r="K172"/>
  <c r="K174"/>
  <c r="K176"/>
  <c r="K179"/>
  <c r="K181"/>
  <c r="K183"/>
  <c r="K185"/>
  <c r="K186"/>
  <c r="K188"/>
  <c r="K192"/>
  <c r="K194"/>
  <c r="K196"/>
  <c r="K198"/>
  <c r="K213"/>
  <c r="K215"/>
  <c r="K217"/>
  <c r="K200"/>
  <c r="K206"/>
  <c r="K210"/>
  <c r="K165"/>
  <c r="K167"/>
  <c r="K171"/>
  <c r="K173"/>
  <c r="K175"/>
  <c r="K177"/>
  <c r="K178"/>
  <c r="K182"/>
  <c r="K184"/>
  <c r="K189"/>
  <c r="K193"/>
  <c r="K195"/>
  <c r="K214"/>
  <c r="K202"/>
  <c r="K208"/>
  <c r="K201"/>
  <c r="K203"/>
  <c r="K205"/>
  <c r="K207"/>
  <c r="K209"/>
  <c r="K211"/>
  <c r="K199"/>
  <c r="I141" i="7"/>
  <c r="F304"/>
  <c r="H331"/>
  <c r="H135"/>
  <c r="H50"/>
  <c r="H134"/>
  <c r="I120"/>
  <c r="E129"/>
  <c r="C134"/>
  <c r="C375"/>
  <c r="I64"/>
  <c r="I69"/>
  <c r="H203"/>
  <c r="H351"/>
  <c r="C376"/>
  <c r="F385"/>
  <c r="F392"/>
  <c r="H187"/>
  <c r="H343"/>
  <c r="H166"/>
  <c r="F182"/>
  <c r="C187"/>
  <c r="H189"/>
  <c r="C194"/>
  <c r="C203"/>
  <c r="C207"/>
  <c r="H254"/>
  <c r="I329"/>
  <c r="C343"/>
  <c r="H375"/>
  <c r="C384"/>
  <c r="H104"/>
  <c r="F159"/>
  <c r="F166"/>
  <c r="H311"/>
  <c r="C363"/>
  <c r="F378"/>
  <c r="C31"/>
  <c r="C104"/>
  <c r="C150"/>
  <c r="E150" s="1"/>
  <c r="I260"/>
  <c r="C275"/>
  <c r="F306"/>
  <c r="C331"/>
  <c r="I337"/>
  <c r="H363"/>
  <c r="H66"/>
  <c r="C115"/>
  <c r="I121"/>
  <c r="C126"/>
  <c r="I128"/>
  <c r="C136"/>
  <c r="F150"/>
  <c r="F269"/>
  <c r="H274"/>
  <c r="I287"/>
  <c r="F298"/>
  <c r="I305"/>
  <c r="C311"/>
  <c r="C312"/>
  <c r="H330"/>
  <c r="J330" s="1"/>
  <c r="F384"/>
  <c r="F393"/>
  <c r="C48"/>
  <c r="F50"/>
  <c r="H70"/>
  <c r="C128"/>
  <c r="H178"/>
  <c r="C274"/>
  <c r="F361"/>
  <c r="C49"/>
  <c r="F115"/>
  <c r="F136"/>
  <c r="F167"/>
  <c r="C172"/>
  <c r="I179"/>
  <c r="I188"/>
  <c r="F194"/>
  <c r="F209"/>
  <c r="H298"/>
  <c r="J298" s="1"/>
  <c r="F322"/>
  <c r="F329"/>
  <c r="H339"/>
  <c r="C344"/>
  <c r="F360"/>
  <c r="H383"/>
  <c r="I85"/>
  <c r="C80"/>
  <c r="E73"/>
  <c r="F29"/>
  <c r="F52"/>
  <c r="F59"/>
  <c r="I62"/>
  <c r="F87"/>
  <c r="C89"/>
  <c r="C98"/>
  <c r="I115"/>
  <c r="J115" s="1"/>
  <c r="F131"/>
  <c r="I136"/>
  <c r="J136" s="1"/>
  <c r="H148"/>
  <c r="H159"/>
  <c r="C161"/>
  <c r="I164"/>
  <c r="H175"/>
  <c r="F181"/>
  <c r="C200"/>
  <c r="H209"/>
  <c r="I252"/>
  <c r="H266"/>
  <c r="C270"/>
  <c r="C271"/>
  <c r="F297"/>
  <c r="H299"/>
  <c r="C307"/>
  <c r="C320"/>
  <c r="F321"/>
  <c r="H322"/>
  <c r="J322" s="1"/>
  <c r="C335"/>
  <c r="F352"/>
  <c r="C355"/>
  <c r="F362"/>
  <c r="C387"/>
  <c r="H394"/>
  <c r="J394" s="1"/>
  <c r="H395"/>
  <c r="I161"/>
  <c r="C33"/>
  <c r="I80"/>
  <c r="I98"/>
  <c r="F101"/>
  <c r="H120"/>
  <c r="I126"/>
  <c r="C159"/>
  <c r="F161"/>
  <c r="C163"/>
  <c r="C167"/>
  <c r="F168"/>
  <c r="F174"/>
  <c r="H197"/>
  <c r="H200"/>
  <c r="F251"/>
  <c r="F255"/>
  <c r="C258"/>
  <c r="C266"/>
  <c r="C267"/>
  <c r="H269"/>
  <c r="H270"/>
  <c r="C285"/>
  <c r="F296"/>
  <c r="C299"/>
  <c r="F305"/>
  <c r="H306"/>
  <c r="J306" s="1"/>
  <c r="H307"/>
  <c r="H319"/>
  <c r="F320"/>
  <c r="C323"/>
  <c r="F330"/>
  <c r="C352"/>
  <c r="F353"/>
  <c r="H354"/>
  <c r="J354" s="1"/>
  <c r="I361"/>
  <c r="C367"/>
  <c r="I385"/>
  <c r="H386"/>
  <c r="J386" s="1"/>
  <c r="I393"/>
  <c r="C395"/>
  <c r="H52"/>
  <c r="F81"/>
  <c r="H87"/>
  <c r="I89"/>
  <c r="H131"/>
  <c r="F169"/>
  <c r="I175"/>
  <c r="H181"/>
  <c r="H262"/>
  <c r="H291"/>
  <c r="I297"/>
  <c r="F328"/>
  <c r="F354"/>
  <c r="H362"/>
  <c r="J362" s="1"/>
  <c r="H371"/>
  <c r="F386"/>
  <c r="I74"/>
  <c r="H116"/>
  <c r="I124"/>
  <c r="H141"/>
  <c r="I144"/>
  <c r="H149"/>
  <c r="I180"/>
  <c r="I196"/>
  <c r="I253"/>
  <c r="H259"/>
  <c r="I261"/>
  <c r="H286"/>
  <c r="J286" s="1"/>
  <c r="I290"/>
  <c r="I295"/>
  <c r="I303"/>
  <c r="I315"/>
  <c r="I327"/>
  <c r="H336"/>
  <c r="J336" s="1"/>
  <c r="I338"/>
  <c r="I347"/>
  <c r="I359"/>
  <c r="H368"/>
  <c r="J368" s="1"/>
  <c r="I370"/>
  <c r="I379"/>
  <c r="I391"/>
  <c r="I73"/>
  <c r="H74"/>
  <c r="H80"/>
  <c r="H89"/>
  <c r="H124"/>
  <c r="H126"/>
  <c r="H144"/>
  <c r="F149"/>
  <c r="H180"/>
  <c r="H196"/>
  <c r="H207"/>
  <c r="I210"/>
  <c r="H253"/>
  <c r="I258"/>
  <c r="F259"/>
  <c r="H261"/>
  <c r="H267"/>
  <c r="H275"/>
  <c r="I285"/>
  <c r="F286"/>
  <c r="H290"/>
  <c r="H295"/>
  <c r="H303"/>
  <c r="H312"/>
  <c r="J312" s="1"/>
  <c r="I314"/>
  <c r="H315"/>
  <c r="I323"/>
  <c r="H327"/>
  <c r="I335"/>
  <c r="F336"/>
  <c r="H338"/>
  <c r="H344"/>
  <c r="J344" s="1"/>
  <c r="I346"/>
  <c r="H347"/>
  <c r="I355"/>
  <c r="H359"/>
  <c r="I367"/>
  <c r="F368"/>
  <c r="I369"/>
  <c r="H370"/>
  <c r="H376"/>
  <c r="J376" s="1"/>
  <c r="I378"/>
  <c r="J378" s="1"/>
  <c r="H379"/>
  <c r="I387"/>
  <c r="H391"/>
  <c r="F394"/>
  <c r="F116"/>
  <c r="F141"/>
  <c r="I155"/>
  <c r="H172"/>
  <c r="I48"/>
  <c r="F61"/>
  <c r="C71"/>
  <c r="H73"/>
  <c r="F74"/>
  <c r="F79"/>
  <c r="F80"/>
  <c r="C81"/>
  <c r="H85"/>
  <c r="C87"/>
  <c r="F89"/>
  <c r="C101"/>
  <c r="I101"/>
  <c r="I104"/>
  <c r="E116"/>
  <c r="F121"/>
  <c r="F124"/>
  <c r="H125"/>
  <c r="F126"/>
  <c r="I134"/>
  <c r="H137"/>
  <c r="F144"/>
  <c r="F148"/>
  <c r="I153"/>
  <c r="H155"/>
  <c r="I159"/>
  <c r="H164"/>
  <c r="E166"/>
  <c r="I167"/>
  <c r="C169"/>
  <c r="I169"/>
  <c r="J169" s="1"/>
  <c r="F172"/>
  <c r="I173"/>
  <c r="H179"/>
  <c r="F180"/>
  <c r="C182"/>
  <c r="I182"/>
  <c r="J182" s="1"/>
  <c r="I187"/>
  <c r="H194"/>
  <c r="F196"/>
  <c r="C197"/>
  <c r="I203"/>
  <c r="F207"/>
  <c r="H210"/>
  <c r="C251"/>
  <c r="F253"/>
  <c r="C254"/>
  <c r="F257"/>
  <c r="H258"/>
  <c r="F261"/>
  <c r="C262"/>
  <c r="I266"/>
  <c r="F267"/>
  <c r="I270"/>
  <c r="I274"/>
  <c r="F275"/>
  <c r="I276"/>
  <c r="F284"/>
  <c r="H285"/>
  <c r="F287"/>
  <c r="F290"/>
  <c r="C291"/>
  <c r="C296"/>
  <c r="I299"/>
  <c r="C304"/>
  <c r="I307"/>
  <c r="I311"/>
  <c r="F312"/>
  <c r="I313"/>
  <c r="H314"/>
  <c r="C319"/>
  <c r="H320"/>
  <c r="J320" s="1"/>
  <c r="H323"/>
  <c r="C328"/>
  <c r="I331"/>
  <c r="H335"/>
  <c r="F337"/>
  <c r="F338"/>
  <c r="C339"/>
  <c r="I343"/>
  <c r="F344"/>
  <c r="I345"/>
  <c r="H346"/>
  <c r="C351"/>
  <c r="H352"/>
  <c r="J352" s="1"/>
  <c r="H355"/>
  <c r="C360"/>
  <c r="I363"/>
  <c r="H367"/>
  <c r="F369"/>
  <c r="F370"/>
  <c r="C371"/>
  <c r="I375"/>
  <c r="F376"/>
  <c r="I377"/>
  <c r="C383"/>
  <c r="H384"/>
  <c r="J384" s="1"/>
  <c r="H387"/>
  <c r="C392"/>
  <c r="I395"/>
  <c r="I29"/>
  <c r="F33"/>
  <c r="F48"/>
  <c r="F73"/>
  <c r="C74"/>
  <c r="I87"/>
  <c r="C124"/>
  <c r="I131"/>
  <c r="F135"/>
  <c r="F137"/>
  <c r="C141"/>
  <c r="C144"/>
  <c r="C149"/>
  <c r="F156"/>
  <c r="H160"/>
  <c r="I166"/>
  <c r="H174"/>
  <c r="C180"/>
  <c r="I197"/>
  <c r="I202"/>
  <c r="H251"/>
  <c r="J251" s="1"/>
  <c r="I254"/>
  <c r="C259"/>
  <c r="I262"/>
  <c r="F265"/>
  <c r="F276"/>
  <c r="C286"/>
  <c r="I291"/>
  <c r="C295"/>
  <c r="H296"/>
  <c r="J296" s="1"/>
  <c r="C303"/>
  <c r="H304"/>
  <c r="J304" s="1"/>
  <c r="F313"/>
  <c r="C315"/>
  <c r="I319"/>
  <c r="I321"/>
  <c r="C327"/>
  <c r="H328"/>
  <c r="J328" s="1"/>
  <c r="C336"/>
  <c r="I339"/>
  <c r="F345"/>
  <c r="C347"/>
  <c r="I351"/>
  <c r="I353"/>
  <c r="C359"/>
  <c r="H360"/>
  <c r="J360" s="1"/>
  <c r="C368"/>
  <c r="I371"/>
  <c r="F377"/>
  <c r="C379"/>
  <c r="I383"/>
  <c r="C391"/>
  <c r="H392"/>
  <c r="J392" s="1"/>
  <c r="H69"/>
  <c r="F69"/>
  <c r="C69"/>
  <c r="F65"/>
  <c r="C64"/>
  <c r="I31"/>
  <c r="C61"/>
  <c r="H60"/>
  <c r="C60"/>
  <c r="I60"/>
  <c r="F58"/>
  <c r="I58"/>
  <c r="C58"/>
  <c r="H58"/>
  <c r="I51"/>
  <c r="H51"/>
  <c r="F51"/>
  <c r="I49"/>
  <c r="F49"/>
  <c r="I47"/>
  <c r="C47"/>
  <c r="I33"/>
  <c r="I32"/>
  <c r="J32" s="1"/>
  <c r="F32"/>
  <c r="C32"/>
  <c r="I30"/>
  <c r="H30"/>
  <c r="F30"/>
  <c r="F53"/>
  <c r="H53"/>
  <c r="H256"/>
  <c r="F256"/>
  <c r="I256"/>
  <c r="C302"/>
  <c r="F302"/>
  <c r="H302"/>
  <c r="I302"/>
  <c r="I308"/>
  <c r="C308"/>
  <c r="F308"/>
  <c r="F64"/>
  <c r="I116"/>
  <c r="F128"/>
  <c r="H128"/>
  <c r="F155"/>
  <c r="I181"/>
  <c r="C181"/>
  <c r="E181" s="1"/>
  <c r="I200"/>
  <c r="H260"/>
  <c r="C260"/>
  <c r="I271"/>
  <c r="J271" s="1"/>
  <c r="F271"/>
  <c r="C273"/>
  <c r="H273"/>
  <c r="I273"/>
  <c r="C334"/>
  <c r="F334"/>
  <c r="H334"/>
  <c r="I334"/>
  <c r="C342"/>
  <c r="F342"/>
  <c r="H342"/>
  <c r="I342"/>
  <c r="C350"/>
  <c r="F350"/>
  <c r="H350"/>
  <c r="I350"/>
  <c r="C358"/>
  <c r="F358"/>
  <c r="H358"/>
  <c r="I358"/>
  <c r="C366"/>
  <c r="F366"/>
  <c r="H366"/>
  <c r="I366"/>
  <c r="H29"/>
  <c r="H33"/>
  <c r="H47"/>
  <c r="H48"/>
  <c r="H49"/>
  <c r="F57"/>
  <c r="H61"/>
  <c r="E65"/>
  <c r="F70"/>
  <c r="I71"/>
  <c r="H121"/>
  <c r="F143"/>
  <c r="H150"/>
  <c r="E156"/>
  <c r="F162"/>
  <c r="I163"/>
  <c r="I174"/>
  <c r="I178"/>
  <c r="H188"/>
  <c r="I189"/>
  <c r="I208"/>
  <c r="I265"/>
  <c r="F72"/>
  <c r="I127"/>
  <c r="I193"/>
  <c r="C193"/>
  <c r="E56"/>
  <c r="F56"/>
  <c r="I88"/>
  <c r="C88"/>
  <c r="I102"/>
  <c r="F117"/>
  <c r="H117"/>
  <c r="E142"/>
  <c r="F142"/>
  <c r="I183"/>
  <c r="H264"/>
  <c r="E264"/>
  <c r="F264"/>
  <c r="I264"/>
  <c r="C310"/>
  <c r="E310" s="1"/>
  <c r="G310" s="1"/>
  <c r="F310"/>
  <c r="H310"/>
  <c r="I310"/>
  <c r="I316"/>
  <c r="J316" s="1"/>
  <c r="C316"/>
  <c r="F316"/>
  <c r="C326"/>
  <c r="E326" s="1"/>
  <c r="G326" s="1"/>
  <c r="F326"/>
  <c r="H326"/>
  <c r="I326"/>
  <c r="H255"/>
  <c r="I114"/>
  <c r="C114"/>
  <c r="I79"/>
  <c r="C79"/>
  <c r="I90"/>
  <c r="F103"/>
  <c r="H103"/>
  <c r="F130"/>
  <c r="I168"/>
  <c r="C168"/>
  <c r="F186"/>
  <c r="H186"/>
  <c r="H195"/>
  <c r="C195"/>
  <c r="C257"/>
  <c r="H257"/>
  <c r="H268"/>
  <c r="C268"/>
  <c r="H301"/>
  <c r="F301"/>
  <c r="I301"/>
  <c r="I53"/>
  <c r="I63"/>
  <c r="I72"/>
  <c r="I86"/>
  <c r="H114"/>
  <c r="H127"/>
  <c r="I138"/>
  <c r="I154"/>
  <c r="I165"/>
  <c r="H193"/>
  <c r="I66"/>
  <c r="C66"/>
  <c r="I81"/>
  <c r="J81" s="1"/>
  <c r="F98"/>
  <c r="H98"/>
  <c r="E120"/>
  <c r="F120"/>
  <c r="I160"/>
  <c r="C160"/>
  <c r="I172"/>
  <c r="H201"/>
  <c r="E201"/>
  <c r="F201"/>
  <c r="I201"/>
  <c r="C318"/>
  <c r="E318" s="1"/>
  <c r="G318" s="1"/>
  <c r="F318"/>
  <c r="H318"/>
  <c r="I318"/>
  <c r="H325"/>
  <c r="F325"/>
  <c r="I325"/>
  <c r="H63"/>
  <c r="H72"/>
  <c r="H86"/>
  <c r="E121"/>
  <c r="F125"/>
  <c r="F127"/>
  <c r="H154"/>
  <c r="F164"/>
  <c r="H165"/>
  <c r="F189"/>
  <c r="F202"/>
  <c r="H263"/>
  <c r="I59"/>
  <c r="C59"/>
  <c r="I70"/>
  <c r="I148"/>
  <c r="C148"/>
  <c r="I162"/>
  <c r="F173"/>
  <c r="H173"/>
  <c r="E188"/>
  <c r="F188"/>
  <c r="H208"/>
  <c r="C208"/>
  <c r="I255"/>
  <c r="C265"/>
  <c r="E265" s="1"/>
  <c r="H265"/>
  <c r="H272"/>
  <c r="E272"/>
  <c r="F272"/>
  <c r="I272"/>
  <c r="H309"/>
  <c r="F309"/>
  <c r="I309"/>
  <c r="I332"/>
  <c r="C332"/>
  <c r="F332"/>
  <c r="H332"/>
  <c r="I340"/>
  <c r="C340"/>
  <c r="F340"/>
  <c r="H340"/>
  <c r="I348"/>
  <c r="C348"/>
  <c r="F348"/>
  <c r="H348"/>
  <c r="I356"/>
  <c r="C356"/>
  <c r="F356"/>
  <c r="H356"/>
  <c r="I364"/>
  <c r="C364"/>
  <c r="F364"/>
  <c r="H364"/>
  <c r="I372"/>
  <c r="C372"/>
  <c r="F372"/>
  <c r="H372"/>
  <c r="E52"/>
  <c r="I56"/>
  <c r="E62"/>
  <c r="F63"/>
  <c r="I65"/>
  <c r="H88"/>
  <c r="H102"/>
  <c r="F114"/>
  <c r="I117"/>
  <c r="I129"/>
  <c r="E137"/>
  <c r="I142"/>
  <c r="E153"/>
  <c r="F154"/>
  <c r="I156"/>
  <c r="E164"/>
  <c r="F179"/>
  <c r="H183"/>
  <c r="F193"/>
  <c r="F263"/>
  <c r="F138"/>
  <c r="H138"/>
  <c r="F165"/>
  <c r="I50"/>
  <c r="C50"/>
  <c r="I61"/>
  <c r="F71"/>
  <c r="H71"/>
  <c r="I135"/>
  <c r="C135"/>
  <c r="I150"/>
  <c r="F163"/>
  <c r="E178"/>
  <c r="F178"/>
  <c r="C284"/>
  <c r="H284"/>
  <c r="I284"/>
  <c r="C294"/>
  <c r="E294" s="1"/>
  <c r="G294" s="1"/>
  <c r="F294"/>
  <c r="H294"/>
  <c r="I294"/>
  <c r="I300"/>
  <c r="J300" s="1"/>
  <c r="C300"/>
  <c r="F300"/>
  <c r="I324"/>
  <c r="C324"/>
  <c r="F324"/>
  <c r="H324"/>
  <c r="I380"/>
  <c r="C380"/>
  <c r="F380"/>
  <c r="H380"/>
  <c r="H56"/>
  <c r="I57"/>
  <c r="H65"/>
  <c r="H79"/>
  <c r="F86"/>
  <c r="H90"/>
  <c r="F102"/>
  <c r="I103"/>
  <c r="H129"/>
  <c r="I130"/>
  <c r="H142"/>
  <c r="I143"/>
  <c r="H156"/>
  <c r="H168"/>
  <c r="E179"/>
  <c r="F183"/>
  <c r="I186"/>
  <c r="I52"/>
  <c r="F62"/>
  <c r="H62"/>
  <c r="E85"/>
  <c r="F85"/>
  <c r="I125"/>
  <c r="C125"/>
  <c r="I137"/>
  <c r="F153"/>
  <c r="H153"/>
  <c r="F175"/>
  <c r="C202"/>
  <c r="H202"/>
  <c r="H252"/>
  <c r="C252"/>
  <c r="I263"/>
  <c r="H317"/>
  <c r="F317"/>
  <c r="I317"/>
  <c r="I388"/>
  <c r="C388"/>
  <c r="F388"/>
  <c r="H388"/>
  <c r="C53"/>
  <c r="H57"/>
  <c r="C63"/>
  <c r="C72"/>
  <c r="F88"/>
  <c r="F90"/>
  <c r="C127"/>
  <c r="F129"/>
  <c r="H130"/>
  <c r="C138"/>
  <c r="H143"/>
  <c r="C154"/>
  <c r="E154" s="1"/>
  <c r="C165"/>
  <c r="I195"/>
  <c r="C256"/>
  <c r="I257"/>
  <c r="I268"/>
  <c r="H308"/>
  <c r="H333"/>
  <c r="H341"/>
  <c r="H349"/>
  <c r="H357"/>
  <c r="H365"/>
  <c r="H373"/>
  <c r="H381"/>
  <c r="H389"/>
  <c r="C374"/>
  <c r="E374" s="1"/>
  <c r="G374" s="1"/>
  <c r="C382"/>
  <c r="E382" s="1"/>
  <c r="G382" s="1"/>
  <c r="C390"/>
  <c r="E390" s="1"/>
  <c r="G390" s="1"/>
  <c r="I333"/>
  <c r="I341"/>
  <c r="I349"/>
  <c r="I357"/>
  <c r="I365"/>
  <c r="I373"/>
  <c r="I381"/>
  <c r="I389"/>
  <c r="H276"/>
  <c r="E287"/>
  <c r="H287"/>
  <c r="H297"/>
  <c r="H305"/>
  <c r="H313"/>
  <c r="H321"/>
  <c r="H329"/>
  <c r="H337"/>
  <c r="H345"/>
  <c r="H353"/>
  <c r="H361"/>
  <c r="H369"/>
  <c r="H377"/>
  <c r="H385"/>
  <c r="H393"/>
  <c r="I374"/>
  <c r="I382"/>
  <c r="I390"/>
  <c r="C196"/>
  <c r="E196" s="1"/>
  <c r="C209"/>
  <c r="C253"/>
  <c r="C261"/>
  <c r="E261" s="1"/>
  <c r="C269"/>
  <c r="C290"/>
  <c r="E290" s="1"/>
  <c r="C298"/>
  <c r="C306"/>
  <c r="C314"/>
  <c r="C322"/>
  <c r="C330"/>
  <c r="C338"/>
  <c r="E338" s="1"/>
  <c r="G338" s="1"/>
  <c r="C346"/>
  <c r="C354"/>
  <c r="C362"/>
  <c r="C370"/>
  <c r="E370" s="1"/>
  <c r="G370" s="1"/>
  <c r="C378"/>
  <c r="C386"/>
  <c r="C394"/>
  <c r="F333"/>
  <c r="F341"/>
  <c r="F349"/>
  <c r="F357"/>
  <c r="F365"/>
  <c r="F373"/>
  <c r="H374"/>
  <c r="F381"/>
  <c r="H382"/>
  <c r="F389"/>
  <c r="H390"/>
  <c r="F374"/>
  <c r="F382"/>
  <c r="F390"/>
  <c r="E155" l="1"/>
  <c r="G155" s="1"/>
  <c r="E175"/>
  <c r="G175" s="1"/>
  <c r="E301"/>
  <c r="G301" s="1"/>
  <c r="E313"/>
  <c r="G313" s="1"/>
  <c r="E305"/>
  <c r="G305" s="1"/>
  <c r="E297"/>
  <c r="G297" s="1"/>
  <c r="E183"/>
  <c r="G183" s="1"/>
  <c r="E173"/>
  <c r="G173" s="1"/>
  <c r="E117"/>
  <c r="G117" s="1"/>
  <c r="E90"/>
  <c r="G90" s="1"/>
  <c r="E51"/>
  <c r="G51" s="1"/>
  <c r="E30"/>
  <c r="G30" s="1"/>
  <c r="E255"/>
  <c r="G255" s="1"/>
  <c r="E174"/>
  <c r="G174" s="1"/>
  <c r="E86"/>
  <c r="G86" s="1"/>
  <c r="E143"/>
  <c r="G143" s="1"/>
  <c r="E102"/>
  <c r="G102" s="1"/>
  <c r="E130"/>
  <c r="G130" s="1"/>
  <c r="E276"/>
  <c r="G276" s="1"/>
  <c r="E70"/>
  <c r="G70" s="1"/>
  <c r="E162"/>
  <c r="G162" s="1"/>
  <c r="E57"/>
  <c r="G57" s="1"/>
  <c r="J39"/>
  <c r="E29"/>
  <c r="G29" s="1"/>
  <c r="E389"/>
  <c r="G389" s="1"/>
  <c r="E381"/>
  <c r="G381" s="1"/>
  <c r="E373"/>
  <c r="G373" s="1"/>
  <c r="E365"/>
  <c r="G365" s="1"/>
  <c r="E357"/>
  <c r="G357" s="1"/>
  <c r="E349"/>
  <c r="G349" s="1"/>
  <c r="E341"/>
  <c r="G341" s="1"/>
  <c r="E333"/>
  <c r="G333" s="1"/>
  <c r="E325"/>
  <c r="G325" s="1"/>
  <c r="E317"/>
  <c r="G317" s="1"/>
  <c r="E309"/>
  <c r="G309" s="1"/>
  <c r="J22"/>
  <c r="E393"/>
  <c r="G393" s="1"/>
  <c r="E385"/>
  <c r="G385" s="1"/>
  <c r="E377"/>
  <c r="G377" s="1"/>
  <c r="E369"/>
  <c r="G369" s="1"/>
  <c r="E361"/>
  <c r="G361" s="1"/>
  <c r="E353"/>
  <c r="G353" s="1"/>
  <c r="E345"/>
  <c r="G345" s="1"/>
  <c r="E337"/>
  <c r="G337" s="1"/>
  <c r="E329"/>
  <c r="G329" s="1"/>
  <c r="E321"/>
  <c r="G321" s="1"/>
  <c r="E22"/>
  <c r="G22" s="1"/>
  <c r="E159"/>
  <c r="G159" s="1"/>
  <c r="E163"/>
  <c r="G163" s="1"/>
  <c r="E202"/>
  <c r="G202" s="1"/>
  <c r="J27"/>
  <c r="J101"/>
  <c r="H20"/>
  <c r="J20" s="1"/>
  <c r="E125"/>
  <c r="G125" s="1"/>
  <c r="E172"/>
  <c r="G172" s="1"/>
  <c r="E124"/>
  <c r="G124" s="1"/>
  <c r="J110"/>
  <c r="J8"/>
  <c r="E126"/>
  <c r="G126" s="1"/>
  <c r="E101"/>
  <c r="G101" s="1"/>
  <c r="E94"/>
  <c r="G94" s="1"/>
  <c r="J94"/>
  <c r="J42"/>
  <c r="J96"/>
  <c r="J26"/>
  <c r="H95"/>
  <c r="J95" s="1"/>
  <c r="H21"/>
  <c r="J21" s="1"/>
  <c r="H162"/>
  <c r="J162" s="1"/>
  <c r="E253"/>
  <c r="G253" s="1"/>
  <c r="J319"/>
  <c r="J40"/>
  <c r="E180"/>
  <c r="G180" s="1"/>
  <c r="E259"/>
  <c r="G259" s="1"/>
  <c r="G265"/>
  <c r="G287"/>
  <c r="E260"/>
  <c r="G260" s="1"/>
  <c r="G290"/>
  <c r="J43"/>
  <c r="J161"/>
  <c r="J11"/>
  <c r="J275"/>
  <c r="J259"/>
  <c r="J209"/>
  <c r="J207"/>
  <c r="J149"/>
  <c r="G13"/>
  <c r="G11"/>
  <c r="J262"/>
  <c r="J13"/>
  <c r="J269"/>
  <c r="E49"/>
  <c r="G49" s="1"/>
  <c r="J16"/>
  <c r="J290"/>
  <c r="J89"/>
  <c r="J338"/>
  <c r="E379"/>
  <c r="G379" s="1"/>
  <c r="E18"/>
  <c r="G18" s="1"/>
  <c r="E10"/>
  <c r="G10" s="1"/>
  <c r="E8"/>
  <c r="G8" s="1"/>
  <c r="E14"/>
  <c r="G14" s="1"/>
  <c r="E12"/>
  <c r="G12" s="1"/>
  <c r="E9"/>
  <c r="G9" s="1"/>
  <c r="E7"/>
  <c r="G7" s="1"/>
  <c r="J7"/>
  <c r="E17"/>
  <c r="G17" s="1"/>
  <c r="J12"/>
  <c r="J9"/>
  <c r="J10"/>
  <c r="J14"/>
  <c r="E19"/>
  <c r="G19" s="1"/>
  <c r="J19"/>
  <c r="J18"/>
  <c r="J17"/>
  <c r="E27"/>
  <c r="G27" s="1"/>
  <c r="E21"/>
  <c r="G21" s="1"/>
  <c r="E28"/>
  <c r="G28" s="1"/>
  <c r="E20"/>
  <c r="G20" s="1"/>
  <c r="E23"/>
  <c r="G23" s="1"/>
  <c r="J23"/>
  <c r="J28"/>
  <c r="E383"/>
  <c r="G383" s="1"/>
  <c r="J314"/>
  <c r="E368"/>
  <c r="G368" s="1"/>
  <c r="E48"/>
  <c r="G48" s="1"/>
  <c r="E80"/>
  <c r="G80" s="1"/>
  <c r="E257"/>
  <c r="G257" s="1"/>
  <c r="E61"/>
  <c r="G61" s="1"/>
  <c r="J267"/>
  <c r="J194"/>
  <c r="E148"/>
  <c r="G148" s="1"/>
  <c r="E312"/>
  <c r="G312" s="1"/>
  <c r="E74"/>
  <c r="G74" s="1"/>
  <c r="E144"/>
  <c r="G144" s="1"/>
  <c r="E284"/>
  <c r="G284" s="1"/>
  <c r="J311"/>
  <c r="E87"/>
  <c r="G87" s="1"/>
  <c r="J339"/>
  <c r="E299"/>
  <c r="G299" s="1"/>
  <c r="J383"/>
  <c r="E262"/>
  <c r="G262" s="1"/>
  <c r="G166"/>
  <c r="G164"/>
  <c r="G261"/>
  <c r="G179"/>
  <c r="G272"/>
  <c r="G186"/>
  <c r="J164"/>
  <c r="J141"/>
  <c r="G150"/>
  <c r="E161"/>
  <c r="G161" s="1"/>
  <c r="H167"/>
  <c r="J167" s="1"/>
  <c r="E168"/>
  <c r="G168" s="1"/>
  <c r="G181"/>
  <c r="E167"/>
  <c r="G167" s="1"/>
  <c r="G264"/>
  <c r="G263"/>
  <c r="G201"/>
  <c r="G196"/>
  <c r="G189"/>
  <c r="G188"/>
  <c r="G178"/>
  <c r="J303"/>
  <c r="G154"/>
  <c r="G156"/>
  <c r="G153"/>
  <c r="G116"/>
  <c r="E115"/>
  <c r="G115" s="1"/>
  <c r="G103"/>
  <c r="E71"/>
  <c r="G71" s="1"/>
  <c r="E59"/>
  <c r="G59" s="1"/>
  <c r="J52"/>
  <c r="G131"/>
  <c r="J337"/>
  <c r="J287"/>
  <c r="J135"/>
  <c r="E330"/>
  <c r="G330" s="1"/>
  <c r="E298"/>
  <c r="G298" s="1"/>
  <c r="E306"/>
  <c r="G306" s="1"/>
  <c r="E269"/>
  <c r="G269" s="1"/>
  <c r="E33"/>
  <c r="G33" s="1"/>
  <c r="E128"/>
  <c r="G128" s="1"/>
  <c r="E31"/>
  <c r="G31" s="1"/>
  <c r="E375"/>
  <c r="G375" s="1"/>
  <c r="J125"/>
  <c r="J189"/>
  <c r="J254"/>
  <c r="E160"/>
  <c r="G160" s="1"/>
  <c r="E371"/>
  <c r="G371" s="1"/>
  <c r="J343"/>
  <c r="E319"/>
  <c r="G319" s="1"/>
  <c r="E296"/>
  <c r="G296" s="1"/>
  <c r="J299"/>
  <c r="J203"/>
  <c r="J395"/>
  <c r="J274"/>
  <c r="E251"/>
  <c r="G251" s="1"/>
  <c r="J367"/>
  <c r="J50"/>
  <c r="J70"/>
  <c r="E66"/>
  <c r="G66" s="1"/>
  <c r="E304"/>
  <c r="G304" s="1"/>
  <c r="J187"/>
  <c r="E266"/>
  <c r="G266" s="1"/>
  <c r="J331"/>
  <c r="E182"/>
  <c r="G182" s="1"/>
  <c r="E378"/>
  <c r="G378" s="1"/>
  <c r="G142"/>
  <c r="E79"/>
  <c r="G79" s="1"/>
  <c r="E88"/>
  <c r="G88" s="1"/>
  <c r="E273"/>
  <c r="G273" s="1"/>
  <c r="J375"/>
  <c r="J104"/>
  <c r="E352"/>
  <c r="G352" s="1"/>
  <c r="E89"/>
  <c r="G89" s="1"/>
  <c r="J137"/>
  <c r="E367"/>
  <c r="G367" s="1"/>
  <c r="E98"/>
  <c r="G98" s="1"/>
  <c r="E346"/>
  <c r="G346" s="1"/>
  <c r="E314"/>
  <c r="G314" s="1"/>
  <c r="E209"/>
  <c r="G209" s="1"/>
  <c r="J363"/>
  <c r="E376"/>
  <c r="G376" s="1"/>
  <c r="J120"/>
  <c r="J148"/>
  <c r="J172"/>
  <c r="E50"/>
  <c r="G50" s="1"/>
  <c r="J134"/>
  <c r="E395"/>
  <c r="G395" s="1"/>
  <c r="E394"/>
  <c r="G394" s="1"/>
  <c r="E362"/>
  <c r="G362" s="1"/>
  <c r="J66"/>
  <c r="J178"/>
  <c r="J351"/>
  <c r="J166"/>
  <c r="E72"/>
  <c r="G72" s="1"/>
  <c r="E351"/>
  <c r="G351" s="1"/>
  <c r="E254"/>
  <c r="G254" s="1"/>
  <c r="E197"/>
  <c r="G197" s="1"/>
  <c r="G137"/>
  <c r="G121"/>
  <c r="E134"/>
  <c r="G134" s="1"/>
  <c r="G120"/>
  <c r="E135"/>
  <c r="G135" s="1"/>
  <c r="G129"/>
  <c r="E203"/>
  <c r="G203" s="1"/>
  <c r="E344"/>
  <c r="G344" s="1"/>
  <c r="E311"/>
  <c r="G311" s="1"/>
  <c r="E194"/>
  <c r="G194" s="1"/>
  <c r="J359"/>
  <c r="J327"/>
  <c r="J295"/>
  <c r="E274"/>
  <c r="G274" s="1"/>
  <c r="E363"/>
  <c r="G363" s="1"/>
  <c r="E187"/>
  <c r="G187" s="1"/>
  <c r="E104"/>
  <c r="G104" s="1"/>
  <c r="J80"/>
  <c r="J261"/>
  <c r="J196"/>
  <c r="J329"/>
  <c r="J361"/>
  <c r="J62"/>
  <c r="J260"/>
  <c r="J393"/>
  <c r="J179"/>
  <c r="E343"/>
  <c r="G343" s="1"/>
  <c r="J69"/>
  <c r="J252"/>
  <c r="E331"/>
  <c r="G331" s="1"/>
  <c r="J297"/>
  <c r="J121"/>
  <c r="E200"/>
  <c r="G200" s="1"/>
  <c r="E275"/>
  <c r="G275" s="1"/>
  <c r="E207"/>
  <c r="G207" s="1"/>
  <c r="J128"/>
  <c r="J385"/>
  <c r="J369"/>
  <c r="J305"/>
  <c r="J202"/>
  <c r="J188"/>
  <c r="E384"/>
  <c r="G384" s="1"/>
  <c r="E136"/>
  <c r="G136" s="1"/>
  <c r="J173"/>
  <c r="J258"/>
  <c r="J370"/>
  <c r="J124"/>
  <c r="J48"/>
  <c r="G52"/>
  <c r="J98"/>
  <c r="J85"/>
  <c r="E270"/>
  <c r="G270" s="1"/>
  <c r="E323"/>
  <c r="G323" s="1"/>
  <c r="E258"/>
  <c r="G258" s="1"/>
  <c r="G85"/>
  <c r="E81"/>
  <c r="G81" s="1"/>
  <c r="E355"/>
  <c r="G355" s="1"/>
  <c r="E335"/>
  <c r="G335" s="1"/>
  <c r="E320"/>
  <c r="G320" s="1"/>
  <c r="E336"/>
  <c r="G336" s="1"/>
  <c r="J181"/>
  <c r="E392"/>
  <c r="G392" s="1"/>
  <c r="E360"/>
  <c r="G360" s="1"/>
  <c r="J347"/>
  <c r="J253"/>
  <c r="J270"/>
  <c r="J175"/>
  <c r="J180"/>
  <c r="E141"/>
  <c r="G141" s="1"/>
  <c r="E271"/>
  <c r="G271" s="1"/>
  <c r="J353"/>
  <c r="J323"/>
  <c r="J285"/>
  <c r="J313"/>
  <c r="J276"/>
  <c r="J355"/>
  <c r="J74"/>
  <c r="G73"/>
  <c r="E210"/>
  <c r="G210" s="1"/>
  <c r="J153"/>
  <c r="J210"/>
  <c r="J102"/>
  <c r="G65"/>
  <c r="J345"/>
  <c r="J73"/>
  <c r="J379"/>
  <c r="E328"/>
  <c r="G328" s="1"/>
  <c r="J174"/>
  <c r="J126"/>
  <c r="E307"/>
  <c r="G307" s="1"/>
  <c r="E285"/>
  <c r="G285" s="1"/>
  <c r="E267"/>
  <c r="G267" s="1"/>
  <c r="J387"/>
  <c r="J346"/>
  <c r="J335"/>
  <c r="J144"/>
  <c r="J321"/>
  <c r="J371"/>
  <c r="J58"/>
  <c r="E58"/>
  <c r="G58" s="1"/>
  <c r="E69"/>
  <c r="G69" s="1"/>
  <c r="E359"/>
  <c r="G359" s="1"/>
  <c r="J197"/>
  <c r="E386"/>
  <c r="G386" s="1"/>
  <c r="E354"/>
  <c r="G354" s="1"/>
  <c r="J160"/>
  <c r="E387"/>
  <c r="G387" s="1"/>
  <c r="J29"/>
  <c r="J377"/>
  <c r="E47"/>
  <c r="G47" s="1"/>
  <c r="E315"/>
  <c r="G315" s="1"/>
  <c r="E303"/>
  <c r="G303" s="1"/>
  <c r="E295"/>
  <c r="G295" s="1"/>
  <c r="J391"/>
  <c r="J315"/>
  <c r="J291"/>
  <c r="J131"/>
  <c r="J87"/>
  <c r="E339"/>
  <c r="G339" s="1"/>
  <c r="J307"/>
  <c r="E291"/>
  <c r="G291" s="1"/>
  <c r="J266"/>
  <c r="E169"/>
  <c r="G169" s="1"/>
  <c r="J159"/>
  <c r="E347"/>
  <c r="G347" s="1"/>
  <c r="E149"/>
  <c r="G149" s="1"/>
  <c r="E327"/>
  <c r="G327" s="1"/>
  <c r="E286"/>
  <c r="G286" s="1"/>
  <c r="J200"/>
  <c r="E322"/>
  <c r="G322" s="1"/>
  <c r="J116"/>
  <c r="H64"/>
  <c r="J64" s="1"/>
  <c r="E391"/>
  <c r="G391" s="1"/>
  <c r="J155"/>
  <c r="E64"/>
  <c r="G64" s="1"/>
  <c r="J49"/>
  <c r="E138"/>
  <c r="G138" s="1"/>
  <c r="G62"/>
  <c r="J51"/>
  <c r="J60"/>
  <c r="J59"/>
  <c r="E127"/>
  <c r="G127" s="1"/>
  <c r="E366"/>
  <c r="G366" s="1"/>
  <c r="J31"/>
  <c r="E60"/>
  <c r="G60" s="1"/>
  <c r="G56"/>
  <c r="J79"/>
  <c r="J183"/>
  <c r="J127"/>
  <c r="J163"/>
  <c r="J308"/>
  <c r="J208"/>
  <c r="J90"/>
  <c r="E32"/>
  <c r="G32" s="1"/>
  <c r="J47"/>
  <c r="J168"/>
  <c r="J33"/>
  <c r="J30"/>
  <c r="J71"/>
  <c r="J129"/>
  <c r="J332"/>
  <c r="J165"/>
  <c r="J63"/>
  <c r="J154"/>
  <c r="J366"/>
  <c r="J374"/>
  <c r="J72"/>
  <c r="J388"/>
  <c r="J317"/>
  <c r="J65"/>
  <c r="J265"/>
  <c r="J310"/>
  <c r="J358"/>
  <c r="J272"/>
  <c r="J324"/>
  <c r="J138"/>
  <c r="J356"/>
  <c r="J88"/>
  <c r="J349"/>
  <c r="J380"/>
  <c r="J348"/>
  <c r="E340"/>
  <c r="G340" s="1"/>
  <c r="E256"/>
  <c r="G256" s="1"/>
  <c r="E165"/>
  <c r="G165" s="1"/>
  <c r="E53"/>
  <c r="G53" s="1"/>
  <c r="E380"/>
  <c r="G380" s="1"/>
  <c r="E334"/>
  <c r="G334" s="1"/>
  <c r="E302"/>
  <c r="G302" s="1"/>
  <c r="E356"/>
  <c r="G356" s="1"/>
  <c r="E372"/>
  <c r="G372" s="1"/>
  <c r="E268"/>
  <c r="G268" s="1"/>
  <c r="E388"/>
  <c r="G388" s="1"/>
  <c r="E208"/>
  <c r="G208" s="1"/>
  <c r="E195"/>
  <c r="G195" s="1"/>
  <c r="J373"/>
  <c r="J341"/>
  <c r="J143"/>
  <c r="J256"/>
  <c r="J325"/>
  <c r="J301"/>
  <c r="J264"/>
  <c r="J117"/>
  <c r="J342"/>
  <c r="J334"/>
  <c r="J273"/>
  <c r="J156"/>
  <c r="J364"/>
  <c r="J114"/>
  <c r="J193"/>
  <c r="E193"/>
  <c r="G193" s="1"/>
  <c r="J381"/>
  <c r="E252"/>
  <c r="G252" s="1"/>
  <c r="E300"/>
  <c r="G300" s="1"/>
  <c r="J284"/>
  <c r="J201"/>
  <c r="E358"/>
  <c r="G358" s="1"/>
  <c r="J302"/>
  <c r="J53"/>
  <c r="J130"/>
  <c r="J142"/>
  <c r="E364"/>
  <c r="G364" s="1"/>
  <c r="E332"/>
  <c r="G332" s="1"/>
  <c r="J86"/>
  <c r="J255"/>
  <c r="J61"/>
  <c r="J382"/>
  <c r="J390"/>
  <c r="J389"/>
  <c r="J357"/>
  <c r="J57"/>
  <c r="J186"/>
  <c r="J103"/>
  <c r="E350"/>
  <c r="G350" s="1"/>
  <c r="E63"/>
  <c r="G63" s="1"/>
  <c r="J372"/>
  <c r="J340"/>
  <c r="J309"/>
  <c r="J257"/>
  <c r="E308"/>
  <c r="G308" s="1"/>
  <c r="J365"/>
  <c r="J333"/>
  <c r="J56"/>
  <c r="J263"/>
  <c r="J318"/>
  <c r="J195"/>
  <c r="E114"/>
  <c r="G114" s="1"/>
  <c r="J326"/>
  <c r="J350"/>
  <c r="E342"/>
  <c r="G342" s="1"/>
  <c r="E324"/>
  <c r="G324" s="1"/>
  <c r="J294"/>
  <c r="E348"/>
  <c r="G348" s="1"/>
  <c r="J268"/>
  <c r="E316"/>
  <c r="G316" s="1"/>
  <c r="J150"/>
  <c r="F4"/>
</calcChain>
</file>

<file path=xl/sharedStrings.xml><?xml version="1.0" encoding="utf-8"?>
<sst xmlns="http://schemas.openxmlformats.org/spreadsheetml/2006/main" count="2190" uniqueCount="344">
  <si>
    <t xml:space="preserve">PLANILHA DE CONTROLE DE ESTOQUE </t>
  </si>
  <si>
    <t xml:space="preserve">Cadastros </t>
  </si>
  <si>
    <t xml:space="preserve">Entradas </t>
  </si>
  <si>
    <t xml:space="preserve">Saídas </t>
  </si>
  <si>
    <t xml:space="preserve">Controle de estoque </t>
  </si>
  <si>
    <t xml:space="preserve">Instruções </t>
  </si>
  <si>
    <t>INSTRUÇÕES</t>
  </si>
  <si>
    <t>CAPA</t>
  </si>
  <si>
    <t>Abaixo, você encontra a explicação para todas as abas da planilha.</t>
  </si>
  <si>
    <t xml:space="preserve">Saiba mais sobre a importância do controle estoque </t>
  </si>
  <si>
    <t>ABAS: 
CADASTRO/
ENTRADAS/
SAÍDAS</t>
  </si>
  <si>
    <r>
      <rPr>
        <b/>
        <sz val="10"/>
        <color theme="1"/>
        <rFont val="Open Sans"/>
      </rPr>
      <t>As cores das fontes dos valores nas tabelas dessas abas indicam que:</t>
    </r>
    <r>
      <rPr>
        <sz val="10"/>
        <color theme="1"/>
        <rFont val="Open Sans"/>
      </rPr>
      <t xml:space="preserve">
(1) Células com fontes na cor </t>
    </r>
    <r>
      <rPr>
        <b/>
        <sz val="10"/>
        <color theme="1"/>
        <rFont val="Open Sans"/>
      </rPr>
      <t>PRETA</t>
    </r>
    <r>
      <rPr>
        <sz val="10"/>
        <color theme="1"/>
        <rFont val="Open Sans"/>
      </rPr>
      <t xml:space="preserve"> devem ser </t>
    </r>
    <r>
      <rPr>
        <b/>
        <sz val="10"/>
        <color theme="1"/>
        <rFont val="Open Sans"/>
      </rPr>
      <t>preenchidas manualmente</t>
    </r>
    <r>
      <rPr>
        <sz val="10"/>
        <color theme="1"/>
        <rFont val="Open Sans"/>
      </rPr>
      <t xml:space="preserve">.
(2) Células com fontes na cor </t>
    </r>
    <r>
      <rPr>
        <b/>
        <sz val="10"/>
        <color rgb="FF0000FF"/>
        <rFont val="Open Sans"/>
      </rPr>
      <t>AZUL</t>
    </r>
    <r>
      <rPr>
        <sz val="10"/>
        <color theme="1"/>
        <rFont val="Open Sans"/>
      </rPr>
      <t xml:space="preserve"> são calculadas automaticamente por fórmulas, portanto </t>
    </r>
    <r>
      <rPr>
        <b/>
        <sz val="10"/>
        <color rgb="FF0000FF"/>
        <rFont val="Open Sans"/>
      </rPr>
      <t>NÃO devem ser editadas</t>
    </r>
    <r>
      <rPr>
        <sz val="10"/>
        <color theme="1"/>
        <rFont val="Open Sans"/>
      </rPr>
      <t>.</t>
    </r>
  </si>
  <si>
    <t>CADASTRO PRODUTOS</t>
  </si>
  <si>
    <r>
      <rPr>
        <b/>
        <sz val="10"/>
        <color theme="1"/>
        <rFont val="Open Sans"/>
      </rPr>
      <t xml:space="preserve"> OBSERVAÇÃO 1 </t>
    </r>
    <r>
      <rPr>
        <sz val="10"/>
        <color theme="1"/>
        <rFont val="Open Sans"/>
      </rPr>
      <t xml:space="preserve">
Esta aba faz parte do conjunto de 3 abas para cadastro de informações. Aqui, você pode cadastrar os dados referentes aos seus </t>
    </r>
    <r>
      <rPr>
        <b/>
        <sz val="10"/>
        <color theme="1"/>
        <rFont val="Open Sans"/>
      </rPr>
      <t>PRODUTOS</t>
    </r>
    <r>
      <rPr>
        <sz val="10"/>
        <color theme="1"/>
        <rFont val="Open Sans"/>
      </rPr>
      <t xml:space="preserve">. Esta tabela possui uma Validação de Dados que impede o cadastro de produtos duplicados.
</t>
    </r>
    <r>
      <rPr>
        <b/>
        <sz val="10"/>
        <color theme="1"/>
        <rFont val="Open Sans"/>
      </rPr>
      <t xml:space="preserve">OBSERVAÇÃO 2 </t>
    </r>
    <r>
      <rPr>
        <sz val="10"/>
        <color theme="1"/>
        <rFont val="Open Sans"/>
      </rPr>
      <t xml:space="preserve">
Para cadastrar um novo PRODUTO, basta preencher a primeira linha vazia logo abaixo da tabela. Ela está configurada de modo que toda a formatação da linha e fórmulas usadas sejam arrastadas automaticamente para a nova linha.</t>
    </r>
  </si>
  <si>
    <t>CADASTRO FORNECEDORES</t>
  </si>
  <si>
    <r>
      <rPr>
        <b/>
        <sz val="10"/>
        <color theme="1"/>
        <rFont val="Open Sans"/>
      </rPr>
      <t>OBSERVAÇÃO 1</t>
    </r>
    <r>
      <rPr>
        <sz val="10"/>
        <color theme="1"/>
        <rFont val="Open Sans"/>
      </rPr>
      <t xml:space="preserve"> 
Esta aba faz parte do conjunto de 3 abas para cadastro de informações. Aqui, você pode cadastrar os dados referentes aos seus </t>
    </r>
    <r>
      <rPr>
        <b/>
        <sz val="10"/>
        <color theme="1"/>
        <rFont val="Open Sans"/>
      </rPr>
      <t>FORNECEDORES.</t>
    </r>
    <r>
      <rPr>
        <sz val="10"/>
        <color theme="1"/>
        <rFont val="Open Sans"/>
      </rPr>
      <t xml:space="preserve"> Esta tabela possui uma Validação de Dados que impede o cadastro de fornecedores duplicados.
</t>
    </r>
    <r>
      <rPr>
        <b/>
        <sz val="10"/>
        <color theme="1"/>
        <rFont val="Open Sans"/>
      </rPr>
      <t xml:space="preserve"> OBSERVAÇÃO 2</t>
    </r>
    <r>
      <rPr>
        <sz val="10"/>
        <color theme="1"/>
        <rFont val="Open Sans"/>
      </rPr>
      <t xml:space="preserve"> 
Para cadastrar um novo FORNECEDOR, basta preencher a primeira linha vazia logo abaixo da tabela. Ela está configurada de modo que toda a formatação da linha e fórmulas usadas sejam arrastadas automaticamente para a nova linha.</t>
    </r>
  </si>
  <si>
    <t>ENTRADAS</t>
  </si>
  <si>
    <r>
      <rPr>
        <sz val="10"/>
        <color theme="1"/>
        <rFont val="Open Sans"/>
      </rPr>
      <t xml:space="preserve"> </t>
    </r>
    <r>
      <rPr>
        <b/>
        <sz val="10"/>
        <color theme="1"/>
        <rFont val="Open Sans"/>
      </rPr>
      <t>OBSERVAÇÃO 1</t>
    </r>
    <r>
      <rPr>
        <sz val="10"/>
        <color theme="1"/>
        <rFont val="Open Sans"/>
      </rPr>
      <t xml:space="preserve"> 
Nesta aba você irá registrar todas as </t>
    </r>
    <r>
      <rPr>
        <b/>
        <sz val="10"/>
        <color theme="1"/>
        <rFont val="Open Sans"/>
      </rPr>
      <t>ENTRADAS</t>
    </r>
    <r>
      <rPr>
        <sz val="10"/>
        <color theme="1"/>
        <rFont val="Open Sans"/>
      </rPr>
      <t xml:space="preserve">, ou seja, compras para recomposição de estoque. Para cadastrar uma nova ENTRADA de um produto, basta utilizar a Validação de Dados (lista de opções) que se encontra nas células da coluna de PRODUTO. Essa lista se atualiza automaticamente quando você </t>
    </r>
    <r>
      <rPr>
        <b/>
        <sz val="10"/>
        <color theme="1"/>
        <rFont val="Open Sans"/>
      </rPr>
      <t>cadastra</t>
    </r>
    <r>
      <rPr>
        <sz val="10"/>
        <color theme="1"/>
        <rFont val="Open Sans"/>
      </rPr>
      <t xml:space="preserve"> um novo produto na aba de </t>
    </r>
    <r>
      <rPr>
        <b/>
        <sz val="10"/>
        <color theme="1"/>
        <rFont val="Open Sans"/>
      </rPr>
      <t>CADASTRO</t>
    </r>
    <r>
      <rPr>
        <sz val="10"/>
        <color theme="1"/>
        <rFont val="Open Sans"/>
      </rPr>
      <t xml:space="preserve">.
 </t>
    </r>
    <r>
      <rPr>
        <b/>
        <sz val="10"/>
        <color theme="1"/>
        <rFont val="Open Sans"/>
      </rPr>
      <t>OBSERVAÇÃO 2</t>
    </r>
    <r>
      <rPr>
        <sz val="10"/>
        <color theme="1"/>
        <rFont val="Open Sans"/>
      </rPr>
      <t xml:space="preserve"> 
Para registrar uma nova ENTRADA, basta preencher a primeira linha vazia logo abaixo da tabela. Ela está configurada de modo que toda a formatação da linha e fórmulas usadas sejam arrastadas automaticamente para a nova linha.</t>
    </r>
  </si>
  <si>
    <t>SAÍDAS</t>
  </si>
  <si>
    <r>
      <rPr>
        <sz val="10"/>
        <color theme="1"/>
        <rFont val="Open Sans"/>
      </rPr>
      <t xml:space="preserve"> </t>
    </r>
    <r>
      <rPr>
        <b/>
        <sz val="10"/>
        <color theme="1"/>
        <rFont val="Open Sans"/>
      </rPr>
      <t>OBSERVAÇÃO 1</t>
    </r>
    <r>
      <rPr>
        <sz val="10"/>
        <color theme="1"/>
        <rFont val="Open Sans"/>
      </rPr>
      <t xml:space="preserve"> 
Nesta aba você irá registrar todas as </t>
    </r>
    <r>
      <rPr>
        <b/>
        <sz val="10"/>
        <color theme="1"/>
        <rFont val="Open Sans"/>
      </rPr>
      <t>SAÍDAS</t>
    </r>
    <r>
      <rPr>
        <sz val="10"/>
        <color theme="1"/>
        <rFont val="Open Sans"/>
      </rPr>
      <t xml:space="preserve">, ou seja, vendas de produtos. A coluna QUANTIDADE possui uma Validação de Dados que impede que seja registrada uma venda caso não tenha estoque no momento da venda. </t>
    </r>
    <r>
      <rPr>
        <u/>
        <sz val="10"/>
        <color theme="1"/>
        <rFont val="Open Sans"/>
      </rPr>
      <t>Obs: Fique atento na coluna de ESTOQUE ACUMULADO, pois a sua venda depende do seu saldo em estoque. Você pode verificar o status de cada produto na aba de CONTROLE DE ESTOQUE, explicada mais abaixo</t>
    </r>
    <r>
      <rPr>
        <sz val="10"/>
        <color theme="1"/>
        <rFont val="Open Sans"/>
      </rPr>
      <t xml:space="preserve">.
 </t>
    </r>
    <r>
      <rPr>
        <b/>
        <sz val="10"/>
        <color theme="1"/>
        <rFont val="Open Sans"/>
      </rPr>
      <t>OBSERVAÇÃO 2</t>
    </r>
    <r>
      <rPr>
        <sz val="10"/>
        <color theme="1"/>
        <rFont val="Open Sans"/>
      </rPr>
      <t xml:space="preserve"> 
Para cadastrar uma nova SAÍDA de um produto, basta utilizar a Validação de Dados (lista de opções) que se encontra nas células da coluna de PRODUTO. Essa lista se atualiza automaticamente quando você</t>
    </r>
    <r>
      <rPr>
        <b/>
        <sz val="10"/>
        <color theme="1"/>
        <rFont val="Open Sans"/>
      </rPr>
      <t xml:space="preserve"> cadastra</t>
    </r>
    <r>
      <rPr>
        <sz val="10"/>
        <color theme="1"/>
        <rFont val="Open Sans"/>
      </rPr>
      <t xml:space="preserve"> um novo produto na aba de </t>
    </r>
    <r>
      <rPr>
        <b/>
        <sz val="10"/>
        <color theme="1"/>
        <rFont val="Open Sans"/>
      </rPr>
      <t>CADASTRO</t>
    </r>
    <r>
      <rPr>
        <sz val="10"/>
        <color theme="1"/>
        <rFont val="Open Sans"/>
      </rPr>
      <t xml:space="preserve">.
 </t>
    </r>
    <r>
      <rPr>
        <b/>
        <sz val="10"/>
        <color theme="1"/>
        <rFont val="Open Sans"/>
      </rPr>
      <t>OBSERVAÇÃO 3</t>
    </r>
    <r>
      <rPr>
        <sz val="10"/>
        <color theme="1"/>
        <rFont val="Open Sans"/>
      </rPr>
      <t xml:space="preserve"> 
As colunas de Quantidade Devolvida e Data da Devolução devem ser preenchidas</t>
    </r>
    <r>
      <rPr>
        <b/>
        <sz val="10"/>
        <color theme="1"/>
        <rFont val="Open Sans"/>
      </rPr>
      <t xml:space="preserve"> SOMENTE</t>
    </r>
    <r>
      <rPr>
        <sz val="10"/>
        <color theme="1"/>
        <rFont val="Open Sans"/>
      </rPr>
      <t xml:space="preserve"> se houver devolução da venda.
 </t>
    </r>
    <r>
      <rPr>
        <b/>
        <sz val="10"/>
        <color theme="1"/>
        <rFont val="Open Sans"/>
      </rPr>
      <t>OBSERVAÇÃO 4</t>
    </r>
    <r>
      <rPr>
        <sz val="10"/>
        <color theme="1"/>
        <rFont val="Open Sans"/>
      </rPr>
      <t xml:space="preserve"> 
Para registrar uma nova ENTRADA, basta preencher a primeira linha vazia logo abaixo da tabela. Ela está configurada de modo que toda a formatação da linha e fórmulas usadas sejam arrastadas automaticamente para a nova linha.</t>
    </r>
  </si>
  <si>
    <t>CONT. ESTOQUE</t>
  </si>
  <si>
    <r>
      <rPr>
        <sz val="10"/>
        <color theme="1"/>
        <rFont val="Open Sans"/>
      </rPr>
      <t xml:space="preserve"> </t>
    </r>
    <r>
      <rPr>
        <b/>
        <sz val="10"/>
        <color theme="1"/>
        <rFont val="Open Sans"/>
      </rPr>
      <t>OBSERVAÇÃO 1</t>
    </r>
    <r>
      <rPr>
        <sz val="10"/>
        <color theme="1"/>
        <rFont val="Open Sans"/>
      </rPr>
      <t xml:space="preserve"> 
Na aba CONTROLE DE ESTOQUE, a única coluna a ser preenchida manualmente é a de PRODUTO, sempre que um novo produto for adicionado à sua aba de CADASTRO DE PRODUTOS. 
 </t>
    </r>
    <r>
      <rPr>
        <b/>
        <sz val="10"/>
        <color theme="1"/>
        <rFont val="Open Sans"/>
      </rPr>
      <t>OBSERVAÇÃO 2</t>
    </r>
    <r>
      <rPr>
        <sz val="10"/>
        <color theme="1"/>
        <rFont val="Open Sans"/>
      </rPr>
      <t xml:space="preserve"> 
Toda vez que um novo produto for adicionado na aba de CADASTRO DE PRODUTO, a célula F4 da aba CONTROLE DE ESTOQUE apontará que a tabela está defasada. Para corrigir isso, basta adicionar este produto recém-cadastrado também na tabela de CONTROLE DE ESTOQUE. O processo para adicionar um novo produto é o mesmo feito para as outras tabelas: preencher a última linha vazia logo abaixo da tabela. Obs: Preencher somente a coluna de PRODUTO já é suficiente para que todas as fórmulas das demais colunas sejam calculadas!
Pronto! Seguindo esse passo a passo a mensagem na célula F4 vai mudar para "Sim!" e a tabela de Controle de Estoque estará 100% atualizada!
 </t>
    </r>
    <r>
      <rPr>
        <b/>
        <sz val="10"/>
        <color theme="1"/>
        <rFont val="Open Sans"/>
      </rPr>
      <t>OBSERVAÇÃO 3</t>
    </r>
    <r>
      <rPr>
        <sz val="10"/>
        <color theme="1"/>
        <rFont val="Open Sans"/>
      </rPr>
      <t xml:space="preserve">
Nesta tabela, você pode verificar a situação atual de estoque de cada um dos seus produtos. Os status possíveis são os seguintes:
</t>
    </r>
    <r>
      <rPr>
        <b/>
        <sz val="10"/>
        <color rgb="FF00B050"/>
        <rFont val="Open Sans"/>
      </rPr>
      <t>(a) Estoque Confortável: Você possui estoque suficiente para as vendas daquele produto. A linha daquele produto ficará verde.</t>
    </r>
    <r>
      <rPr>
        <sz val="10"/>
        <color theme="1"/>
        <rFont val="Open Sans"/>
      </rPr>
      <t xml:space="preserve">
</t>
    </r>
    <r>
      <rPr>
        <b/>
        <sz val="10"/>
        <color rgb="FFFFCC00"/>
        <rFont val="Open Sans"/>
      </rPr>
      <t>(b) Estoque Perigoso: Você ainda possui estoque, porém ele está abaixo do mínimo de segurança estabelecido. A linha daquele produto ficará pintada de amarelo.</t>
    </r>
    <r>
      <rPr>
        <sz val="10"/>
        <color theme="1"/>
        <rFont val="Open Sans"/>
      </rPr>
      <t xml:space="preserve">
</t>
    </r>
    <r>
      <rPr>
        <b/>
        <sz val="10"/>
        <color rgb="FFFF9F1C"/>
        <rFont val="Open Sans"/>
      </rPr>
      <t>(c) Sem Estoque: Se o seu estoque zerar, esta mensagem aparece e a linha da tabela fica laranja.</t>
    </r>
  </si>
  <si>
    <t>CADASTRO DE PRODUTOS</t>
  </si>
  <si>
    <t>Dúvidas?</t>
  </si>
  <si>
    <t>PRODUTOS</t>
  </si>
  <si>
    <t xml:space="preserve">FORNECEDORES </t>
  </si>
  <si>
    <t>Instruções</t>
  </si>
  <si>
    <t>ITEM</t>
  </si>
  <si>
    <t>CÓDIGO PRÓPRIO</t>
  </si>
  <si>
    <t>UNIDADE DE MEDIDA</t>
  </si>
  <si>
    <t xml:space="preserve">ESTOQUE MÍNIMO </t>
  </si>
  <si>
    <t xml:space="preserve">CUSTO UNITÁRIO </t>
  </si>
  <si>
    <t>PREÇO UNITÁRIO</t>
  </si>
  <si>
    <t>CADASTRO DE FORNECEDORES</t>
  </si>
  <si>
    <t>FORNECEDORES</t>
  </si>
  <si>
    <t xml:space="preserve">EMPRESA </t>
  </si>
  <si>
    <t>CONTATO</t>
  </si>
  <si>
    <t>E-MAIL</t>
  </si>
  <si>
    <t xml:space="preserve">ENDEREÇO </t>
  </si>
  <si>
    <t xml:space="preserve">TOTAL COMPRADO </t>
  </si>
  <si>
    <t>CONTROLE DE ENTRADAS</t>
  </si>
  <si>
    <t>DATA DA COMPRA</t>
  </si>
  <si>
    <t>PRODUTO</t>
  </si>
  <si>
    <t>FORNECEDOR</t>
  </si>
  <si>
    <t>QUANTIDADE</t>
  </si>
  <si>
    <t>CUSTO UNITÁRIO</t>
  </si>
  <si>
    <t>PREÇO DE VENDA</t>
  </si>
  <si>
    <t xml:space="preserve">VALOR TOTAL DA COMPRA </t>
  </si>
  <si>
    <t>CONTROLE DE SAÍDAS</t>
  </si>
  <si>
    <t>QUANT. DEVOLVIDA</t>
  </si>
  <si>
    <t>DATA DA DEVOLUÇÃO</t>
  </si>
  <si>
    <t xml:space="preserve">QUANT. VENDIDA </t>
  </si>
  <si>
    <t xml:space="preserve">ESTOQUE ACUMULADO </t>
  </si>
  <si>
    <t xml:space="preserve">VALOR TOTAL DA VENDA </t>
  </si>
  <si>
    <t>CONTROLE DE ESTOQUE</t>
  </si>
  <si>
    <t>Check automático: A tabela de Controle de Estoque está completa?</t>
  </si>
  <si>
    <t>SALDO</t>
  </si>
  <si>
    <t>STATUS</t>
  </si>
  <si>
    <t xml:space="preserve">RECEITA TOTAL </t>
  </si>
  <si>
    <t xml:space="preserve">CUSTO TOTAL </t>
  </si>
  <si>
    <t>LUCRO/PREJUÍZO TOTAL</t>
  </si>
  <si>
    <t>NF / O.S.</t>
  </si>
  <si>
    <t>UNIDADE</t>
  </si>
  <si>
    <t>MODELO (BANDAS)</t>
  </si>
  <si>
    <t>DATA DE SAIDA</t>
  </si>
  <si>
    <t xml:space="preserve">FUNCIONARIO </t>
  </si>
  <si>
    <t>VT100</t>
  </si>
  <si>
    <t>VL110LA</t>
  </si>
  <si>
    <t>VL110L</t>
  </si>
  <si>
    <t>VL100</t>
  </si>
  <si>
    <t>DV-RM</t>
  </si>
  <si>
    <t>VT50L</t>
  </si>
  <si>
    <t>DV-MTB</t>
  </si>
  <si>
    <t>VL10L</t>
  </si>
  <si>
    <t>DV-MT</t>
  </si>
  <si>
    <t>VT510</t>
  </si>
  <si>
    <t>VM500B</t>
  </si>
  <si>
    <t>VRT3</t>
  </si>
  <si>
    <t>VDY</t>
  </si>
  <si>
    <t>VT120L</t>
  </si>
  <si>
    <t>DV-RT2</t>
  </si>
  <si>
    <t>DV-RT5</t>
  </si>
  <si>
    <t>VP430L</t>
  </si>
  <si>
    <t>VT190</t>
  </si>
  <si>
    <t>VM530L</t>
  </si>
  <si>
    <t>VZY2</t>
  </si>
  <si>
    <t>VP410</t>
  </si>
  <si>
    <t>VLW</t>
  </si>
  <si>
    <t>DV-UM3</t>
  </si>
  <si>
    <t>VT830</t>
  </si>
  <si>
    <t>VL130</t>
  </si>
  <si>
    <t>DV-MT E</t>
  </si>
  <si>
    <t>VT-266</t>
  </si>
  <si>
    <t>VT-258</t>
  </si>
  <si>
    <t>VT-250</t>
  </si>
  <si>
    <t>VT-242</t>
  </si>
  <si>
    <t>VT-234</t>
  </si>
  <si>
    <t>VT-226</t>
  </si>
  <si>
    <t>VT-218</t>
  </si>
  <si>
    <t>LA-300</t>
  </si>
  <si>
    <t>LA-258</t>
  </si>
  <si>
    <t>LA-250</t>
  </si>
  <si>
    <t>LA-242</t>
  </si>
  <si>
    <t>LA-234</t>
  </si>
  <si>
    <t>LA-226</t>
  </si>
  <si>
    <t>LA-218</t>
  </si>
  <si>
    <t>VL-258</t>
  </si>
  <si>
    <t>VL-250</t>
  </si>
  <si>
    <t>VL-242</t>
  </si>
  <si>
    <t>VL-234</t>
  </si>
  <si>
    <t>VL-226</t>
  </si>
  <si>
    <t>VL-218</t>
  </si>
  <si>
    <t>VL-210</t>
  </si>
  <si>
    <t>130-258</t>
  </si>
  <si>
    <t>130-242</t>
  </si>
  <si>
    <t>130-226</t>
  </si>
  <si>
    <t>VL100-258</t>
  </si>
  <si>
    <t>VL100-250</t>
  </si>
  <si>
    <t>VL100-242</t>
  </si>
  <si>
    <t>VL100-234</t>
  </si>
  <si>
    <t>VL100-226</t>
  </si>
  <si>
    <t>VL100-218</t>
  </si>
  <si>
    <t>VL100-210</t>
  </si>
  <si>
    <t>RM-266</t>
  </si>
  <si>
    <t>RM-258</t>
  </si>
  <si>
    <t>RM-250</t>
  </si>
  <si>
    <t>RM-242</t>
  </si>
  <si>
    <t>RM-234</t>
  </si>
  <si>
    <t>RM-226</t>
  </si>
  <si>
    <t>RM-218</t>
  </si>
  <si>
    <t>RM-210</t>
  </si>
  <si>
    <t>RM-198</t>
  </si>
  <si>
    <t>RM-190</t>
  </si>
  <si>
    <t>RM-180</t>
  </si>
  <si>
    <t>VT50-210</t>
  </si>
  <si>
    <t>VT50-180</t>
  </si>
  <si>
    <t>VT50-190</t>
  </si>
  <si>
    <t>VT50-200</t>
  </si>
  <si>
    <t>VT50-160</t>
  </si>
  <si>
    <t>VT50-150</t>
  </si>
  <si>
    <t>MTB-210</t>
  </si>
  <si>
    <t>MTB-202</t>
  </si>
  <si>
    <t>MTB-194</t>
  </si>
  <si>
    <t>VL10-215</t>
  </si>
  <si>
    <t>VL10-210</t>
  </si>
  <si>
    <t>VL10-200</t>
  </si>
  <si>
    <t>VL10-190</t>
  </si>
  <si>
    <t>VL10-180</t>
  </si>
  <si>
    <t>VL10-158</t>
  </si>
  <si>
    <t>VL10-148</t>
  </si>
  <si>
    <t>MT-258</t>
  </si>
  <si>
    <t>MT-250</t>
  </si>
  <si>
    <t>MT-242</t>
  </si>
  <si>
    <t>MT-234</t>
  </si>
  <si>
    <t>MT-226</t>
  </si>
  <si>
    <t>MT-218</t>
  </si>
  <si>
    <t>510-260</t>
  </si>
  <si>
    <t>510-250</t>
  </si>
  <si>
    <t>510-240</t>
  </si>
  <si>
    <t>510-230</t>
  </si>
  <si>
    <t>VRT3-250</t>
  </si>
  <si>
    <t>VRT3-240</t>
  </si>
  <si>
    <t>500B-258</t>
  </si>
  <si>
    <t>500B-250</t>
  </si>
  <si>
    <t>500B-242</t>
  </si>
  <si>
    <t>500B-235</t>
  </si>
  <si>
    <t>VDY-240</t>
  </si>
  <si>
    <t>VDY-230</t>
  </si>
  <si>
    <t>120L-258</t>
  </si>
  <si>
    <t>120L-250</t>
  </si>
  <si>
    <t>120L-242</t>
  </si>
  <si>
    <t>120L-234</t>
  </si>
  <si>
    <t>120L-226</t>
  </si>
  <si>
    <t>120L-218</t>
  </si>
  <si>
    <t>120L-210</t>
  </si>
  <si>
    <t>120L-200</t>
  </si>
  <si>
    <t>RT2-265</t>
  </si>
  <si>
    <t>RT2-255</t>
  </si>
  <si>
    <t>RT2-245</t>
  </si>
  <si>
    <t>RT2-235</t>
  </si>
  <si>
    <t>RT2-225</t>
  </si>
  <si>
    <t>RT5-266</t>
  </si>
  <si>
    <t>RT5-258</t>
  </si>
  <si>
    <t>RT5-250</t>
  </si>
  <si>
    <t>RT5-242</t>
  </si>
  <si>
    <t>430L-185</t>
  </si>
  <si>
    <t>430L-175</t>
  </si>
  <si>
    <t>430L-165</t>
  </si>
  <si>
    <t>VT190-190</t>
  </si>
  <si>
    <t>VT190-180</t>
  </si>
  <si>
    <t>VT190-170</t>
  </si>
  <si>
    <t>VT190-160</t>
  </si>
  <si>
    <t>530L-258</t>
  </si>
  <si>
    <t>530L-250</t>
  </si>
  <si>
    <t>530L-242</t>
  </si>
  <si>
    <t>530L-234</t>
  </si>
  <si>
    <t>530L-226</t>
  </si>
  <si>
    <t>530L-218</t>
  </si>
  <si>
    <t>530L-210</t>
  </si>
  <si>
    <t>530L-200</t>
  </si>
  <si>
    <t>530L-190</t>
  </si>
  <si>
    <t>530L-180</t>
  </si>
  <si>
    <t>530L-170</t>
  </si>
  <si>
    <t>VZY-260</t>
  </si>
  <si>
    <t>VZY-250</t>
  </si>
  <si>
    <t>VZY-240</t>
  </si>
  <si>
    <t>VZY-235</t>
  </si>
  <si>
    <t>MT E-266</t>
  </si>
  <si>
    <t>MT E-258</t>
  </si>
  <si>
    <t>MT E-250</t>
  </si>
  <si>
    <t>MT E-242</t>
  </si>
  <si>
    <t>MT E-234</t>
  </si>
  <si>
    <t>MT E-226</t>
  </si>
  <si>
    <t>410-230</t>
  </si>
  <si>
    <t>410-220</t>
  </si>
  <si>
    <t>410-210</t>
  </si>
  <si>
    <t>410-190</t>
  </si>
  <si>
    <t>VLW-246</t>
  </si>
  <si>
    <t>VLW-238</t>
  </si>
  <si>
    <t>VLW-230</t>
  </si>
  <si>
    <t>VLW-222</t>
  </si>
  <si>
    <t>VLW-214</t>
  </si>
  <si>
    <t>UM3-258</t>
  </si>
  <si>
    <t>UM3-250</t>
  </si>
  <si>
    <t>UM3-242</t>
  </si>
  <si>
    <t>UM3-234</t>
  </si>
  <si>
    <t>VT830-266</t>
  </si>
  <si>
    <t>VT830-258</t>
  </si>
  <si>
    <t>VT830-250</t>
  </si>
  <si>
    <t>VT830-242</t>
  </si>
  <si>
    <t>RAC</t>
  </si>
  <si>
    <t>-</t>
  </si>
  <si>
    <t>RAC 46 QUENTE</t>
  </si>
  <si>
    <t>RAC 44 QUENTE</t>
  </si>
  <si>
    <t>RAC 40 QUENTE</t>
  </si>
  <si>
    <t>RAC 35 QUENTE</t>
  </si>
  <si>
    <t>RAC 25 QUENTE</t>
  </si>
  <si>
    <t>RAC 20 QUENTE</t>
  </si>
  <si>
    <t>RAC 44 FRIO</t>
  </si>
  <si>
    <t>RAC 40 FRIO</t>
  </si>
  <si>
    <t>RAC 25 FRIO</t>
  </si>
  <si>
    <t>RAC 20 FRIO</t>
  </si>
  <si>
    <t>RAC 10 FRIO</t>
  </si>
  <si>
    <t>VD</t>
  </si>
  <si>
    <t>VD 07 QUENTE</t>
  </si>
  <si>
    <t>VD 05 QUENTE</t>
  </si>
  <si>
    <t>VD 04 QUENTE</t>
  </si>
  <si>
    <t>VD 03 QUENTE</t>
  </si>
  <si>
    <t>VD 08 FRIO</t>
  </si>
  <si>
    <t>VD 07 FRIO</t>
  </si>
  <si>
    <t>VD 06 FRIO</t>
  </si>
  <si>
    <t>VD 05 FRIO</t>
  </si>
  <si>
    <t>VD 04 FRIO</t>
  </si>
  <si>
    <t>VD 01 FRIO</t>
  </si>
  <si>
    <t>PASTA P/MONTAGEM</t>
  </si>
  <si>
    <t>SELANTE</t>
  </si>
  <si>
    <t>CIMENTO VULCANIZANTE</t>
  </si>
  <si>
    <t>REMENDO 04</t>
  </si>
  <si>
    <t>REMENDO 03</t>
  </si>
  <si>
    <t>REPARO P/ PNEU SEM CÂMARA</t>
  </si>
  <si>
    <t>VIPAL</t>
  </si>
  <si>
    <t>VL-200</t>
  </si>
  <si>
    <t>VL-266</t>
  </si>
  <si>
    <t>130-250</t>
  </si>
  <si>
    <t>130-234</t>
  </si>
  <si>
    <t>130-218</t>
  </si>
  <si>
    <t>VRT3-260</t>
  </si>
  <si>
    <t>430L-195</t>
  </si>
  <si>
    <t>VLW-254</t>
  </si>
  <si>
    <t>VL600</t>
  </si>
  <si>
    <t>600-162</t>
  </si>
  <si>
    <t>600-154</t>
  </si>
  <si>
    <t>600-138</t>
  </si>
  <si>
    <t>600-122</t>
  </si>
  <si>
    <t>DV-RT4</t>
  </si>
  <si>
    <t>RT4-266</t>
  </si>
  <si>
    <t>DV-RMB</t>
  </si>
  <si>
    <t>RMB-234</t>
  </si>
  <si>
    <t>RMB-226</t>
  </si>
  <si>
    <t>DV-MM</t>
  </si>
  <si>
    <t>MM-242</t>
  </si>
  <si>
    <t>MM-250</t>
  </si>
  <si>
    <t>COLA</t>
  </si>
  <si>
    <t>PERFIL EXTRUSORA</t>
  </si>
  <si>
    <t>ORBICUSHION</t>
  </si>
  <si>
    <t>OBSERVAÇÕES</t>
  </si>
  <si>
    <t>Colunas1</t>
  </si>
  <si>
    <t>Colunas2</t>
  </si>
  <si>
    <t>Colunas3</t>
  </si>
  <si>
    <t>Colunas4</t>
  </si>
  <si>
    <t>Colunas5</t>
  </si>
  <si>
    <t>Colunas6</t>
  </si>
  <si>
    <t>Colunas7</t>
  </si>
  <si>
    <t>Colunas8</t>
  </si>
  <si>
    <t>VRT3-270</t>
  </si>
  <si>
    <t>RMB-242</t>
  </si>
  <si>
    <t>RMB-250</t>
  </si>
  <si>
    <t>DV-M3B</t>
  </si>
  <si>
    <t>UM3B-250</t>
  </si>
  <si>
    <t>UM3B-242</t>
  </si>
  <si>
    <t>UM3B-234</t>
  </si>
  <si>
    <t>UM3B-226</t>
  </si>
  <si>
    <t>UM3B-218</t>
  </si>
  <si>
    <t>DV-UM3B</t>
  </si>
  <si>
    <t>LIGAÇÃO ACABAMENTO</t>
  </si>
  <si>
    <t>CAMELBEC</t>
  </si>
  <si>
    <t>VT840</t>
  </si>
  <si>
    <t>840-245</t>
  </si>
  <si>
    <t>600-178</t>
  </si>
  <si>
    <t>600-186</t>
  </si>
  <si>
    <t>600-194</t>
  </si>
  <si>
    <t>MARCOS</t>
  </si>
  <si>
    <t>POLACO</t>
  </si>
  <si>
    <t>MAURO</t>
  </si>
  <si>
    <t>REPECOL</t>
  </si>
  <si>
    <t>VI600</t>
  </si>
  <si>
    <t>VI-162</t>
  </si>
  <si>
    <t>VI-178</t>
  </si>
  <si>
    <t>VI-194</t>
  </si>
  <si>
    <t>VI-154</t>
  </si>
  <si>
    <t>VI-138</t>
  </si>
  <si>
    <t>MTB-242</t>
  </si>
  <si>
    <t>MTB-218</t>
  </si>
  <si>
    <t>410-180</t>
  </si>
  <si>
    <t>VL-190</t>
  </si>
  <si>
    <t>VL-180</t>
  </si>
  <si>
    <t>510-226</t>
  </si>
  <si>
    <t>UM3-226</t>
  </si>
  <si>
    <t>***</t>
  </si>
  <si>
    <t>ESTOQUE CAMARA FRIA</t>
  </si>
  <si>
    <t>LIGAÇÃO-245</t>
  </si>
  <si>
    <t>LIGAÇÃO-215</t>
  </si>
  <si>
    <t>LIGAÇÃO-175</t>
  </si>
  <si>
    <t>AJUSTES</t>
  </si>
  <si>
    <t>FLAVIO</t>
  </si>
  <si>
    <t>530L-100</t>
  </si>
  <si>
    <t>510-248</t>
  </si>
  <si>
    <t>MTT-250</t>
  </si>
  <si>
    <t>FURO</t>
  </si>
  <si>
    <t>RAC 03 QUENTE</t>
  </si>
  <si>
    <t>VSK</t>
  </si>
  <si>
    <t>VSK-285</t>
  </si>
  <si>
    <t>KLEBER</t>
  </si>
  <si>
    <t>MARLON</t>
  </si>
</sst>
</file>

<file path=xl/styles.xml><?xml version="1.0" encoding="utf-8"?>
<styleSheet xmlns="http://schemas.openxmlformats.org/spreadsheetml/2006/main">
  <numFmts count="2">
    <numFmt numFmtId="164" formatCode="&quot;R$&quot;\ #,##0.00"/>
    <numFmt numFmtId="165" formatCode="[$R$ -416]#,##0.00"/>
  </numFmts>
  <fonts count="48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5F5F64"/>
      <name val="Calibri"/>
      <family val="2"/>
      <scheme val="minor"/>
    </font>
    <font>
      <sz val="11"/>
      <name val="Calibri"/>
      <family val="2"/>
    </font>
    <font>
      <b/>
      <sz val="24"/>
      <color theme="1"/>
      <name val="Open Sans"/>
    </font>
    <font>
      <sz val="10"/>
      <color theme="1"/>
      <name val="Open Sans"/>
    </font>
    <font>
      <sz val="11"/>
      <color theme="1"/>
      <name val="Open Sans"/>
    </font>
    <font>
      <b/>
      <sz val="10"/>
      <color theme="1"/>
      <name val="Open Sans"/>
    </font>
    <font>
      <b/>
      <u/>
      <sz val="11"/>
      <color theme="1"/>
      <name val="Open Sans"/>
    </font>
    <font>
      <b/>
      <u/>
      <sz val="11"/>
      <color theme="1"/>
      <name val="Open Sans"/>
    </font>
    <font>
      <sz val="11"/>
      <color theme="0"/>
      <name val="Calibri"/>
      <family val="2"/>
      <scheme val="minor"/>
    </font>
    <font>
      <b/>
      <sz val="12"/>
      <color theme="1"/>
      <name val="Open Sans"/>
    </font>
    <font>
      <u/>
      <sz val="11"/>
      <color theme="10"/>
      <name val="Open Sans"/>
    </font>
    <font>
      <b/>
      <sz val="10"/>
      <color theme="0"/>
      <name val="Open Sans"/>
    </font>
    <font>
      <sz val="11"/>
      <color theme="1"/>
      <name val="Calibri"/>
      <family val="2"/>
      <scheme val="minor"/>
    </font>
    <font>
      <b/>
      <u/>
      <sz val="11"/>
      <color theme="1"/>
      <name val="Open Sans"/>
    </font>
    <font>
      <b/>
      <sz val="11"/>
      <color rgb="FFF59632"/>
      <name val="Open Sans"/>
    </font>
    <font>
      <b/>
      <u/>
      <sz val="11"/>
      <color rgb="FFF59632"/>
      <name val="Open Sans"/>
    </font>
    <font>
      <sz val="11"/>
      <color rgb="FFFFFFFF"/>
      <name val="Calibri"/>
      <family val="2"/>
      <scheme val="minor"/>
    </font>
    <font>
      <i/>
      <sz val="14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0"/>
      <color rgb="FFFFFFFF"/>
      <name val="Open Sans"/>
    </font>
    <font>
      <sz val="10"/>
      <color rgb="FF0000FF"/>
      <name val="Open Sans"/>
    </font>
    <font>
      <sz val="11"/>
      <color rgb="FF0000FF"/>
      <name val="Open Sans"/>
    </font>
    <font>
      <sz val="1"/>
      <color rgb="FF2B2B2B"/>
      <name val="Courier"/>
      <family val="3"/>
    </font>
    <font>
      <sz val="11"/>
      <color theme="4"/>
      <name val="Calibri"/>
      <family val="2"/>
      <scheme val="minor"/>
    </font>
    <font>
      <u/>
      <sz val="12"/>
      <color rgb="FFFFFFFF"/>
      <name val="Calibri"/>
      <family val="2"/>
    </font>
    <font>
      <b/>
      <i/>
      <sz val="11"/>
      <color rgb="FFFF0000"/>
      <name val="Open Sans"/>
    </font>
    <font>
      <b/>
      <sz val="11"/>
      <color theme="1"/>
      <name val="Open Sans"/>
    </font>
    <font>
      <u/>
      <sz val="10"/>
      <color theme="10"/>
      <name val="Open Sans"/>
    </font>
    <font>
      <sz val="10"/>
      <color theme="10"/>
      <name val="Open Sans"/>
    </font>
    <font>
      <i/>
      <sz val="12"/>
      <color rgb="FFFF0000"/>
      <name val="Calibri"/>
      <family val="2"/>
      <scheme val="minor"/>
    </font>
    <font>
      <sz val="10"/>
      <color rgb="FF000000"/>
      <name val="Open Sans"/>
    </font>
    <font>
      <sz val="11"/>
      <color rgb="FF000000"/>
      <name val="Calibri"/>
      <family val="2"/>
      <scheme val="minor"/>
    </font>
    <font>
      <b/>
      <u/>
      <sz val="12"/>
      <color theme="1"/>
      <name val="Calibri"/>
      <family val="2"/>
    </font>
    <font>
      <sz val="10"/>
      <color theme="0"/>
      <name val="Open Sans"/>
    </font>
    <font>
      <b/>
      <sz val="10"/>
      <color rgb="FF0000FF"/>
      <name val="Open Sans"/>
    </font>
    <font>
      <u/>
      <sz val="10"/>
      <color theme="1"/>
      <name val="Open Sans"/>
    </font>
    <font>
      <b/>
      <sz val="10"/>
      <color rgb="FF00B050"/>
      <name val="Open Sans"/>
    </font>
    <font>
      <b/>
      <sz val="10"/>
      <color rgb="FFFFCC00"/>
      <name val="Open Sans"/>
    </font>
    <font>
      <b/>
      <sz val="10"/>
      <color rgb="FFFF9F1C"/>
      <name val="Open Sans"/>
    </font>
    <font>
      <sz val="10"/>
      <name val="Open Sans"/>
    </font>
    <font>
      <sz val="10"/>
      <color rgb="FFFF0000"/>
      <name val="Open Sans"/>
    </font>
    <font>
      <b/>
      <sz val="11"/>
      <color theme="1"/>
      <name val="Calibri"/>
      <family val="2"/>
      <scheme val="minor"/>
    </font>
    <font>
      <b/>
      <sz val="11"/>
      <color rgb="FF0000FF"/>
      <name val="Open Sans"/>
    </font>
  </fonts>
  <fills count="8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59632"/>
        <bgColor rgb="FFF59632"/>
      </patternFill>
    </fill>
    <fill>
      <patternFill patternType="solid">
        <fgColor rgb="FF5F5F64"/>
        <bgColor rgb="FF5F5F64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4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B7B7B7"/>
      </right>
      <top style="medium">
        <color rgb="FF000000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medium">
        <color rgb="FF000000"/>
      </top>
      <bottom style="thin">
        <color rgb="FFB7B7B7"/>
      </bottom>
      <diagonal/>
    </border>
    <border>
      <left style="thin">
        <color rgb="FFB7B7B7"/>
      </left>
      <right/>
      <top style="medium">
        <color rgb="FF000000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 style="medium">
        <color rgb="FF000000"/>
      </right>
      <top/>
      <bottom style="thin">
        <color rgb="FFB7B7B7"/>
      </bottom>
      <diagonal/>
    </border>
    <border>
      <left style="medium">
        <color rgb="FF000000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B7B7B7"/>
      </right>
      <top style="thin">
        <color rgb="FFB7B7B7"/>
      </top>
      <bottom style="medium">
        <color rgb="FF000000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medium">
        <color rgb="FF000000"/>
      </bottom>
      <diagonal/>
    </border>
    <border>
      <left style="thin">
        <color rgb="FFB7B7B7"/>
      </left>
      <right/>
      <top style="thin">
        <color rgb="FFB7B7B7"/>
      </top>
      <bottom style="medium">
        <color rgb="FF000000"/>
      </bottom>
      <diagonal/>
    </border>
    <border>
      <left style="thin">
        <color rgb="FFB7B7B7"/>
      </left>
      <right/>
      <top style="thin">
        <color rgb="FFB7B7B7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rgb="FFB7B7B7"/>
      </left>
      <right/>
      <top/>
      <bottom style="thin">
        <color rgb="FFB7B7B7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BFBFBF"/>
      </left>
      <right/>
      <top style="medium">
        <color rgb="FF000000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/>
      <top/>
      <bottom style="thin">
        <color rgb="FFBFBFBF"/>
      </bottom>
      <diagonal/>
    </border>
    <border>
      <left style="thin">
        <color rgb="FFBFBFBF"/>
      </left>
      <right style="medium">
        <color rgb="FF000000"/>
      </right>
      <top/>
      <bottom style="thin">
        <color rgb="FFBFBFBF"/>
      </bottom>
      <diagonal/>
    </border>
    <border>
      <left style="medium">
        <color rgb="FF000000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medium">
        <color rgb="FF000000"/>
      </right>
      <top style="thin">
        <color rgb="FFBFBFBF"/>
      </top>
      <bottom style="thin">
        <color rgb="FFBFBFBF"/>
      </bottom>
      <diagonal/>
    </border>
    <border>
      <left style="medium">
        <color rgb="FF000000"/>
      </left>
      <right style="thin">
        <color rgb="FFBFBFBF"/>
      </right>
      <top style="thin">
        <color rgb="FFBFBFBF"/>
      </top>
      <bottom style="medium">
        <color rgb="FF00000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000000"/>
      </bottom>
      <diagonal/>
    </border>
    <border>
      <left style="thin">
        <color rgb="FFBFBFBF"/>
      </left>
      <right/>
      <top style="thin">
        <color rgb="FFBFBFBF"/>
      </top>
      <bottom style="medium">
        <color rgb="FF000000"/>
      </bottom>
      <diagonal/>
    </border>
    <border>
      <left style="thin">
        <color rgb="FFBFBFBF"/>
      </left>
      <right style="thin">
        <color rgb="FFBFBFBF"/>
      </right>
      <top/>
      <bottom style="medium">
        <color rgb="FF000000"/>
      </bottom>
      <diagonal/>
    </border>
    <border>
      <left style="thin">
        <color rgb="FFBFBFBF"/>
      </left>
      <right/>
      <top/>
      <bottom style="medium">
        <color rgb="FF000000"/>
      </bottom>
      <diagonal/>
    </border>
    <border>
      <left style="thin">
        <color rgb="FFBFBFBF"/>
      </left>
      <right style="medium">
        <color rgb="FF000000"/>
      </right>
      <top style="thin">
        <color rgb="FFBFBFBF"/>
      </top>
      <bottom style="medium">
        <color rgb="FF000000"/>
      </bottom>
      <diagonal/>
    </border>
    <border>
      <left style="medium">
        <color rgb="FF000000"/>
      </left>
      <right style="thin">
        <color rgb="FFBFBFBF"/>
      </right>
      <top/>
      <bottom style="thin">
        <color rgb="FFBFBFBF"/>
      </bottom>
      <diagonal/>
    </border>
    <border>
      <left style="medium">
        <color rgb="FF000000"/>
      </left>
      <right style="thin">
        <color rgb="FFB7B7B7"/>
      </right>
      <top/>
      <bottom/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198">
    <xf numFmtId="0" fontId="0" fillId="0" borderId="0" xfId="0" applyFont="1" applyAlignment="1"/>
    <xf numFmtId="0" fontId="5" fillId="2" borderId="1" xfId="0" applyFont="1" applyFill="1" applyBorder="1"/>
    <xf numFmtId="0" fontId="0" fillId="2" borderId="1" xfId="0" applyFont="1" applyFill="1" applyBorder="1"/>
    <xf numFmtId="0" fontId="8" fillId="2" borderId="1" xfId="0" applyFont="1" applyFill="1" applyBorder="1"/>
    <xf numFmtId="0" fontId="9" fillId="2" borderId="1" xfId="0" applyFont="1" applyFill="1" applyBorder="1"/>
    <xf numFmtId="0" fontId="10" fillId="2" borderId="1" xfId="0" applyFont="1" applyFill="1" applyBorder="1"/>
    <xf numFmtId="0" fontId="11" fillId="2" borderId="1" xfId="0" applyFont="1" applyFill="1" applyBorder="1" applyAlignment="1">
      <alignment horizontal="center"/>
    </xf>
    <xf numFmtId="0" fontId="12" fillId="2" borderId="2" xfId="0" applyFont="1" applyFill="1" applyBorder="1" applyAlignment="1">
      <alignment horizontal="center"/>
    </xf>
    <xf numFmtId="0" fontId="13" fillId="2" borderId="1" xfId="0" applyFont="1" applyFill="1" applyBorder="1"/>
    <xf numFmtId="0" fontId="5" fillId="2" borderId="1" xfId="0" applyFont="1" applyFill="1" applyBorder="1" applyAlignment="1"/>
    <xf numFmtId="0" fontId="0" fillId="2" borderId="1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left" vertical="center"/>
    </xf>
    <xf numFmtId="0" fontId="13" fillId="2" borderId="1" xfId="0" applyFont="1" applyFill="1" applyBorder="1" applyAlignment="1"/>
    <xf numFmtId="0" fontId="0" fillId="3" borderId="1" xfId="0" applyFont="1" applyFill="1" applyBorder="1"/>
    <xf numFmtId="0" fontId="9" fillId="0" borderId="0" xfId="0" applyFont="1"/>
    <xf numFmtId="0" fontId="8" fillId="0" borderId="0" xfId="0" applyFont="1"/>
    <xf numFmtId="0" fontId="16" fillId="4" borderId="6" xfId="0" applyFont="1" applyFill="1" applyBorder="1" applyAlignment="1">
      <alignment horizontal="center" vertical="center" wrapText="1"/>
    </xf>
    <xf numFmtId="0" fontId="16" fillId="3" borderId="6" xfId="0" applyFont="1" applyFill="1" applyBorder="1" applyAlignment="1">
      <alignment horizontal="center" vertical="center" wrapText="1"/>
    </xf>
    <xf numFmtId="0" fontId="8" fillId="2" borderId="0" xfId="0" applyFont="1" applyFill="1"/>
    <xf numFmtId="0" fontId="16" fillId="2" borderId="0" xfId="0" applyFont="1" applyFill="1" applyAlignment="1">
      <alignment horizontal="center" vertical="center" wrapText="1"/>
    </xf>
    <xf numFmtId="0" fontId="17" fillId="2" borderId="0" xfId="0" applyFont="1" applyFill="1"/>
    <xf numFmtId="0" fontId="0" fillId="2" borderId="1" xfId="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left" vertical="center"/>
    </xf>
    <xf numFmtId="0" fontId="0" fillId="2" borderId="1" xfId="0" applyFont="1" applyFill="1" applyBorder="1" applyAlignment="1">
      <alignment horizontal="center"/>
    </xf>
    <xf numFmtId="0" fontId="18" fillId="2" borderId="1" xfId="0" applyFont="1" applyFill="1" applyBorder="1" applyAlignment="1">
      <alignment horizontal="center" vertical="center"/>
    </xf>
    <xf numFmtId="0" fontId="0" fillId="3" borderId="1" xfId="0" applyFont="1" applyFill="1" applyBorder="1" applyAlignment="1">
      <alignment horizontal="center"/>
    </xf>
    <xf numFmtId="0" fontId="17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0" fontId="22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0" fillId="0" borderId="0" xfId="0" applyFont="1"/>
    <xf numFmtId="0" fontId="24" fillId="3" borderId="10" xfId="0" applyFont="1" applyFill="1" applyBorder="1" applyAlignment="1">
      <alignment horizontal="center" vertical="center"/>
    </xf>
    <xf numFmtId="14" fontId="8" fillId="0" borderId="11" xfId="0" applyNumberFormat="1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164" fontId="25" fillId="0" borderId="14" xfId="0" applyNumberFormat="1" applyFont="1" applyBorder="1" applyAlignment="1">
      <alignment horizontal="center" vertical="center"/>
    </xf>
    <xf numFmtId="164" fontId="26" fillId="5" borderId="15" xfId="0" applyNumberFormat="1" applyFont="1" applyFill="1" applyBorder="1" applyAlignment="1">
      <alignment horizontal="center"/>
    </xf>
    <xf numFmtId="0" fontId="27" fillId="0" borderId="0" xfId="0" applyFont="1" applyAlignment="1"/>
    <xf numFmtId="0" fontId="8" fillId="0" borderId="16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164" fontId="26" fillId="5" borderId="18" xfId="0" applyNumberFormat="1" applyFont="1" applyFill="1" applyBorder="1" applyAlignment="1">
      <alignment horizontal="center"/>
    </xf>
    <xf numFmtId="0" fontId="17" fillId="0" borderId="19" xfId="0" applyFont="1" applyBorder="1"/>
    <xf numFmtId="14" fontId="8" fillId="0" borderId="16" xfId="0" applyNumberFormat="1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8" fillId="0" borderId="16" xfId="0" applyFont="1" applyBorder="1"/>
    <xf numFmtId="0" fontId="8" fillId="0" borderId="17" xfId="0" applyFont="1" applyBorder="1"/>
    <xf numFmtId="0" fontId="8" fillId="0" borderId="18" xfId="0" applyFont="1" applyBorder="1"/>
    <xf numFmtId="0" fontId="8" fillId="0" borderId="20" xfId="0" applyFont="1" applyBorder="1"/>
    <xf numFmtId="0" fontId="8" fillId="0" borderId="21" xfId="0" applyFont="1" applyBorder="1"/>
    <xf numFmtId="0" fontId="8" fillId="0" borderId="22" xfId="0" applyFont="1" applyBorder="1"/>
    <xf numFmtId="164" fontId="26" fillId="5" borderId="23" xfId="0" applyNumberFormat="1" applyFont="1" applyFill="1" applyBorder="1" applyAlignment="1">
      <alignment horizontal="center"/>
    </xf>
    <xf numFmtId="0" fontId="17" fillId="0" borderId="24" xfId="0" applyFont="1" applyBorder="1"/>
    <xf numFmtId="0" fontId="28" fillId="0" borderId="0" xfId="0" applyFont="1" applyAlignment="1">
      <alignment horizontal="center"/>
    </xf>
    <xf numFmtId="0" fontId="29" fillId="2" borderId="1" xfId="0" applyFont="1" applyFill="1" applyBorder="1" applyAlignment="1">
      <alignment horizontal="center" vertical="center"/>
    </xf>
    <xf numFmtId="0" fontId="30" fillId="0" borderId="0" xfId="0" applyFont="1" applyAlignment="1">
      <alignment horizontal="center"/>
    </xf>
    <xf numFmtId="0" fontId="31" fillId="0" borderId="0" xfId="0" applyFont="1" applyAlignment="1">
      <alignment horizontal="center"/>
    </xf>
    <xf numFmtId="0" fontId="16" fillId="3" borderId="10" xfId="0" applyFont="1" applyFill="1" applyBorder="1" applyAlignment="1">
      <alignment horizontal="center" vertical="center"/>
    </xf>
    <xf numFmtId="0" fontId="32" fillId="0" borderId="12" xfId="0" applyFont="1" applyBorder="1" applyAlignment="1">
      <alignment horizontal="center" vertical="center"/>
    </xf>
    <xf numFmtId="164" fontId="25" fillId="0" borderId="25" xfId="0" applyNumberFormat="1" applyFont="1" applyBorder="1" applyAlignment="1">
      <alignment horizontal="center" vertical="center"/>
    </xf>
    <xf numFmtId="0" fontId="33" fillId="0" borderId="17" xfId="0" applyFont="1" applyBorder="1" applyAlignment="1">
      <alignment horizontal="center" vertical="center"/>
    </xf>
    <xf numFmtId="164" fontId="25" fillId="0" borderId="18" xfId="0" applyNumberFormat="1" applyFont="1" applyBorder="1" applyAlignment="1">
      <alignment horizontal="center" vertical="center"/>
    </xf>
    <xf numFmtId="164" fontId="25" fillId="0" borderId="23" xfId="0" applyNumberFormat="1" applyFont="1" applyBorder="1" applyAlignment="1">
      <alignment horizontal="center" vertical="center"/>
    </xf>
    <xf numFmtId="0" fontId="16" fillId="3" borderId="26" xfId="0" applyFont="1" applyFill="1" applyBorder="1" applyAlignment="1">
      <alignment horizontal="center" vertical="center"/>
    </xf>
    <xf numFmtId="0" fontId="24" fillId="3" borderId="10" xfId="0" applyFont="1" applyFill="1" applyBorder="1" applyAlignment="1">
      <alignment horizontal="center" vertical="center" wrapText="1"/>
    </xf>
    <xf numFmtId="0" fontId="16" fillId="3" borderId="10" xfId="0" applyFont="1" applyFill="1" applyBorder="1" applyAlignment="1">
      <alignment horizontal="center" vertical="center" wrapText="1"/>
    </xf>
    <xf numFmtId="0" fontId="8" fillId="0" borderId="27" xfId="0" applyFont="1" applyBorder="1" applyAlignment="1">
      <alignment horizontal="center" vertical="center"/>
    </xf>
    <xf numFmtId="164" fontId="8" fillId="0" borderId="28" xfId="0" applyNumberFormat="1" applyFont="1" applyBorder="1" applyAlignment="1">
      <alignment horizontal="center" vertical="center"/>
    </xf>
    <xf numFmtId="164" fontId="8" fillId="0" borderId="29" xfId="0" applyNumberFormat="1" applyFont="1" applyBorder="1" applyAlignment="1">
      <alignment horizontal="center" vertical="center"/>
    </xf>
    <xf numFmtId="164" fontId="25" fillId="0" borderId="30" xfId="0" applyNumberFormat="1" applyFont="1" applyBorder="1" applyAlignment="1">
      <alignment horizontal="center" vertical="center"/>
    </xf>
    <xf numFmtId="164" fontId="25" fillId="0" borderId="32" xfId="0" applyNumberFormat="1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164" fontId="8" fillId="0" borderId="29" xfId="0" applyNumberFormat="1" applyFont="1" applyBorder="1" applyAlignment="1">
      <alignment horizontal="center" vertical="center"/>
    </xf>
    <xf numFmtId="164" fontId="8" fillId="0" borderId="28" xfId="0" applyNumberFormat="1" applyFont="1" applyBorder="1" applyAlignment="1">
      <alignment horizontal="center" vertical="center"/>
    </xf>
    <xf numFmtId="0" fontId="8" fillId="0" borderId="31" xfId="0" applyFont="1" applyBorder="1"/>
    <xf numFmtId="0" fontId="8" fillId="0" borderId="6" xfId="0" applyFont="1" applyBorder="1"/>
    <xf numFmtId="0" fontId="8" fillId="0" borderId="33" xfId="0" applyFont="1" applyBorder="1"/>
    <xf numFmtId="0" fontId="8" fillId="0" borderId="34" xfId="0" applyFont="1" applyBorder="1"/>
    <xf numFmtId="164" fontId="8" fillId="0" borderId="36" xfId="0" applyNumberFormat="1" applyFont="1" applyBorder="1" applyAlignment="1">
      <alignment horizontal="center" vertical="center"/>
    </xf>
    <xf numFmtId="164" fontId="8" fillId="0" borderId="37" xfId="0" applyNumberFormat="1" applyFont="1" applyBorder="1" applyAlignment="1">
      <alignment horizontal="center" vertical="center"/>
    </xf>
    <xf numFmtId="164" fontId="25" fillId="0" borderId="38" xfId="0" applyNumberFormat="1" applyFont="1" applyBorder="1" applyAlignment="1">
      <alignment horizontal="center" vertical="center"/>
    </xf>
    <xf numFmtId="165" fontId="0" fillId="2" borderId="1" xfId="0" applyNumberFormat="1" applyFont="1" applyFill="1" applyBorder="1"/>
    <xf numFmtId="165" fontId="0" fillId="3" borderId="1" xfId="0" applyNumberFormat="1" applyFont="1" applyFill="1" applyBorder="1"/>
    <xf numFmtId="165" fontId="17" fillId="0" borderId="0" xfId="0" applyNumberFormat="1" applyFont="1"/>
    <xf numFmtId="0" fontId="34" fillId="0" borderId="0" xfId="0" applyFont="1" applyAlignment="1">
      <alignment horizontal="center"/>
    </xf>
    <xf numFmtId="14" fontId="17" fillId="0" borderId="0" xfId="0" applyNumberFormat="1" applyFont="1"/>
    <xf numFmtId="165" fontId="36" fillId="0" borderId="0" xfId="0" applyNumberFormat="1" applyFont="1"/>
    <xf numFmtId="0" fontId="37" fillId="2" borderId="1" xfId="0" applyFont="1" applyFill="1" applyBorder="1" applyAlignment="1">
      <alignment horizontal="center" vertical="center"/>
    </xf>
    <xf numFmtId="0" fontId="10" fillId="2" borderId="10" xfId="0" applyFont="1" applyFill="1" applyBorder="1" applyAlignment="1">
      <alignment horizontal="center" vertical="center" wrapText="1"/>
    </xf>
    <xf numFmtId="14" fontId="38" fillId="0" borderId="39" xfId="0" applyNumberFormat="1" applyFont="1" applyBorder="1" applyAlignment="1">
      <alignment horizontal="center" vertical="center"/>
    </xf>
    <xf numFmtId="0" fontId="38" fillId="0" borderId="28" xfId="0" applyFont="1" applyBorder="1" applyAlignment="1">
      <alignment horizontal="center" vertical="center"/>
    </xf>
    <xf numFmtId="164" fontId="38" fillId="0" borderId="28" xfId="0" applyNumberFormat="1" applyFont="1" applyBorder="1" applyAlignment="1">
      <alignment horizontal="center" vertical="center"/>
    </xf>
    <xf numFmtId="164" fontId="38" fillId="0" borderId="30" xfId="0" applyNumberFormat="1" applyFont="1" applyBorder="1" applyAlignment="1">
      <alignment horizontal="center" vertical="center"/>
    </xf>
    <xf numFmtId="0" fontId="0" fillId="3" borderId="5" xfId="0" applyFont="1" applyFill="1" applyBorder="1"/>
    <xf numFmtId="0" fontId="0" fillId="2" borderId="5" xfId="0" applyFont="1" applyFill="1" applyBorder="1"/>
    <xf numFmtId="0" fontId="8" fillId="0" borderId="16" xfId="0" applyFont="1" applyBorder="1" applyAlignment="1">
      <alignment horizontal="center"/>
    </xf>
    <xf numFmtId="0" fontId="8" fillId="0" borderId="17" xfId="0" applyFont="1" applyBorder="1" applyAlignment="1">
      <alignment horizontal="center"/>
    </xf>
    <xf numFmtId="0" fontId="8" fillId="0" borderId="18" xfId="0" applyFont="1" applyBorder="1" applyAlignment="1">
      <alignment horizontal="center"/>
    </xf>
    <xf numFmtId="0" fontId="0" fillId="0" borderId="0" xfId="0" applyFont="1" applyAlignment="1"/>
    <xf numFmtId="14" fontId="8" fillId="0" borderId="31" xfId="0" applyNumberFormat="1" applyFont="1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7" fillId="2" borderId="2" xfId="0" applyFont="1" applyFill="1" applyBorder="1" applyAlignment="1"/>
    <xf numFmtId="0" fontId="6" fillId="0" borderId="3" xfId="0" applyFont="1" applyBorder="1" applyAlignment="1"/>
    <xf numFmtId="0" fontId="6" fillId="0" borderId="4" xfId="0" applyFont="1" applyBorder="1" applyAlignment="1"/>
    <xf numFmtId="0" fontId="10" fillId="0" borderId="16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0" fillId="0" borderId="0" xfId="0" applyAlignment="1"/>
    <xf numFmtId="0" fontId="10" fillId="2" borderId="17" xfId="0" applyFont="1" applyFill="1" applyBorder="1" applyAlignment="1"/>
    <xf numFmtId="0" fontId="8" fillId="6" borderId="6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8" fillId="6" borderId="16" xfId="0" applyFont="1" applyFill="1" applyBorder="1" applyAlignment="1">
      <alignment horizontal="center"/>
    </xf>
    <xf numFmtId="0" fontId="0" fillId="0" borderId="0" xfId="0" applyFont="1" applyAlignment="1"/>
    <xf numFmtId="0" fontId="0" fillId="0" borderId="0" xfId="0" applyFont="1" applyAlignment="1"/>
    <xf numFmtId="14" fontId="10" fillId="0" borderId="11" xfId="0" applyNumberFormat="1" applyFont="1" applyBorder="1" applyAlignment="1">
      <alignment horizontal="center" vertical="center"/>
    </xf>
    <xf numFmtId="0" fontId="8" fillId="0" borderId="40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10" fillId="0" borderId="5" xfId="0" applyFont="1" applyBorder="1" applyAlignment="1">
      <alignment horizontal="center"/>
    </xf>
    <xf numFmtId="0" fontId="0" fillId="0" borderId="0" xfId="0" applyFont="1" applyAlignment="1"/>
    <xf numFmtId="14" fontId="16" fillId="0" borderId="39" xfId="0" applyNumberFormat="1" applyFont="1" applyBorder="1" applyAlignment="1">
      <alignment horizontal="center" vertical="center"/>
    </xf>
    <xf numFmtId="0" fontId="46" fillId="0" borderId="0" xfId="0" applyFont="1" applyAlignment="1"/>
    <xf numFmtId="0" fontId="16" fillId="0" borderId="28" xfId="0" applyFont="1" applyBorder="1" applyAlignment="1">
      <alignment horizontal="center" vertical="center"/>
    </xf>
    <xf numFmtId="164" fontId="16" fillId="0" borderId="28" xfId="0" applyNumberFormat="1" applyFont="1" applyBorder="1" applyAlignment="1">
      <alignment horizontal="center" vertical="center"/>
    </xf>
    <xf numFmtId="164" fontId="16" fillId="0" borderId="30" xfId="0" applyNumberFormat="1" applyFont="1" applyBorder="1" applyAlignment="1">
      <alignment horizontal="center" vertical="center"/>
    </xf>
    <xf numFmtId="0" fontId="0" fillId="0" borderId="0" xfId="0" applyFont="1" applyAlignment="1"/>
    <xf numFmtId="0" fontId="8" fillId="0" borderId="5" xfId="0" applyFont="1" applyBorder="1" applyAlignment="1">
      <alignment horizontal="center"/>
    </xf>
    <xf numFmtId="0" fontId="0" fillId="0" borderId="0" xfId="0" applyFont="1" applyAlignment="1"/>
    <xf numFmtId="0" fontId="8" fillId="0" borderId="35" xfId="0" applyFont="1" applyBorder="1" applyAlignment="1">
      <alignment horizontal="center"/>
    </xf>
    <xf numFmtId="0" fontId="0" fillId="0" borderId="0" xfId="0" applyFont="1" applyAlignment="1"/>
    <xf numFmtId="0" fontId="0" fillId="0" borderId="0" xfId="0" applyFont="1" applyAlignment="1"/>
    <xf numFmtId="0" fontId="3" fillId="0" borderId="0" xfId="0" applyFont="1" applyAlignment="1"/>
    <xf numFmtId="0" fontId="10" fillId="0" borderId="17" xfId="0" applyFont="1" applyBorder="1" applyAlignment="1">
      <alignment horizontal="center"/>
    </xf>
    <xf numFmtId="0" fontId="10" fillId="0" borderId="18" xfId="0" applyFont="1" applyBorder="1" applyAlignment="1">
      <alignment horizontal="center"/>
    </xf>
    <xf numFmtId="164" fontId="39" fillId="0" borderId="14" xfId="0" applyNumberFormat="1" applyFont="1" applyBorder="1" applyAlignment="1">
      <alignment horizontal="center" vertical="center"/>
    </xf>
    <xf numFmtId="164" fontId="47" fillId="5" borderId="18" xfId="0" applyNumberFormat="1" applyFont="1" applyFill="1" applyBorder="1" applyAlignment="1">
      <alignment horizontal="center"/>
    </xf>
    <xf numFmtId="0" fontId="46" fillId="0" borderId="19" xfId="0" applyFont="1" applyBorder="1"/>
    <xf numFmtId="0" fontId="3" fillId="0" borderId="19" xfId="0" applyFont="1" applyBorder="1"/>
    <xf numFmtId="0" fontId="8" fillId="0" borderId="6" xfId="0" applyFont="1" applyBorder="1" applyAlignment="1"/>
    <xf numFmtId="0" fontId="8" fillId="0" borderId="31" xfId="0" applyFont="1" applyBorder="1" applyAlignment="1"/>
    <xf numFmtId="0" fontId="8" fillId="0" borderId="31" xfId="0" applyFont="1" applyBorder="1" applyAlignment="1">
      <alignment horizontal="center"/>
    </xf>
    <xf numFmtId="0" fontId="10" fillId="0" borderId="18" xfId="0" applyFont="1" applyBorder="1"/>
    <xf numFmtId="0" fontId="0" fillId="0" borderId="0" xfId="0" applyFont="1" applyAlignment="1"/>
    <xf numFmtId="0" fontId="0" fillId="0" borderId="0" xfId="0" applyFont="1" applyAlignment="1"/>
    <xf numFmtId="0" fontId="0" fillId="0" borderId="0" xfId="0" applyFont="1" applyAlignment="1"/>
    <xf numFmtId="0" fontId="0" fillId="0" borderId="0" xfId="0" applyFont="1" applyAlignment="1"/>
    <xf numFmtId="0" fontId="2" fillId="0" borderId="0" xfId="0" applyFont="1" applyAlignment="1"/>
    <xf numFmtId="0" fontId="2" fillId="0" borderId="19" xfId="0" applyFont="1" applyBorder="1"/>
    <xf numFmtId="0" fontId="0" fillId="0" borderId="0" xfId="0" applyFont="1" applyAlignment="1"/>
    <xf numFmtId="0" fontId="0" fillId="0" borderId="0" xfId="0" applyFont="1" applyAlignment="1"/>
    <xf numFmtId="0" fontId="0" fillId="0" borderId="0" xfId="0" applyFont="1" applyAlignment="1"/>
    <xf numFmtId="0" fontId="1" fillId="0" borderId="0" xfId="0" applyFont="1" applyAlignment="1"/>
    <xf numFmtId="0" fontId="10" fillId="0" borderId="6" xfId="0" applyFont="1" applyBorder="1" applyAlignment="1">
      <alignment horizontal="center" vertical="center"/>
    </xf>
    <xf numFmtId="0" fontId="8" fillId="0" borderId="41" xfId="0" applyFont="1" applyFill="1" applyBorder="1" applyAlignment="1">
      <alignment horizontal="center"/>
    </xf>
    <xf numFmtId="0" fontId="0" fillId="0" borderId="0" xfId="0" applyFont="1" applyAlignment="1"/>
    <xf numFmtId="0" fontId="0" fillId="6" borderId="0" xfId="0" applyFont="1" applyFill="1" applyAlignment="1"/>
    <xf numFmtId="14" fontId="8" fillId="6" borderId="31" xfId="0" applyNumberFormat="1" applyFont="1" applyFill="1" applyBorder="1" applyAlignment="1">
      <alignment horizontal="center"/>
    </xf>
    <xf numFmtId="0" fontId="8" fillId="6" borderId="7" xfId="0" applyFont="1" applyFill="1" applyBorder="1" applyAlignment="1">
      <alignment horizontal="center" vertical="center"/>
    </xf>
    <xf numFmtId="164" fontId="8" fillId="6" borderId="28" xfId="0" applyNumberFormat="1" applyFont="1" applyFill="1" applyBorder="1" applyAlignment="1">
      <alignment horizontal="center" vertical="center"/>
    </xf>
    <xf numFmtId="164" fontId="8" fillId="6" borderId="29" xfId="0" applyNumberFormat="1" applyFont="1" applyFill="1" applyBorder="1" applyAlignment="1">
      <alignment horizontal="center" vertical="center"/>
    </xf>
    <xf numFmtId="164" fontId="25" fillId="6" borderId="32" xfId="0" applyNumberFormat="1" applyFont="1" applyFill="1" applyBorder="1" applyAlignment="1">
      <alignment horizontal="center" vertical="center"/>
    </xf>
    <xf numFmtId="0" fontId="0" fillId="0" borderId="0" xfId="0" applyFont="1" applyAlignment="1">
      <alignment horizontal="left"/>
    </xf>
    <xf numFmtId="0" fontId="10" fillId="0" borderId="6" xfId="0" applyFont="1" applyBorder="1" applyAlignment="1">
      <alignment horizontal="center"/>
    </xf>
    <xf numFmtId="0" fontId="10" fillId="0" borderId="7" xfId="0" applyFont="1" applyBorder="1" applyAlignment="1">
      <alignment horizontal="center"/>
    </xf>
    <xf numFmtId="0" fontId="8" fillId="0" borderId="34" xfId="0" applyFont="1" applyBorder="1" applyAlignment="1">
      <alignment horizontal="center"/>
    </xf>
    <xf numFmtId="0" fontId="0" fillId="0" borderId="5" xfId="0" applyFont="1" applyBorder="1" applyAlignment="1"/>
    <xf numFmtId="0" fontId="0" fillId="0" borderId="43" xfId="0" applyFont="1" applyBorder="1" applyAlignment="1"/>
    <xf numFmtId="0" fontId="0" fillId="0" borderId="44" xfId="0" applyFont="1" applyBorder="1" applyAlignment="1"/>
    <xf numFmtId="0" fontId="0" fillId="0" borderId="45" xfId="0" applyBorder="1" applyAlignment="1"/>
    <xf numFmtId="0" fontId="0" fillId="0" borderId="5" xfId="0" applyFont="1" applyBorder="1" applyAlignment="1">
      <alignment horizontal="center"/>
    </xf>
    <xf numFmtId="0" fontId="17" fillId="0" borderId="5" xfId="0" applyFont="1" applyBorder="1"/>
    <xf numFmtId="0" fontId="24" fillId="3" borderId="42" xfId="0" applyFont="1" applyFill="1" applyBorder="1" applyAlignment="1">
      <alignment horizontal="center" vertical="center" wrapText="1"/>
    </xf>
    <xf numFmtId="165" fontId="24" fillId="3" borderId="42" xfId="0" applyNumberFormat="1" applyFont="1" applyFill="1" applyBorder="1" applyAlignment="1">
      <alignment horizontal="center" vertical="center" wrapText="1"/>
    </xf>
    <xf numFmtId="14" fontId="8" fillId="7" borderId="42" xfId="0" applyNumberFormat="1" applyFont="1" applyFill="1" applyBorder="1" applyAlignment="1">
      <alignment horizontal="center"/>
    </xf>
    <xf numFmtId="0" fontId="8" fillId="6" borderId="42" xfId="0" applyFont="1" applyFill="1" applyBorder="1" applyAlignment="1">
      <alignment horizontal="center"/>
    </xf>
    <xf numFmtId="0" fontId="8" fillId="0" borderId="42" xfId="0" applyFont="1" applyBorder="1" applyAlignment="1">
      <alignment horizontal="center" vertical="center"/>
    </xf>
    <xf numFmtId="14" fontId="8" fillId="0" borderId="42" xfId="0" applyNumberFormat="1" applyFont="1" applyBorder="1" applyAlignment="1">
      <alignment horizontal="center" vertical="center"/>
    </xf>
    <xf numFmtId="165" fontId="35" fillId="0" borderId="42" xfId="0" applyNumberFormat="1" applyFont="1" applyBorder="1" applyAlignment="1">
      <alignment horizontal="center" vertical="center"/>
    </xf>
    <xf numFmtId="0" fontId="25" fillId="0" borderId="42" xfId="0" applyFont="1" applyBorder="1" applyAlignment="1">
      <alignment horizontal="center" vertical="center"/>
    </xf>
    <xf numFmtId="164" fontId="25" fillId="0" borderId="42" xfId="0" applyNumberFormat="1" applyFont="1" applyBorder="1" applyAlignment="1">
      <alignment horizontal="center" vertical="center"/>
    </xf>
    <xf numFmtId="14" fontId="8" fillId="6" borderId="42" xfId="0" applyNumberFormat="1" applyFont="1" applyFill="1" applyBorder="1" applyAlignment="1">
      <alignment horizontal="center" vertical="center"/>
    </xf>
    <xf numFmtId="0" fontId="8" fillId="6" borderId="42" xfId="0" applyFont="1" applyFill="1" applyBorder="1"/>
    <xf numFmtId="0" fontId="8" fillId="0" borderId="42" xfId="0" applyFont="1" applyBorder="1" applyAlignment="1">
      <alignment horizontal="center"/>
    </xf>
    <xf numFmtId="0" fontId="10" fillId="6" borderId="42" xfId="0" applyFont="1" applyFill="1" applyBorder="1" applyAlignment="1">
      <alignment horizontal="center"/>
    </xf>
    <xf numFmtId="0" fontId="8" fillId="6" borderId="42" xfId="0" applyFont="1" applyFill="1" applyBorder="1" applyAlignment="1">
      <alignment horizontal="center" vertical="center"/>
    </xf>
    <xf numFmtId="0" fontId="8" fillId="0" borderId="42" xfId="0" applyFont="1" applyBorder="1"/>
    <xf numFmtId="14" fontId="8" fillId="0" borderId="42" xfId="0" applyNumberFormat="1" applyFont="1" applyBorder="1"/>
    <xf numFmtId="0" fontId="44" fillId="6" borderId="42" xfId="0" applyFont="1" applyFill="1" applyBorder="1" applyAlignment="1">
      <alignment horizontal="center"/>
    </xf>
    <xf numFmtId="0" fontId="44" fillId="6" borderId="42" xfId="0" applyFont="1" applyFill="1" applyBorder="1"/>
    <xf numFmtId="0" fontId="45" fillId="6" borderId="42" xfId="0" applyFont="1" applyFill="1" applyBorder="1"/>
    <xf numFmtId="0" fontId="8" fillId="6" borderId="42" xfId="0" quotePrefix="1" applyFont="1" applyFill="1" applyBorder="1" applyAlignment="1">
      <alignment horizontal="center"/>
    </xf>
    <xf numFmtId="0" fontId="8" fillId="0" borderId="7" xfId="0" applyFont="1" applyBorder="1" applyAlignment="1">
      <alignment horizontal="center" vertical="center" wrapText="1"/>
    </xf>
    <xf numFmtId="0" fontId="6" fillId="0" borderId="8" xfId="0" applyFont="1" applyBorder="1"/>
    <xf numFmtId="0" fontId="6" fillId="0" borderId="9" xfId="0" applyFont="1" applyBorder="1"/>
    <xf numFmtId="0" fontId="8" fillId="2" borderId="0" xfId="0" applyFont="1" applyFill="1" applyAlignment="1">
      <alignment horizontal="center" vertical="center" wrapText="1"/>
    </xf>
    <xf numFmtId="0" fontId="0" fillId="0" borderId="0" xfId="0" applyFont="1" applyAlignment="1"/>
    <xf numFmtId="0" fontId="15" fillId="0" borderId="0" xfId="0" applyFont="1"/>
    <xf numFmtId="0" fontId="10" fillId="0" borderId="0" xfId="0" applyFont="1" applyAlignment="1">
      <alignment horizontal="right"/>
    </xf>
  </cellXfs>
  <cellStyles count="1">
    <cellStyle name="Normal" xfId="0" builtinId="0"/>
  </cellStyles>
  <dxfs count="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bottom" textRotation="0" wrapText="0" indent="0" relativeIndent="0" justifyLastLine="0" shrinkToFit="0" mergeCell="0" readingOrder="0"/>
    </dxf>
    <dxf>
      <font>
        <color theme="1"/>
      </font>
      <fill>
        <patternFill patternType="solid">
          <fgColor rgb="FFFFC000"/>
          <bgColor rgb="FFFFC000"/>
        </patternFill>
      </fill>
    </dxf>
    <dxf>
      <font>
        <color rgb="FF000000"/>
      </font>
      <fill>
        <patternFill patternType="solid">
          <fgColor rgb="FFEC3D1A"/>
          <bgColor rgb="FFEC3D1A"/>
        </patternFill>
      </fill>
    </dxf>
    <dxf>
      <font>
        <color rgb="FF000000"/>
      </font>
      <fill>
        <patternFill patternType="solid">
          <fgColor theme="9"/>
          <bgColor theme="9"/>
        </patternFill>
      </fill>
    </dxf>
    <dxf>
      <font>
        <b/>
        <color rgb="FF00B050"/>
      </font>
      <fill>
        <patternFill patternType="none"/>
      </fill>
    </dxf>
    <dxf>
      <font>
        <b/>
        <color rgb="FFFF0000"/>
      </font>
      <fill>
        <patternFill patternType="none"/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</dxfs>
  <tableStyles count="2">
    <tableStyle name="FORN-style" pivot="0" count="3">
      <tableStyleElement type="headerRow" dxfId="12"/>
      <tableStyleElement type="firstRowStripe" dxfId="11"/>
      <tableStyleElement type="secondRowStripe" dxfId="10"/>
    </tableStyle>
    <tableStyle name="CONT. ESTOQUE-style" pivot="0" count="3">
      <tableStyleElement type="headerRow" dxfId="9"/>
      <tableStyleElement type="firstRowStripe" dxfId="8"/>
      <tableStyleElement type="secondRowStripe" dxfId="7"/>
    </tableStyle>
  </tableStyle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104775</xdr:colOff>
      <xdr:row>1</xdr:row>
      <xdr:rowOff>104775</xdr:rowOff>
    </xdr:from>
    <xdr:to>
      <xdr:col>10</xdr:col>
      <xdr:colOff>238125</xdr:colOff>
      <xdr:row>7</xdr:row>
      <xdr:rowOff>133350</xdr:rowOff>
    </xdr:to>
    <xdr:pic>
      <xdr:nvPicPr>
        <xdr:cNvPr id="2" name="Imagem 1" descr="download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05475" y="295275"/>
          <a:ext cx="3905250" cy="11715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226741</xdr:colOff>
      <xdr:row>0</xdr:row>
      <xdr:rowOff>9525</xdr:rowOff>
    </xdr:from>
    <xdr:to>
      <xdr:col>4</xdr:col>
      <xdr:colOff>200025</xdr:colOff>
      <xdr:row>0</xdr:row>
      <xdr:rowOff>609601</xdr:rowOff>
    </xdr:to>
    <xdr:pic>
      <xdr:nvPicPr>
        <xdr:cNvPr id="2" name="Imagem 1" descr="download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827191" y="9525"/>
          <a:ext cx="1878284" cy="60007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2447926</xdr:colOff>
      <xdr:row>0</xdr:row>
      <xdr:rowOff>47626</xdr:rowOff>
    </xdr:from>
    <xdr:to>
      <xdr:col>2</xdr:col>
      <xdr:colOff>1419225</xdr:colOff>
      <xdr:row>0</xdr:row>
      <xdr:rowOff>581026</xdr:rowOff>
    </xdr:to>
    <xdr:pic>
      <xdr:nvPicPr>
        <xdr:cNvPr id="2" name="Imagem 1" descr="download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409951" y="47626"/>
          <a:ext cx="1857374" cy="5334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2105025</xdr:colOff>
      <xdr:row>0</xdr:row>
      <xdr:rowOff>9526</xdr:rowOff>
    </xdr:from>
    <xdr:to>
      <xdr:col>3</xdr:col>
      <xdr:colOff>1428750</xdr:colOff>
      <xdr:row>1</xdr:row>
      <xdr:rowOff>19051</xdr:rowOff>
    </xdr:to>
    <xdr:pic>
      <xdr:nvPicPr>
        <xdr:cNvPr id="3" name="Imagem 2" descr="download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267200" y="9526"/>
          <a:ext cx="2095500" cy="62865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1</xdr:rowOff>
    </xdr:from>
    <xdr:to>
      <xdr:col>4</xdr:col>
      <xdr:colOff>885825</xdr:colOff>
      <xdr:row>1</xdr:row>
      <xdr:rowOff>6669</xdr:rowOff>
    </xdr:to>
    <xdr:pic>
      <xdr:nvPicPr>
        <xdr:cNvPr id="2" name="Imagem 1" descr="download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600450" y="1"/>
          <a:ext cx="2085975" cy="625793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647700</xdr:colOff>
      <xdr:row>0</xdr:row>
      <xdr:rowOff>1</xdr:rowOff>
    </xdr:from>
    <xdr:to>
      <xdr:col>4</xdr:col>
      <xdr:colOff>47625</xdr:colOff>
      <xdr:row>0</xdr:row>
      <xdr:rowOff>617221</xdr:rowOff>
    </xdr:to>
    <xdr:pic>
      <xdr:nvPicPr>
        <xdr:cNvPr id="2" name="Imagem 1" descr="download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657600" y="1"/>
          <a:ext cx="2057400" cy="61722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id="2" name="Table_2" displayName="Table_2" ref="B6:J495">
  <tableColumns count="9">
    <tableColumn id="1" name="PRODUTOS"/>
    <tableColumn id="2" name="ENTRADAS"/>
    <tableColumn id="3" name="SAÍDAS">
      <calculatedColumnFormula>IF('CONT. ESTOQUE'!$B7&lt;&gt;"",SUMIF(SAÍDAS!$C$7:$C$800,'CONT. ESTOQUE'!$B7,SAÍDAS!$J$7:$J$800),"")</calculatedColumnFormula>
    </tableColumn>
    <tableColumn id="4" name="SALDO"/>
    <tableColumn id="5" name="ESTOQUE MÍNIMO "/>
    <tableColumn id="6" name="STATUS"/>
    <tableColumn id="7" name="RECEITA TOTAL "/>
    <tableColumn id="8" name="CUSTO TOTAL "/>
    <tableColumn id="9" name="LUCRO/PREJUÍZO TOTAL"/>
  </tableColumns>
  <tableStyleInfo name="CONT. ESTOQUE-style" showFirstColumn="1" showLastColumn="1" showRowStripes="1" showColumnStripes="0"/>
</table>
</file>

<file path=xl/tables/table2.xml><?xml version="1.0" encoding="utf-8"?>
<table xmlns="http://schemas.openxmlformats.org/spreadsheetml/2006/main" id="1" name="Tabela1" displayName="Tabela1" ref="B2:I15" totalsRowShown="0" headerRowDxfId="0">
  <autoFilter ref="B2:I15"/>
  <tableColumns count="8">
    <tableColumn id="1" name="Colunas1"/>
    <tableColumn id="2" name="Colunas2"/>
    <tableColumn id="3" name="Colunas3"/>
    <tableColumn id="4" name="Colunas4"/>
    <tableColumn id="5" name="Colunas5"/>
    <tableColumn id="6" name="Colunas6"/>
    <tableColumn id="7" name="Colunas7"/>
    <tableColumn id="8" name="Colunas8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blog.egestor.com.br/controle-de-estoque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Z1000"/>
  <sheetViews>
    <sheetView showGridLines="0" workbookViewId="0">
      <selection activeCell="C23" sqref="C23"/>
    </sheetView>
  </sheetViews>
  <sheetFormatPr defaultColWidth="14.42578125" defaultRowHeight="15" customHeight="1"/>
  <cols>
    <col min="1" max="8" width="9.140625" customWidth="1"/>
    <col min="9" max="9" width="8.28515625" customWidth="1"/>
    <col min="10" max="10" width="2.5703125" customWidth="1"/>
    <col min="11" max="11" width="12.140625" customWidth="1"/>
    <col min="12" max="12" width="11" customWidth="1"/>
    <col min="13" max="13" width="8.42578125" customWidth="1"/>
    <col min="14" max="14" width="22.85546875" customWidth="1"/>
    <col min="15" max="15" width="12.7109375" customWidth="1"/>
    <col min="16" max="16" width="12.85546875" customWidth="1"/>
    <col min="17" max="17" width="74" customWidth="1"/>
    <col min="18" max="26" width="8.7109375" customWidth="1"/>
  </cols>
  <sheetData>
    <row r="1" spans="1:26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2"/>
      <c r="S1" s="2"/>
      <c r="T1" s="2"/>
      <c r="U1" s="2"/>
      <c r="V1" s="2"/>
      <c r="W1" s="2"/>
      <c r="X1" s="2"/>
      <c r="Y1" s="2"/>
      <c r="Z1" s="2"/>
    </row>
    <row r="2" spans="1:26" ht="15" customHeight="1">
      <c r="A2" s="1"/>
      <c r="B2" s="1"/>
      <c r="C2" s="1"/>
      <c r="D2" s="1"/>
      <c r="E2" s="1"/>
      <c r="F2" s="1"/>
      <c r="G2" s="1"/>
      <c r="H2" s="1"/>
      <c r="I2" s="1"/>
      <c r="Q2" s="1"/>
      <c r="R2" s="2"/>
      <c r="S2" s="2"/>
      <c r="T2" s="2"/>
      <c r="U2" s="2"/>
      <c r="V2" s="2"/>
      <c r="W2" s="2"/>
      <c r="X2" s="2"/>
      <c r="Y2" s="2"/>
      <c r="Z2" s="2"/>
    </row>
    <row r="3" spans="1:26" ht="15" customHeight="1">
      <c r="A3" s="1"/>
      <c r="B3" s="1"/>
      <c r="C3" s="1"/>
      <c r="D3" s="1"/>
      <c r="E3" s="1"/>
      <c r="F3" s="1"/>
      <c r="G3" s="1"/>
      <c r="H3" s="1"/>
      <c r="I3" s="1"/>
      <c r="Q3" s="1"/>
      <c r="R3" s="2"/>
      <c r="S3" s="2"/>
      <c r="T3" s="2"/>
      <c r="U3" s="2"/>
      <c r="V3" s="2"/>
      <c r="W3" s="2"/>
      <c r="X3" s="2"/>
      <c r="Y3" s="2"/>
      <c r="Z3" s="2"/>
    </row>
    <row r="4" spans="1:26" ht="15" customHeight="1">
      <c r="A4" s="1"/>
      <c r="B4" s="1"/>
      <c r="C4" s="1"/>
      <c r="D4" s="2"/>
      <c r="E4" s="2"/>
      <c r="F4" s="2"/>
      <c r="G4" s="2"/>
      <c r="H4" s="2"/>
      <c r="I4" s="2"/>
      <c r="Q4" s="1"/>
      <c r="R4" s="2"/>
      <c r="S4" s="2"/>
      <c r="T4" s="2"/>
      <c r="U4" s="2"/>
      <c r="V4" s="2"/>
      <c r="W4" s="2"/>
      <c r="X4" s="2"/>
      <c r="Y4" s="2"/>
      <c r="Z4" s="2"/>
    </row>
    <row r="5" spans="1:26" ht="15" customHeight="1">
      <c r="A5" s="1"/>
      <c r="B5" s="1"/>
      <c r="C5" s="1"/>
      <c r="D5" s="2"/>
      <c r="E5" s="2"/>
      <c r="F5" s="2"/>
      <c r="G5" s="2"/>
      <c r="H5" s="2"/>
      <c r="I5" s="2"/>
      <c r="Q5" s="1"/>
      <c r="R5" s="2"/>
      <c r="S5" s="2"/>
      <c r="T5" s="2"/>
      <c r="U5" s="2"/>
      <c r="V5" s="2"/>
      <c r="W5" s="2"/>
      <c r="X5" s="2"/>
      <c r="Y5" s="2"/>
      <c r="Z5" s="2"/>
    </row>
    <row r="6" spans="1:26" ht="15" customHeight="1">
      <c r="A6" s="1"/>
      <c r="B6" s="1"/>
      <c r="C6" s="1"/>
      <c r="D6" s="2"/>
      <c r="E6" s="2"/>
      <c r="F6" s="2"/>
      <c r="G6" s="2"/>
      <c r="H6" s="2"/>
      <c r="I6" s="2"/>
      <c r="Q6" s="1"/>
      <c r="R6" s="2"/>
      <c r="S6" s="2"/>
      <c r="T6" s="2"/>
      <c r="U6" s="2"/>
      <c r="V6" s="2"/>
      <c r="W6" s="2"/>
      <c r="X6" s="2"/>
      <c r="Y6" s="2"/>
      <c r="Z6" s="2"/>
    </row>
    <row r="7" spans="1:26" ht="15" customHeight="1">
      <c r="A7" s="1"/>
      <c r="B7" s="1"/>
      <c r="C7" s="1"/>
      <c r="D7" s="2"/>
      <c r="E7" s="2"/>
      <c r="F7" s="2"/>
      <c r="G7" s="2"/>
      <c r="H7" s="2"/>
      <c r="I7" s="2"/>
      <c r="Q7" s="1"/>
      <c r="R7" s="2"/>
      <c r="S7" s="2"/>
      <c r="T7" s="2"/>
      <c r="U7" s="2"/>
      <c r="V7" s="2"/>
      <c r="W7" s="2"/>
      <c r="X7" s="2"/>
      <c r="Y7" s="2"/>
      <c r="Z7" s="2"/>
    </row>
    <row r="8" spans="1:26" ht="15" customHeight="1">
      <c r="A8" s="1"/>
      <c r="B8" s="1"/>
      <c r="C8" s="1"/>
      <c r="D8" s="2"/>
      <c r="E8" s="100"/>
      <c r="F8" s="2"/>
      <c r="G8" s="2"/>
      <c r="H8" s="2"/>
      <c r="I8" s="2"/>
      <c r="Q8" s="1"/>
      <c r="R8" s="2"/>
      <c r="S8" s="2"/>
      <c r="T8" s="2"/>
      <c r="U8" s="2"/>
      <c r="V8" s="2"/>
      <c r="W8" s="2"/>
      <c r="X8" s="2"/>
      <c r="Y8" s="2"/>
      <c r="Z8" s="2"/>
    </row>
    <row r="9" spans="1:26" ht="15" customHeight="1">
      <c r="A9" s="1"/>
      <c r="B9" s="1"/>
      <c r="C9" s="1"/>
      <c r="D9" s="100"/>
      <c r="E9" s="2"/>
      <c r="F9" s="2"/>
      <c r="G9" s="2"/>
      <c r="H9" s="2"/>
      <c r="I9" s="2"/>
      <c r="Q9" s="1"/>
      <c r="R9" s="2"/>
      <c r="S9" s="2"/>
      <c r="T9" s="2"/>
      <c r="U9" s="2"/>
      <c r="V9" s="2"/>
      <c r="W9" s="2"/>
      <c r="X9" s="2"/>
      <c r="Y9" s="2"/>
      <c r="Z9" s="2"/>
    </row>
    <row r="10" spans="1:26" ht="30" customHeight="1">
      <c r="A10" s="1"/>
      <c r="B10" s="103" t="s">
        <v>0</v>
      </c>
      <c r="C10" s="104"/>
      <c r="D10" s="104"/>
      <c r="E10" s="104"/>
      <c r="F10" s="104"/>
      <c r="G10" s="104"/>
      <c r="H10" s="104"/>
      <c r="I10" s="105"/>
      <c r="Q10" s="1"/>
      <c r="R10" s="2"/>
      <c r="S10" s="2"/>
      <c r="T10" s="2"/>
      <c r="U10" s="2"/>
      <c r="V10" s="2"/>
      <c r="W10" s="2"/>
      <c r="X10" s="2"/>
      <c r="Y10" s="2"/>
      <c r="Z10" s="2"/>
    </row>
    <row r="11" spans="1:26" ht="15" customHeight="1">
      <c r="A11" s="1"/>
      <c r="B11" s="1"/>
      <c r="C11" s="1"/>
      <c r="D11" s="2"/>
      <c r="E11" s="2"/>
      <c r="F11" s="2"/>
      <c r="G11" s="2"/>
      <c r="H11" s="2"/>
      <c r="I11" s="2"/>
      <c r="Q11" s="1"/>
      <c r="R11" s="2"/>
      <c r="S11" s="2"/>
      <c r="T11" s="2"/>
      <c r="U11" s="2"/>
      <c r="V11" s="2"/>
      <c r="W11" s="2"/>
      <c r="X11" s="2"/>
      <c r="Y11" s="2"/>
      <c r="Z11" s="2"/>
    </row>
    <row r="12" spans="1:26" ht="15" customHeight="1">
      <c r="A12" s="1"/>
      <c r="B12" s="1"/>
      <c r="C12" s="2"/>
      <c r="D12" s="2"/>
      <c r="E12" s="2"/>
      <c r="F12" s="2"/>
      <c r="G12" s="2"/>
      <c r="H12" s="2"/>
      <c r="I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" customHeight="1">
      <c r="A13" s="1"/>
      <c r="B13" s="1"/>
      <c r="C13" s="3"/>
      <c r="D13" s="4"/>
      <c r="E13" s="4"/>
      <c r="F13" s="4"/>
      <c r="G13" s="4"/>
      <c r="H13" s="4"/>
      <c r="I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6.5" customHeight="1">
      <c r="A14" s="1"/>
      <c r="B14" s="1"/>
      <c r="C14" s="5"/>
      <c r="D14" s="6" t="s">
        <v>1</v>
      </c>
      <c r="E14" s="6" t="s">
        <v>2</v>
      </c>
      <c r="F14" s="6" t="s">
        <v>3</v>
      </c>
      <c r="G14" s="7" t="s">
        <v>4</v>
      </c>
      <c r="H14" s="6" t="s">
        <v>5</v>
      </c>
      <c r="I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" customHeight="1">
      <c r="A15" s="1"/>
      <c r="B15" s="1"/>
      <c r="C15" s="2"/>
      <c r="D15" s="2"/>
      <c r="E15" s="2"/>
      <c r="F15" s="2"/>
      <c r="G15" s="2"/>
      <c r="H15" s="2"/>
      <c r="I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" customHeight="1">
      <c r="A16" s="1"/>
      <c r="B16" s="1"/>
      <c r="C16" s="1"/>
      <c r="D16" s="2"/>
      <c r="E16" s="2"/>
      <c r="F16" s="2"/>
      <c r="G16" s="2"/>
      <c r="H16" s="2"/>
      <c r="I16" s="2"/>
      <c r="Q16" s="1"/>
      <c r="R16" s="2"/>
      <c r="S16" s="2"/>
      <c r="T16" s="2"/>
      <c r="U16" s="2"/>
      <c r="V16" s="2"/>
      <c r="W16" s="2"/>
      <c r="X16" s="2"/>
      <c r="Y16" s="2"/>
      <c r="Z16" s="2"/>
    </row>
    <row r="17" spans="1:26" ht="15" customHeight="1">
      <c r="A17" s="1"/>
      <c r="B17" s="1"/>
      <c r="C17" s="1"/>
      <c r="D17" s="2"/>
      <c r="E17" s="2"/>
      <c r="F17" s="2"/>
      <c r="G17" s="2"/>
      <c r="H17" s="2"/>
      <c r="I17" s="2"/>
      <c r="Q17" s="1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>
      <c r="A21" s="1"/>
      <c r="B21" s="1"/>
      <c r="C21" s="1"/>
      <c r="D21" s="1"/>
      <c r="E21" s="1"/>
      <c r="F21" s="1"/>
      <c r="G21" s="1"/>
      <c r="H21" s="1"/>
      <c r="I21" s="1"/>
      <c r="J21" s="8"/>
      <c r="K21" s="1"/>
      <c r="L21" s="1"/>
      <c r="M21" s="1"/>
      <c r="N21" s="1"/>
      <c r="O21" s="1"/>
      <c r="P21" s="1"/>
      <c r="Q21" s="1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2"/>
      <c r="S22" s="2"/>
      <c r="T22" s="2"/>
      <c r="U22" s="2"/>
      <c r="V22" s="2"/>
      <c r="W22" s="2"/>
      <c r="X22" s="2"/>
      <c r="Y22" s="2"/>
      <c r="Z22" s="2"/>
    </row>
    <row r="23" spans="1:26" ht="112.5" customHeight="1">
      <c r="A23" s="1"/>
      <c r="B23" s="1"/>
      <c r="C23" s="1"/>
      <c r="D23" s="1"/>
      <c r="E23" s="1"/>
      <c r="F23" s="1"/>
      <c r="G23" s="1"/>
      <c r="H23" s="9"/>
      <c r="I23" s="1"/>
      <c r="J23" s="1"/>
      <c r="K23" s="1"/>
      <c r="L23" s="1"/>
      <c r="M23" s="1"/>
      <c r="N23" s="1"/>
      <c r="O23" s="1"/>
      <c r="P23" s="1"/>
      <c r="Q23" s="1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hyperlinks>
    <hyperlink ref="H14" location="'Instruções'!A1" display="Instruções "/>
    <hyperlink ref="G14" location="'CONT. ESTOQUE'!A1" display="Controle de estoque "/>
    <hyperlink ref="F14" location="'SAÍDAS'!A1" display="Saídas "/>
    <hyperlink ref="E14" location="ENTRADAS!A1" display="Entradas "/>
    <hyperlink ref="D14" location="PROD!A1" display="Cadastros "/>
  </hyperlinks>
  <pageMargins left="0.511811024" right="0.511811024" top="0.78740157499999996" bottom="0.78740157499999996" header="0" footer="0"/>
  <pageSetup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Z999"/>
  <sheetViews>
    <sheetView showGridLines="0" topLeftCell="A4" workbookViewId="0">
      <selection activeCell="A10" sqref="A10"/>
    </sheetView>
  </sheetViews>
  <sheetFormatPr defaultColWidth="14.42578125" defaultRowHeight="15" customHeight="1"/>
  <cols>
    <col min="1" max="1" width="14.42578125" customWidth="1"/>
    <col min="2" max="2" width="19" customWidth="1"/>
    <col min="3" max="4" width="9.7109375" customWidth="1"/>
    <col min="5" max="5" width="13.85546875" customWidth="1"/>
    <col min="6" max="17" width="9.7109375" customWidth="1"/>
    <col min="18" max="18" width="12.5703125" customWidth="1"/>
    <col min="19" max="26" width="8.7109375" customWidth="1"/>
  </cols>
  <sheetData>
    <row r="1" spans="1:26" ht="48.75" customHeight="1">
      <c r="A1" s="10"/>
      <c r="B1" s="11" t="s">
        <v>6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12" t="s">
        <v>7</v>
      </c>
      <c r="S1" s="2"/>
      <c r="T1" s="2"/>
      <c r="U1" s="2"/>
      <c r="V1" s="2"/>
      <c r="W1" s="2"/>
      <c r="X1" s="2"/>
      <c r="Y1" s="2"/>
      <c r="Z1" s="2"/>
    </row>
    <row r="2" spans="1:26" ht="3.75" customHeight="1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 spans="1:26" ht="24" customHeight="1">
      <c r="A3" s="14"/>
      <c r="B3" s="14" t="s">
        <v>8</v>
      </c>
      <c r="C3" s="14"/>
      <c r="D3" s="14"/>
      <c r="E3" s="14"/>
      <c r="F3" s="14"/>
    </row>
    <row r="4" spans="1:26">
      <c r="A4" s="14"/>
      <c r="B4" s="196" t="s">
        <v>9</v>
      </c>
      <c r="C4" s="195"/>
      <c r="D4" s="195"/>
      <c r="E4" s="195"/>
      <c r="F4" s="14"/>
    </row>
    <row r="5" spans="1:26">
      <c r="A5" s="15"/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</row>
    <row r="6" spans="1:26" ht="90.75" customHeight="1">
      <c r="A6" s="15"/>
      <c r="B6" s="16" t="s">
        <v>10</v>
      </c>
      <c r="C6" s="191" t="s">
        <v>11</v>
      </c>
      <c r="D6" s="192"/>
      <c r="E6" s="192"/>
      <c r="F6" s="192"/>
      <c r="G6" s="192"/>
      <c r="H6" s="192"/>
      <c r="I6" s="192"/>
      <c r="J6" s="192"/>
      <c r="K6" s="192"/>
      <c r="L6" s="192"/>
      <c r="M6" s="192"/>
      <c r="N6" s="192"/>
      <c r="O6" s="192"/>
      <c r="P6" s="192"/>
      <c r="Q6" s="192"/>
      <c r="R6" s="193"/>
    </row>
    <row r="7" spans="1:26">
      <c r="A7" s="15"/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</row>
    <row r="8" spans="1:26" ht="153" customHeight="1">
      <c r="A8" s="15"/>
      <c r="B8" s="17" t="s">
        <v>12</v>
      </c>
      <c r="C8" s="191" t="s">
        <v>13</v>
      </c>
      <c r="D8" s="192"/>
      <c r="E8" s="192"/>
      <c r="F8" s="192"/>
      <c r="G8" s="192"/>
      <c r="H8" s="192"/>
      <c r="I8" s="192"/>
      <c r="J8" s="192"/>
      <c r="K8" s="192"/>
      <c r="L8" s="192"/>
      <c r="M8" s="192"/>
      <c r="N8" s="192"/>
      <c r="O8" s="192"/>
      <c r="P8" s="192"/>
      <c r="Q8" s="192"/>
      <c r="R8" s="193"/>
    </row>
    <row r="9" spans="1:26">
      <c r="A9" s="15"/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</row>
    <row r="10" spans="1:26" ht="152.25" customHeight="1">
      <c r="A10" s="15"/>
      <c r="B10" s="17" t="s">
        <v>14</v>
      </c>
      <c r="C10" s="191" t="s">
        <v>15</v>
      </c>
      <c r="D10" s="192"/>
      <c r="E10" s="192"/>
      <c r="F10" s="192"/>
      <c r="G10" s="192"/>
      <c r="H10" s="192"/>
      <c r="I10" s="192"/>
      <c r="J10" s="192"/>
      <c r="K10" s="192"/>
      <c r="L10" s="192"/>
      <c r="M10" s="192"/>
      <c r="N10" s="192"/>
      <c r="O10" s="192"/>
      <c r="P10" s="192"/>
      <c r="Q10" s="192"/>
      <c r="R10" s="193"/>
    </row>
    <row r="11" spans="1:26">
      <c r="A11" s="15"/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</row>
    <row r="12" spans="1:26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</row>
    <row r="13" spans="1:26" ht="153.75" customHeight="1">
      <c r="A13" s="15"/>
      <c r="B13" s="17" t="s">
        <v>16</v>
      </c>
      <c r="C13" s="191" t="s">
        <v>17</v>
      </c>
      <c r="D13" s="192"/>
      <c r="E13" s="192"/>
      <c r="F13" s="192"/>
      <c r="G13" s="192"/>
      <c r="H13" s="192"/>
      <c r="I13" s="192"/>
      <c r="J13" s="192"/>
      <c r="K13" s="192"/>
      <c r="L13" s="192"/>
      <c r="M13" s="192"/>
      <c r="N13" s="192"/>
      <c r="O13" s="192"/>
      <c r="P13" s="192"/>
      <c r="Q13" s="192"/>
      <c r="R13" s="193"/>
    </row>
    <row r="14" spans="1:26">
      <c r="A14" s="15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</row>
    <row r="15" spans="1:26" ht="298.5" customHeight="1">
      <c r="A15" s="15"/>
      <c r="B15" s="17" t="s">
        <v>18</v>
      </c>
      <c r="C15" s="191" t="s">
        <v>19</v>
      </c>
      <c r="D15" s="192"/>
      <c r="E15" s="192"/>
      <c r="F15" s="192"/>
      <c r="G15" s="192"/>
      <c r="H15" s="192"/>
      <c r="I15" s="192"/>
      <c r="J15" s="192"/>
      <c r="K15" s="192"/>
      <c r="L15" s="192"/>
      <c r="M15" s="192"/>
      <c r="N15" s="192"/>
      <c r="O15" s="192"/>
      <c r="P15" s="192"/>
      <c r="Q15" s="192"/>
      <c r="R15" s="193"/>
    </row>
    <row r="16" spans="1:26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</row>
    <row r="17" spans="1:26" ht="364.5" customHeight="1">
      <c r="A17" s="15"/>
      <c r="B17" s="17" t="s">
        <v>20</v>
      </c>
      <c r="C17" s="191" t="s">
        <v>21</v>
      </c>
      <c r="D17" s="192"/>
      <c r="E17" s="192"/>
      <c r="F17" s="192"/>
      <c r="G17" s="192"/>
      <c r="H17" s="192"/>
      <c r="I17" s="192"/>
      <c r="J17" s="192"/>
      <c r="K17" s="192"/>
      <c r="L17" s="192"/>
      <c r="M17" s="192"/>
      <c r="N17" s="192"/>
      <c r="O17" s="192"/>
      <c r="P17" s="192"/>
      <c r="Q17" s="192"/>
      <c r="R17" s="193"/>
    </row>
    <row r="18" spans="1:26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</row>
    <row r="19" spans="1:26" ht="90.75" customHeight="1">
      <c r="A19" s="18"/>
      <c r="B19" s="19"/>
      <c r="C19" s="194"/>
      <c r="D19" s="195"/>
      <c r="E19" s="195"/>
      <c r="F19" s="195"/>
      <c r="G19" s="195"/>
      <c r="H19" s="195"/>
      <c r="I19" s="195"/>
      <c r="J19" s="195"/>
      <c r="K19" s="195"/>
      <c r="L19" s="195"/>
      <c r="M19" s="195"/>
      <c r="N19" s="195"/>
      <c r="O19" s="195"/>
      <c r="P19" s="195"/>
      <c r="Q19" s="195"/>
      <c r="R19" s="195"/>
      <c r="S19" s="20"/>
      <c r="T19" s="20"/>
      <c r="U19" s="20"/>
      <c r="V19" s="20"/>
      <c r="W19" s="20"/>
      <c r="X19" s="20"/>
      <c r="Y19" s="20"/>
      <c r="Z19" s="20"/>
    </row>
    <row r="20" spans="1:26" ht="15.75" customHeight="1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</row>
    <row r="21" spans="1:26" ht="15.75" customHeight="1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</row>
    <row r="22" spans="1:26" ht="15.75" customHeight="1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</row>
    <row r="23" spans="1:26" ht="15.75" customHeight="1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</row>
    <row r="24" spans="1:26" ht="15.75" customHeight="1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</row>
    <row r="25" spans="1:26" ht="15.75" customHeight="1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</row>
    <row r="26" spans="1:26" ht="15.75" customHeight="1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</row>
    <row r="27" spans="1:26" ht="15.75" customHeight="1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</row>
    <row r="28" spans="1:26" ht="15.75" customHeight="1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</row>
    <row r="29" spans="1:26" ht="15.75" customHeight="1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</row>
    <row r="30" spans="1:26" ht="15.75" customHeight="1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</row>
    <row r="31" spans="1:26" ht="15.75" customHeight="1"/>
    <row r="32" spans="1:26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8">
    <mergeCell ref="C15:R15"/>
    <mergeCell ref="C17:R17"/>
    <mergeCell ref="C19:R19"/>
    <mergeCell ref="B4:E4"/>
    <mergeCell ref="C6:R6"/>
    <mergeCell ref="C8:R8"/>
    <mergeCell ref="C10:R10"/>
    <mergeCell ref="C13:R13"/>
  </mergeCells>
  <hyperlinks>
    <hyperlink ref="B4" r:id="rId1"/>
  </hyperlinks>
  <pageMargins left="0.511811024" right="0.511811024" top="0.78740157499999996" bottom="0.78740157499999996" header="0" footer="0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Z1000"/>
  <sheetViews>
    <sheetView showGridLines="0" workbookViewId="0">
      <selection activeCell="B8" sqref="B8"/>
    </sheetView>
  </sheetViews>
  <sheetFormatPr defaultColWidth="14.42578125" defaultRowHeight="15" customHeight="1"/>
  <cols>
    <col min="1" max="1" width="14.42578125" customWidth="1"/>
    <col min="2" max="2" width="18" customWidth="1"/>
    <col min="3" max="3" width="21.5703125" customWidth="1"/>
    <col min="4" max="4" width="28.5703125" customWidth="1"/>
    <col min="5" max="5" width="46.5703125" customWidth="1"/>
    <col min="6" max="6" width="26" customWidth="1"/>
    <col min="7" max="7" width="24.42578125" customWidth="1"/>
    <col min="8" max="26" width="8.7109375" customWidth="1"/>
  </cols>
  <sheetData>
    <row r="1" spans="1:26" ht="48.75" customHeight="1">
      <c r="A1" s="21"/>
      <c r="B1" s="22" t="s">
        <v>33</v>
      </c>
      <c r="D1" s="2"/>
      <c r="E1" s="2"/>
      <c r="F1" s="2"/>
      <c r="G1" s="55" t="s">
        <v>23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3.75" customHeight="1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4" spans="1:26" ht="15" customHeight="1">
      <c r="B4" s="28" t="s">
        <v>24</v>
      </c>
      <c r="C4" s="27" t="s">
        <v>34</v>
      </c>
    </row>
    <row r="5" spans="1:26" ht="15" customHeight="1">
      <c r="B5" s="56"/>
      <c r="C5" s="57"/>
      <c r="D5" s="31"/>
      <c r="E5" s="31"/>
      <c r="F5" s="31"/>
      <c r="G5" s="31"/>
    </row>
    <row r="6" spans="1:26" ht="37.5" customHeight="1">
      <c r="B6" s="58" t="s">
        <v>35</v>
      </c>
      <c r="C6" s="58" t="s">
        <v>36</v>
      </c>
      <c r="D6" s="58" t="s">
        <v>37</v>
      </c>
      <c r="E6" s="58" t="s">
        <v>38</v>
      </c>
      <c r="F6" s="58" t="s">
        <v>39</v>
      </c>
    </row>
    <row r="7" spans="1:26" ht="16.5" customHeight="1">
      <c r="B7" s="34"/>
      <c r="C7" s="35"/>
      <c r="D7" s="59"/>
      <c r="E7" s="36"/>
      <c r="F7" s="60">
        <f>SUMIF(ENTRADAS!D7:D323,B7,ENTRADAS!H7:H323)</f>
        <v>0</v>
      </c>
      <c r="G7" s="43"/>
    </row>
    <row r="8" spans="1:26">
      <c r="B8" s="40"/>
      <c r="C8" s="41"/>
      <c r="D8" s="61"/>
      <c r="E8" s="45"/>
      <c r="F8" s="62">
        <f>SUMIF(ENTRADAS!D8:D324,B8,ENTRADAS!H8:H324)</f>
        <v>0</v>
      </c>
      <c r="G8" s="43"/>
    </row>
    <row r="9" spans="1:26">
      <c r="B9" s="44"/>
      <c r="C9" s="41"/>
      <c r="D9" s="61"/>
      <c r="E9" s="45"/>
      <c r="F9" s="62">
        <f>SUMIF(ENTRADAS!D9:D325,B9,ENTRADAS!H9:H325)</f>
        <v>0</v>
      </c>
      <c r="G9" s="43"/>
    </row>
    <row r="10" spans="1:26">
      <c r="B10" s="44"/>
      <c r="C10" s="41"/>
      <c r="D10" s="61"/>
      <c r="E10" s="45"/>
      <c r="F10" s="62">
        <f>SUMIF(ENTRADAS!D10:D326,B10,ENTRADAS!H10:H326)</f>
        <v>0</v>
      </c>
      <c r="G10" s="43"/>
    </row>
    <row r="11" spans="1:26">
      <c r="B11" s="44"/>
      <c r="C11" s="41"/>
      <c r="D11" s="61"/>
      <c r="E11" s="45"/>
      <c r="F11" s="62">
        <f>SUMIF(ENTRADAS!D11:D327,B11,ENTRADAS!H11:H327)</f>
        <v>0</v>
      </c>
      <c r="G11" s="43"/>
    </row>
    <row r="12" spans="1:26">
      <c r="B12" s="106"/>
      <c r="C12" s="109"/>
      <c r="D12" s="47"/>
      <c r="E12" s="48"/>
      <c r="F12" s="62">
        <f>SUMIF(ENTRADAS!D12:D328,B12,ENTRADAS!H12:H328)</f>
        <v>0</v>
      </c>
      <c r="G12" s="43"/>
    </row>
    <row r="13" spans="1:26">
      <c r="B13" s="46"/>
      <c r="C13" s="47"/>
      <c r="D13" s="47"/>
      <c r="E13" s="48"/>
      <c r="F13" s="62">
        <f>SUMIF(ENTRADAS!D13:D329,B13,ENTRADAS!H13:H329)</f>
        <v>0</v>
      </c>
      <c r="G13" s="43"/>
    </row>
    <row r="14" spans="1:26">
      <c r="B14" s="46"/>
      <c r="C14" s="47"/>
      <c r="D14" s="47"/>
      <c r="E14" s="48"/>
      <c r="F14" s="62">
        <f>SUMIF(ENTRADAS!D14:D330,B14,ENTRADAS!H14:H330)</f>
        <v>0</v>
      </c>
      <c r="G14" s="43"/>
    </row>
    <row r="15" spans="1:26">
      <c r="B15" s="46"/>
      <c r="C15" s="47"/>
      <c r="D15" s="47"/>
      <c r="E15" s="48"/>
      <c r="F15" s="62">
        <f>SUMIF(ENTRADAS!D15:D330,B15,ENTRADAS!H15:H330)</f>
        <v>0</v>
      </c>
      <c r="G15" s="43"/>
    </row>
    <row r="16" spans="1:26">
      <c r="B16" s="46"/>
      <c r="C16" s="47"/>
      <c r="D16" s="47"/>
      <c r="E16" s="48"/>
      <c r="F16" s="62">
        <f>SUMIF(ENTRADAS!D16:D331,B16,ENTRADAS!H16:H331)</f>
        <v>0</v>
      </c>
      <c r="G16" s="43"/>
    </row>
    <row r="17" spans="2:7">
      <c r="B17" s="46"/>
      <c r="C17" s="47"/>
      <c r="D17" s="47"/>
      <c r="E17" s="48"/>
      <c r="F17" s="62">
        <f>SUMIF(ENTRADAS!D17:D332,B17,ENTRADAS!H17:H332)</f>
        <v>0</v>
      </c>
      <c r="G17" s="43"/>
    </row>
    <row r="18" spans="2:7">
      <c r="B18" s="46"/>
      <c r="C18" s="47"/>
      <c r="D18" s="47"/>
      <c r="E18" s="48"/>
      <c r="F18" s="62">
        <f>SUMIF(ENTRADAS!D18:D333,B18,ENTRADAS!H18:H333)</f>
        <v>0</v>
      </c>
      <c r="G18" s="43"/>
    </row>
    <row r="19" spans="2:7">
      <c r="B19" s="46"/>
      <c r="C19" s="47"/>
      <c r="D19" s="47"/>
      <c r="E19" s="48"/>
      <c r="F19" s="62">
        <f>SUMIF(ENTRADAS!D19:D334,B19,ENTRADAS!H19:H334)</f>
        <v>0</v>
      </c>
      <c r="G19" s="43"/>
    </row>
    <row r="20" spans="2:7">
      <c r="B20" s="46"/>
      <c r="C20" s="47"/>
      <c r="D20" s="47"/>
      <c r="E20" s="48"/>
      <c r="F20" s="62">
        <f>SUMIF(ENTRADAS!D20:D335,B20,ENTRADAS!H20:H335)</f>
        <v>0</v>
      </c>
      <c r="G20" s="43"/>
    </row>
    <row r="21" spans="2:7" ht="15.75" customHeight="1">
      <c r="B21" s="46"/>
      <c r="C21" s="47"/>
      <c r="D21" s="47"/>
      <c r="E21" s="48"/>
      <c r="F21" s="62">
        <f>SUMIF(ENTRADAS!D21:D336,B21,ENTRADAS!H21:H336)</f>
        <v>0</v>
      </c>
      <c r="G21" s="43"/>
    </row>
    <row r="22" spans="2:7" ht="15.75" customHeight="1">
      <c r="B22" s="46"/>
      <c r="C22" s="47"/>
      <c r="D22" s="47"/>
      <c r="E22" s="48"/>
      <c r="F22" s="62">
        <f>SUMIF(ENTRADAS!D22:D337,B22,ENTRADAS!H22:H337)</f>
        <v>0</v>
      </c>
      <c r="G22" s="43"/>
    </row>
    <row r="23" spans="2:7" ht="15.75" customHeight="1">
      <c r="B23" s="46"/>
      <c r="C23" s="47"/>
      <c r="D23" s="47"/>
      <c r="E23" s="48"/>
      <c r="F23" s="62">
        <f>SUMIF(ENTRADAS!D23:D338,B23,ENTRADAS!H23:H338)</f>
        <v>0</v>
      </c>
      <c r="G23" s="43"/>
    </row>
    <row r="24" spans="2:7" ht="15.75" customHeight="1">
      <c r="B24" s="46"/>
      <c r="C24" s="47"/>
      <c r="D24" s="47"/>
      <c r="E24" s="48"/>
      <c r="F24" s="62">
        <f>SUMIF(ENTRADAS!D25:D339,B24,ENTRADAS!H25:H339)</f>
        <v>0</v>
      </c>
      <c r="G24" s="43"/>
    </row>
    <row r="25" spans="2:7" ht="15.75" customHeight="1">
      <c r="B25" s="46"/>
      <c r="C25" s="47"/>
      <c r="D25" s="47"/>
      <c r="E25" s="48"/>
      <c r="F25" s="62">
        <f>SUMIF(ENTRADAS!D26:D340,B25,ENTRADAS!H26:H340)</f>
        <v>0</v>
      </c>
      <c r="G25" s="43"/>
    </row>
    <row r="26" spans="2:7" ht="15.75" customHeight="1">
      <c r="B26" s="46"/>
      <c r="C26" s="47"/>
      <c r="D26" s="47"/>
      <c r="E26" s="48"/>
      <c r="F26" s="62">
        <f>SUMIF(ENTRADAS!D27:D341,B26,ENTRADAS!H27:H341)</f>
        <v>0</v>
      </c>
      <c r="G26" s="43"/>
    </row>
    <row r="27" spans="2:7" ht="15.75" customHeight="1">
      <c r="B27" s="46"/>
      <c r="C27" s="47"/>
      <c r="D27" s="47"/>
      <c r="E27" s="48"/>
      <c r="F27" s="62">
        <f>SUMIF(ENTRADAS!D28:D342,B27,ENTRADAS!H28:H342)</f>
        <v>0</v>
      </c>
      <c r="G27" s="43"/>
    </row>
    <row r="28" spans="2:7" ht="15.75" customHeight="1">
      <c r="B28" s="46"/>
      <c r="C28" s="47"/>
      <c r="D28" s="47"/>
      <c r="E28" s="48"/>
      <c r="F28" s="62">
        <f>SUMIF(ENTRADAS!D29:D343,B28,ENTRADAS!H29:H343)</f>
        <v>0</v>
      </c>
      <c r="G28" s="43"/>
    </row>
    <row r="29" spans="2:7" ht="15.75" customHeight="1">
      <c r="B29" s="46"/>
      <c r="C29" s="47"/>
      <c r="D29" s="47"/>
      <c r="E29" s="48"/>
      <c r="F29" s="62">
        <f>SUMIF(ENTRADAS!D30:D344,B29,ENTRADAS!H30:H344)</f>
        <v>0</v>
      </c>
      <c r="G29" s="43"/>
    </row>
    <row r="30" spans="2:7" ht="15.75" customHeight="1">
      <c r="B30" s="46"/>
      <c r="C30" s="47"/>
      <c r="D30" s="47"/>
      <c r="E30" s="48"/>
      <c r="F30" s="62">
        <f>SUMIF(ENTRADAS!D31:D345,B30,ENTRADAS!H31:H345)</f>
        <v>0</v>
      </c>
      <c r="G30" s="43"/>
    </row>
    <row r="31" spans="2:7" ht="15.75" customHeight="1">
      <c r="B31" s="46"/>
      <c r="C31" s="47"/>
      <c r="D31" s="47"/>
      <c r="E31" s="48"/>
      <c r="F31" s="62">
        <f>SUMIF(ENTRADAS!D33:D346,B31,ENTRADAS!H33:H346)</f>
        <v>0</v>
      </c>
      <c r="G31" s="43"/>
    </row>
    <row r="32" spans="2:7" ht="15.75" customHeight="1">
      <c r="B32" s="46"/>
      <c r="C32" s="47"/>
      <c r="D32" s="47"/>
      <c r="E32" s="48"/>
      <c r="F32" s="62">
        <f>SUMIF(ENTRADAS!D34:D347,B32,ENTRADAS!H34:H347)</f>
        <v>0</v>
      </c>
      <c r="G32" s="43"/>
    </row>
    <row r="33" spans="2:7" ht="15.75" customHeight="1">
      <c r="B33" s="46"/>
      <c r="C33" s="47"/>
      <c r="D33" s="47"/>
      <c r="E33" s="48"/>
      <c r="F33" s="62">
        <f>SUMIF(ENTRADAS!D36:D348,B33,ENTRADAS!H36:H348)</f>
        <v>0</v>
      </c>
      <c r="G33" s="43"/>
    </row>
    <row r="34" spans="2:7" ht="15.75" customHeight="1">
      <c r="B34" s="46"/>
      <c r="C34" s="47"/>
      <c r="D34" s="47"/>
      <c r="E34" s="48"/>
      <c r="F34" s="62">
        <f>SUMIF(ENTRADAS!D38:D349,B34,ENTRADAS!H38:H349)</f>
        <v>0</v>
      </c>
      <c r="G34" s="43"/>
    </row>
    <row r="35" spans="2:7" ht="15.75" customHeight="1">
      <c r="B35" s="46"/>
      <c r="C35" s="47"/>
      <c r="D35" s="47"/>
      <c r="E35" s="48"/>
      <c r="F35" s="62">
        <f>SUMIF(ENTRADAS!D40:D350,B35,ENTRADAS!H40:H350)</f>
        <v>0</v>
      </c>
      <c r="G35" s="43"/>
    </row>
    <row r="36" spans="2:7" ht="15.75" customHeight="1">
      <c r="B36" s="46"/>
      <c r="C36" s="47"/>
      <c r="D36" s="47"/>
      <c r="E36" s="48"/>
      <c r="F36" s="62">
        <f>SUMIF(ENTRADAS!D41:D351,B36,ENTRADAS!H41:H351)</f>
        <v>0</v>
      </c>
      <c r="G36" s="43"/>
    </row>
    <row r="37" spans="2:7" ht="15.75" customHeight="1">
      <c r="B37" s="46"/>
      <c r="C37" s="47"/>
      <c r="D37" s="47"/>
      <c r="E37" s="48"/>
      <c r="F37" s="62">
        <f>SUMIF(ENTRADAS!D42:D352,B37,ENTRADAS!H42:H352)</f>
        <v>0</v>
      </c>
      <c r="G37" s="43"/>
    </row>
    <row r="38" spans="2:7" ht="15.75" customHeight="1">
      <c r="B38" s="46"/>
      <c r="C38" s="47"/>
      <c r="D38" s="47"/>
      <c r="E38" s="48"/>
      <c r="F38" s="62">
        <f>SUMIF(ENTRADAS!D43:D353,B38,ENTRADAS!H43:H353)</f>
        <v>0</v>
      </c>
      <c r="G38" s="43"/>
    </row>
    <row r="39" spans="2:7" ht="15.75" customHeight="1">
      <c r="B39" s="46"/>
      <c r="C39" s="47"/>
      <c r="D39" s="47"/>
      <c r="E39" s="48"/>
      <c r="F39" s="62">
        <f>SUMIF(ENTRADAS!D44:D354,B39,ENTRADAS!H44:H354)</f>
        <v>0</v>
      </c>
      <c r="G39" s="43"/>
    </row>
    <row r="40" spans="2:7" ht="15.75" customHeight="1">
      <c r="B40" s="46"/>
      <c r="C40" s="47"/>
      <c r="D40" s="47"/>
      <c r="E40" s="48"/>
      <c r="F40" s="62">
        <f>SUMIF(ENTRADAS!D45:D355,B40,ENTRADAS!H45:H355)</f>
        <v>0</v>
      </c>
      <c r="G40" s="43"/>
    </row>
    <row r="41" spans="2:7" ht="15.75" customHeight="1">
      <c r="B41" s="46"/>
      <c r="C41" s="47"/>
      <c r="D41" s="47"/>
      <c r="E41" s="48"/>
      <c r="F41" s="62">
        <f>SUMIF(ENTRADAS!D46:D356,B41,ENTRADAS!H46:H356)</f>
        <v>0</v>
      </c>
      <c r="G41" s="43"/>
    </row>
    <row r="42" spans="2:7" ht="15.75" customHeight="1">
      <c r="B42" s="46"/>
      <c r="C42" s="47"/>
      <c r="D42" s="47"/>
      <c r="E42" s="48"/>
      <c r="F42" s="62">
        <f>SUMIF(ENTRADAS!D47:D357,B42,ENTRADAS!H47:H357)</f>
        <v>0</v>
      </c>
      <c r="G42" s="43"/>
    </row>
    <row r="43" spans="2:7" ht="15.75" customHeight="1">
      <c r="B43" s="46"/>
      <c r="C43" s="47"/>
      <c r="D43" s="47"/>
      <c r="E43" s="48"/>
      <c r="F43" s="62">
        <f>SUMIF(ENTRADAS!D48:D358,B43,ENTRADAS!H48:H358)</f>
        <v>0</v>
      </c>
      <c r="G43" s="43"/>
    </row>
    <row r="44" spans="2:7" ht="15.75" customHeight="1">
      <c r="B44" s="46"/>
      <c r="C44" s="47"/>
      <c r="D44" s="47"/>
      <c r="E44" s="48"/>
      <c r="F44" s="62">
        <f>SUMIF(ENTRADAS!D49:D359,B44,ENTRADAS!H49:H359)</f>
        <v>0</v>
      </c>
      <c r="G44" s="43"/>
    </row>
    <row r="45" spans="2:7" ht="15.75" customHeight="1">
      <c r="B45" s="46"/>
      <c r="C45" s="47"/>
      <c r="D45" s="47"/>
      <c r="E45" s="48"/>
      <c r="F45" s="62">
        <f>SUMIF(ENTRADAS!D50:D360,B45,ENTRADAS!H50:H360)</f>
        <v>0</v>
      </c>
      <c r="G45" s="43"/>
    </row>
    <row r="46" spans="2:7" ht="15.75" customHeight="1">
      <c r="B46" s="46"/>
      <c r="C46" s="47"/>
      <c r="D46" s="47"/>
      <c r="E46" s="48"/>
      <c r="F46" s="62">
        <f>SUMIF(ENTRADAS!D51:D361,B46,ENTRADAS!H51:H361)</f>
        <v>0</v>
      </c>
      <c r="G46" s="43"/>
    </row>
    <row r="47" spans="2:7" ht="15.75" customHeight="1">
      <c r="B47" s="46"/>
      <c r="C47" s="47"/>
      <c r="D47" s="47"/>
      <c r="E47" s="48"/>
      <c r="F47" s="62">
        <f>SUMIF(ENTRADAS!D52:D362,B47,ENTRADAS!H52:H362)</f>
        <v>0</v>
      </c>
      <c r="G47" s="43"/>
    </row>
    <row r="48" spans="2:7" ht="15.75" customHeight="1">
      <c r="B48" s="46"/>
      <c r="C48" s="47"/>
      <c r="D48" s="47"/>
      <c r="E48" s="48"/>
      <c r="F48" s="62">
        <f>SUMIF(ENTRADAS!D53:D363,B48,ENTRADAS!H53:H363)</f>
        <v>0</v>
      </c>
      <c r="G48" s="43"/>
    </row>
    <row r="49" spans="2:7" ht="15.75" customHeight="1">
      <c r="B49" s="46"/>
      <c r="C49" s="47"/>
      <c r="D49" s="47"/>
      <c r="E49" s="48"/>
      <c r="F49" s="62">
        <f>SUMIF(ENTRADAS!D54:D364,B49,ENTRADAS!H54:H364)</f>
        <v>0</v>
      </c>
      <c r="G49" s="43"/>
    </row>
    <row r="50" spans="2:7" ht="15.75" customHeight="1">
      <c r="B50" s="46"/>
      <c r="C50" s="47"/>
      <c r="D50" s="47"/>
      <c r="E50" s="48"/>
      <c r="F50" s="62">
        <f>SUMIF(ENTRADAS!D55:D365,B50,ENTRADAS!H55:H365)</f>
        <v>0</v>
      </c>
      <c r="G50" s="43"/>
    </row>
    <row r="51" spans="2:7" ht="15.75" customHeight="1">
      <c r="B51" s="46"/>
      <c r="C51" s="47"/>
      <c r="D51" s="47"/>
      <c r="E51" s="48"/>
      <c r="F51" s="62">
        <f>SUMIF(ENTRADAS!D56:D366,B51,ENTRADAS!H56:H366)</f>
        <v>0</v>
      </c>
      <c r="G51" s="43"/>
    </row>
    <row r="52" spans="2:7" ht="15.75" customHeight="1">
      <c r="B52" s="46"/>
      <c r="C52" s="47"/>
      <c r="D52" s="47"/>
      <c r="E52" s="48"/>
      <c r="F52" s="62">
        <f>SUMIF(ENTRADAS!D57:D367,B52,ENTRADAS!H57:H367)</f>
        <v>0</v>
      </c>
      <c r="G52" s="43"/>
    </row>
    <row r="53" spans="2:7" ht="15.75" customHeight="1">
      <c r="B53" s="46"/>
      <c r="C53" s="47"/>
      <c r="D53" s="47"/>
      <c r="E53" s="48"/>
      <c r="F53" s="62">
        <f>SUMIF(ENTRADAS!D58:D368,B53,ENTRADAS!H58:H368)</f>
        <v>0</v>
      </c>
      <c r="G53" s="43"/>
    </row>
    <row r="54" spans="2:7" ht="15.75" customHeight="1">
      <c r="B54" s="46"/>
      <c r="C54" s="47"/>
      <c r="D54" s="47"/>
      <c r="E54" s="48"/>
      <c r="F54" s="62">
        <f>SUMIF(ENTRADAS!D59:D369,B54,ENTRADAS!H59:H369)</f>
        <v>0</v>
      </c>
      <c r="G54" s="43"/>
    </row>
    <row r="55" spans="2:7" ht="15.75" customHeight="1">
      <c r="B55" s="46"/>
      <c r="C55" s="47"/>
      <c r="D55" s="47"/>
      <c r="E55" s="48"/>
      <c r="F55" s="62">
        <f>SUMIF(ENTRADAS!D60:D370,B55,ENTRADAS!H60:H370)</f>
        <v>0</v>
      </c>
      <c r="G55" s="43"/>
    </row>
    <row r="56" spans="2:7" ht="15.75" customHeight="1">
      <c r="B56" s="46"/>
      <c r="C56" s="47"/>
      <c r="D56" s="47"/>
      <c r="E56" s="48"/>
      <c r="F56" s="62">
        <f>SUMIF(ENTRADAS!D61:D371,B56,ENTRADAS!H61:H371)</f>
        <v>0</v>
      </c>
      <c r="G56" s="43"/>
    </row>
    <row r="57" spans="2:7" ht="15.75" customHeight="1">
      <c r="B57" s="46"/>
      <c r="C57" s="47"/>
      <c r="D57" s="47"/>
      <c r="E57" s="48"/>
      <c r="F57" s="62">
        <f>SUMIF(ENTRADAS!D62:D372,B57,ENTRADAS!H62:H372)</f>
        <v>0</v>
      </c>
      <c r="G57" s="43"/>
    </row>
    <row r="58" spans="2:7" ht="15.75" customHeight="1">
      <c r="B58" s="46"/>
      <c r="C58" s="47"/>
      <c r="D58" s="47"/>
      <c r="E58" s="48"/>
      <c r="F58" s="62">
        <f>SUMIF(ENTRADAS!D63:D373,B58,ENTRADAS!H63:H373)</f>
        <v>0</v>
      </c>
      <c r="G58" s="43"/>
    </row>
    <row r="59" spans="2:7" ht="15.75" customHeight="1">
      <c r="B59" s="46"/>
      <c r="C59" s="47"/>
      <c r="D59" s="47"/>
      <c r="E59" s="48"/>
      <c r="F59" s="62">
        <f>SUMIF(ENTRADAS!D64:D374,B59,ENTRADAS!H64:H374)</f>
        <v>0</v>
      </c>
      <c r="G59" s="43"/>
    </row>
    <row r="60" spans="2:7" ht="15.75" customHeight="1">
      <c r="B60" s="46"/>
      <c r="C60" s="47"/>
      <c r="D60" s="47"/>
      <c r="E60" s="48"/>
      <c r="F60" s="62">
        <f>SUMIF(ENTRADAS!D65:D375,B60,ENTRADAS!H65:H375)</f>
        <v>0</v>
      </c>
      <c r="G60" s="43"/>
    </row>
    <row r="61" spans="2:7" ht="15.75" customHeight="1">
      <c r="B61" s="46"/>
      <c r="C61" s="47"/>
      <c r="D61" s="47"/>
      <c r="E61" s="48"/>
      <c r="F61" s="62">
        <f>SUMIF(ENTRADAS!D66:D376,B61,ENTRADAS!H66:H376)</f>
        <v>0</v>
      </c>
      <c r="G61" s="43"/>
    </row>
    <row r="62" spans="2:7" ht="15.75" customHeight="1">
      <c r="B62" s="46"/>
      <c r="C62" s="47"/>
      <c r="D62" s="47"/>
      <c r="E62" s="48"/>
      <c r="F62" s="62">
        <f>SUMIF(ENTRADAS!D67:D377,B62,ENTRADAS!H67:H377)</f>
        <v>0</v>
      </c>
      <c r="G62" s="43"/>
    </row>
    <row r="63" spans="2:7" ht="15.75" customHeight="1">
      <c r="B63" s="46"/>
      <c r="C63" s="47"/>
      <c r="D63" s="47"/>
      <c r="E63" s="48"/>
      <c r="F63" s="62">
        <f>SUMIF(ENTRADAS!D68:D378,B63,ENTRADAS!H68:H378)</f>
        <v>0</v>
      </c>
      <c r="G63" s="43"/>
    </row>
    <row r="64" spans="2:7" ht="15.75" customHeight="1">
      <c r="B64" s="46"/>
      <c r="C64" s="47"/>
      <c r="D64" s="47"/>
      <c r="E64" s="48"/>
      <c r="F64" s="62">
        <f>SUMIF(ENTRADAS!D69:D379,B64,ENTRADAS!H69:H379)</f>
        <v>0</v>
      </c>
      <c r="G64" s="43"/>
    </row>
    <row r="65" spans="2:7" ht="15.75" customHeight="1">
      <c r="B65" s="46"/>
      <c r="C65" s="47"/>
      <c r="D65" s="47"/>
      <c r="E65" s="48"/>
      <c r="F65" s="62">
        <f>SUMIF(ENTRADAS!D70:D380,B65,ENTRADAS!H70:H380)</f>
        <v>0</v>
      </c>
      <c r="G65" s="43"/>
    </row>
    <row r="66" spans="2:7" ht="15.75" customHeight="1">
      <c r="B66" s="46"/>
      <c r="C66" s="47"/>
      <c r="D66" s="47"/>
      <c r="E66" s="48"/>
      <c r="F66" s="62">
        <f>SUMIF(ENTRADAS!D71:D381,B66,ENTRADAS!H71:H381)</f>
        <v>0</v>
      </c>
      <c r="G66" s="43"/>
    </row>
    <row r="67" spans="2:7" ht="15.75" customHeight="1">
      <c r="B67" s="46"/>
      <c r="C67" s="47"/>
      <c r="D67" s="47"/>
      <c r="E67" s="48"/>
      <c r="F67" s="62">
        <f>SUMIF(ENTRADAS!D72:D382,B67,ENTRADAS!H72:H382)</f>
        <v>0</v>
      </c>
      <c r="G67" s="43"/>
    </row>
    <row r="68" spans="2:7" ht="15.75" customHeight="1">
      <c r="B68" s="46"/>
      <c r="C68" s="47"/>
      <c r="D68" s="47"/>
      <c r="E68" s="48"/>
      <c r="F68" s="62">
        <f>SUMIF(ENTRADAS!D73:D383,B68,ENTRADAS!H73:H383)</f>
        <v>0</v>
      </c>
      <c r="G68" s="43"/>
    </row>
    <row r="69" spans="2:7" ht="15.75" customHeight="1">
      <c r="B69" s="46"/>
      <c r="C69" s="47"/>
      <c r="D69" s="47"/>
      <c r="E69" s="48"/>
      <c r="F69" s="62">
        <f>SUMIF(ENTRADAS!D74:D384,B69,ENTRADAS!H74:H384)</f>
        <v>0</v>
      </c>
      <c r="G69" s="43"/>
    </row>
    <row r="70" spans="2:7" ht="15.75" customHeight="1">
      <c r="B70" s="46"/>
      <c r="C70" s="47"/>
      <c r="D70" s="47"/>
      <c r="E70" s="48"/>
      <c r="F70" s="62">
        <f>SUMIF(ENTRADAS!D75:D385,B70,ENTRADAS!H75:H385)</f>
        <v>0</v>
      </c>
      <c r="G70" s="43"/>
    </row>
    <row r="71" spans="2:7" ht="15.75" customHeight="1">
      <c r="B71" s="46"/>
      <c r="C71" s="47"/>
      <c r="D71" s="47"/>
      <c r="E71" s="48"/>
      <c r="F71" s="62">
        <f>SUMIF(ENTRADAS!D76:D386,B71,ENTRADAS!H76:H386)</f>
        <v>0</v>
      </c>
      <c r="G71" s="43"/>
    </row>
    <row r="72" spans="2:7" ht="15.75" customHeight="1">
      <c r="B72" s="46"/>
      <c r="C72" s="47"/>
      <c r="D72" s="47"/>
      <c r="E72" s="48"/>
      <c r="F72" s="62">
        <f>SUMIF(ENTRADAS!D77:D387,B72,ENTRADAS!H77:H387)</f>
        <v>0</v>
      </c>
      <c r="G72" s="43"/>
    </row>
    <row r="73" spans="2:7" ht="15.75" customHeight="1">
      <c r="B73" s="46"/>
      <c r="C73" s="47"/>
      <c r="D73" s="47"/>
      <c r="E73" s="48"/>
      <c r="F73" s="62">
        <f>SUMIF(ENTRADAS!D78:D388,B73,ENTRADAS!H78:H388)</f>
        <v>0</v>
      </c>
      <c r="G73" s="43"/>
    </row>
    <row r="74" spans="2:7" ht="15.75" customHeight="1">
      <c r="B74" s="46"/>
      <c r="C74" s="47"/>
      <c r="D74" s="47"/>
      <c r="E74" s="48"/>
      <c r="F74" s="62">
        <f>SUMIF(ENTRADAS!D79:D389,B74,ENTRADAS!H79:H389)</f>
        <v>0</v>
      </c>
      <c r="G74" s="43"/>
    </row>
    <row r="75" spans="2:7" ht="15.75" customHeight="1">
      <c r="B75" s="46"/>
      <c r="C75" s="47"/>
      <c r="D75" s="47"/>
      <c r="E75" s="48"/>
      <c r="F75" s="62">
        <f>SUMIF(ENTRADAS!D80:D390,B75,ENTRADAS!H80:H390)</f>
        <v>0</v>
      </c>
      <c r="G75" s="43"/>
    </row>
    <row r="76" spans="2:7" ht="15.75" customHeight="1">
      <c r="B76" s="46"/>
      <c r="C76" s="47"/>
      <c r="D76" s="47"/>
      <c r="E76" s="48"/>
      <c r="F76" s="62">
        <f>SUMIF(ENTRADAS!D81:D391,B76,ENTRADAS!H81:H391)</f>
        <v>0</v>
      </c>
      <c r="G76" s="43"/>
    </row>
    <row r="77" spans="2:7" ht="15.75" customHeight="1">
      <c r="B77" s="46"/>
      <c r="C77" s="47"/>
      <c r="D77" s="47"/>
      <c r="E77" s="48"/>
      <c r="F77" s="62">
        <f>SUMIF(ENTRADAS!D82:D392,B77,ENTRADAS!H82:H392)</f>
        <v>0</v>
      </c>
      <c r="G77" s="43"/>
    </row>
    <row r="78" spans="2:7" ht="15.75" customHeight="1">
      <c r="B78" s="46"/>
      <c r="C78" s="47"/>
      <c r="D78" s="47"/>
      <c r="E78" s="48"/>
      <c r="F78" s="62">
        <f>SUMIF(ENTRADAS!D83:D393,B78,ENTRADAS!H83:H393)</f>
        <v>0</v>
      </c>
      <c r="G78" s="43"/>
    </row>
    <row r="79" spans="2:7" ht="15.75" customHeight="1">
      <c r="B79" s="46"/>
      <c r="C79" s="47"/>
      <c r="D79" s="47"/>
      <c r="E79" s="48"/>
      <c r="F79" s="62">
        <f>SUMIF(ENTRADAS!D84:D394,B79,ENTRADAS!H84:H394)</f>
        <v>0</v>
      </c>
      <c r="G79" s="43"/>
    </row>
    <row r="80" spans="2:7" ht="15.75" customHeight="1">
      <c r="B80" s="46"/>
      <c r="C80" s="47"/>
      <c r="D80" s="47"/>
      <c r="E80" s="48"/>
      <c r="F80" s="62">
        <f>SUMIF(ENTRADAS!D85:D395,B80,ENTRADAS!H85:H395)</f>
        <v>0</v>
      </c>
      <c r="G80" s="43"/>
    </row>
    <row r="81" spans="2:7" ht="15.75" customHeight="1">
      <c r="B81" s="46"/>
      <c r="C81" s="47"/>
      <c r="D81" s="47"/>
      <c r="E81" s="48"/>
      <c r="F81" s="62">
        <f>SUMIF(ENTRADAS!D86:D396,B81,ENTRADAS!H86:H396)</f>
        <v>0</v>
      </c>
      <c r="G81" s="43"/>
    </row>
    <row r="82" spans="2:7" ht="15.75" customHeight="1">
      <c r="B82" s="46"/>
      <c r="C82" s="47"/>
      <c r="D82" s="47"/>
      <c r="E82" s="48"/>
      <c r="F82" s="62">
        <f>SUMIF(ENTRADAS!D87:D397,B82,ENTRADAS!H87:H397)</f>
        <v>0</v>
      </c>
      <c r="G82" s="43"/>
    </row>
    <row r="83" spans="2:7" ht="15.75" customHeight="1">
      <c r="B83" s="46"/>
      <c r="C83" s="47"/>
      <c r="D83" s="47"/>
      <c r="E83" s="48"/>
      <c r="F83" s="62">
        <f>SUMIF(ENTRADAS!D88:D398,B83,ENTRADAS!H88:H398)</f>
        <v>0</v>
      </c>
      <c r="G83" s="43"/>
    </row>
    <row r="84" spans="2:7" ht="15.75" customHeight="1">
      <c r="B84" s="46"/>
      <c r="C84" s="47"/>
      <c r="D84" s="47"/>
      <c r="E84" s="48"/>
      <c r="F84" s="62">
        <f>SUMIF(ENTRADAS!D89:D399,B84,ENTRADAS!H89:H399)</f>
        <v>0</v>
      </c>
      <c r="G84" s="43"/>
    </row>
    <row r="85" spans="2:7" ht="15.75" customHeight="1">
      <c r="B85" s="46"/>
      <c r="C85" s="47"/>
      <c r="D85" s="47"/>
      <c r="E85" s="48"/>
      <c r="F85" s="62">
        <f>SUMIF(ENTRADAS!D90:D400,B85,ENTRADAS!H90:H400)</f>
        <v>0</v>
      </c>
      <c r="G85" s="43"/>
    </row>
    <row r="86" spans="2:7" ht="15.75" customHeight="1">
      <c r="B86" s="46"/>
      <c r="C86" s="47"/>
      <c r="D86" s="47"/>
      <c r="E86" s="48"/>
      <c r="F86" s="62">
        <f>SUMIF(ENTRADAS!D91:D401,B86,ENTRADAS!H91:H401)</f>
        <v>0</v>
      </c>
      <c r="G86" s="43"/>
    </row>
    <row r="87" spans="2:7" ht="15.75" customHeight="1">
      <c r="B87" s="46"/>
      <c r="C87" s="47"/>
      <c r="D87" s="47"/>
      <c r="E87" s="48"/>
      <c r="F87" s="62">
        <f>SUMIF(ENTRADAS!D94:D402,B87,ENTRADAS!H94:H402)</f>
        <v>0</v>
      </c>
      <c r="G87" s="43"/>
    </row>
    <row r="88" spans="2:7" ht="15.75" customHeight="1">
      <c r="B88" s="46"/>
      <c r="C88" s="47"/>
      <c r="D88" s="47"/>
      <c r="E88" s="48"/>
      <c r="F88" s="62">
        <f>SUMIF(ENTRADAS!D95:D403,B88,ENTRADAS!H95:H403)</f>
        <v>0</v>
      </c>
      <c r="G88" s="43"/>
    </row>
    <row r="89" spans="2:7" ht="15.75" customHeight="1">
      <c r="B89" s="46"/>
      <c r="C89" s="47"/>
      <c r="D89" s="47"/>
      <c r="E89" s="48"/>
      <c r="F89" s="62">
        <f>SUMIF(ENTRADAS!D96:D404,B89,ENTRADAS!H96:H404)</f>
        <v>0</v>
      </c>
      <c r="G89" s="43"/>
    </row>
    <row r="90" spans="2:7" ht="15.75" customHeight="1">
      <c r="B90" s="46"/>
      <c r="C90" s="47"/>
      <c r="D90" s="47"/>
      <c r="E90" s="48"/>
      <c r="F90" s="62">
        <f>SUMIF(ENTRADAS!D97:D405,B90,ENTRADAS!H97:H405)</f>
        <v>0</v>
      </c>
      <c r="G90" s="43"/>
    </row>
    <row r="91" spans="2:7" ht="15.75" customHeight="1">
      <c r="B91" s="46"/>
      <c r="C91" s="47"/>
      <c r="D91" s="47"/>
      <c r="E91" s="48"/>
      <c r="F91" s="62">
        <f>SUMIF(ENTRADAS!D98:D406,B91,ENTRADAS!H98:H406)</f>
        <v>0</v>
      </c>
      <c r="G91" s="43"/>
    </row>
    <row r="92" spans="2:7" ht="15.75" customHeight="1">
      <c r="B92" s="46"/>
      <c r="C92" s="47"/>
      <c r="D92" s="47"/>
      <c r="E92" s="48"/>
      <c r="F92" s="62">
        <f>SUMIF(ENTRADAS!D99:D407,B92,ENTRADAS!H99:H407)</f>
        <v>0</v>
      </c>
      <c r="G92" s="43"/>
    </row>
    <row r="93" spans="2:7" ht="15.75" customHeight="1">
      <c r="B93" s="46"/>
      <c r="C93" s="47"/>
      <c r="D93" s="47"/>
      <c r="E93" s="48"/>
      <c r="F93" s="62">
        <f>SUMIF(ENTRADAS!D100:D408,B93,ENTRADAS!H100:H408)</f>
        <v>0</v>
      </c>
      <c r="G93" s="43"/>
    </row>
    <row r="94" spans="2:7" ht="15.75" customHeight="1">
      <c r="B94" s="46"/>
      <c r="C94" s="47"/>
      <c r="D94" s="47"/>
      <c r="E94" s="48"/>
      <c r="F94" s="62">
        <f>SUMIF(ENTRADAS!D101:D409,B94,ENTRADAS!H101:H409)</f>
        <v>0</v>
      </c>
      <c r="G94" s="43"/>
    </row>
    <row r="95" spans="2:7" ht="15.75" customHeight="1">
      <c r="B95" s="46"/>
      <c r="C95" s="47"/>
      <c r="D95" s="47"/>
      <c r="E95" s="48"/>
      <c r="F95" s="62">
        <f>SUMIF(ENTRADAS!D102:D410,B95,ENTRADAS!H102:H410)</f>
        <v>0</v>
      </c>
      <c r="G95" s="43"/>
    </row>
    <row r="96" spans="2:7" ht="15.75" customHeight="1">
      <c r="B96" s="46"/>
      <c r="C96" s="47"/>
      <c r="D96" s="47"/>
      <c r="E96" s="48"/>
      <c r="F96" s="62">
        <f>SUMIF(ENTRADAS!D103:D411,B96,ENTRADAS!H103:H411)</f>
        <v>0</v>
      </c>
      <c r="G96" s="43"/>
    </row>
    <row r="97" spans="2:7" ht="15.75" customHeight="1">
      <c r="B97" s="46"/>
      <c r="C97" s="47"/>
      <c r="D97" s="47"/>
      <c r="E97" s="48"/>
      <c r="F97" s="62">
        <f>SUMIF(ENTRADAS!D104:D412,B97,ENTRADAS!H104:H412)</f>
        <v>0</v>
      </c>
      <c r="G97" s="43"/>
    </row>
    <row r="98" spans="2:7" ht="15.75" customHeight="1">
      <c r="B98" s="46"/>
      <c r="C98" s="47"/>
      <c r="D98" s="47"/>
      <c r="E98" s="48"/>
      <c r="F98" s="62">
        <f>SUMIF(ENTRADAS!D105:D413,B98,ENTRADAS!H105:H413)</f>
        <v>0</v>
      </c>
      <c r="G98" s="43"/>
    </row>
    <row r="99" spans="2:7" ht="15.75" customHeight="1">
      <c r="B99" s="46"/>
      <c r="C99" s="47"/>
      <c r="D99" s="47"/>
      <c r="E99" s="48"/>
      <c r="F99" s="62">
        <f>SUMIF(ENTRADAS!D106:D414,B99,ENTRADAS!H106:H414)</f>
        <v>0</v>
      </c>
      <c r="G99" s="43"/>
    </row>
    <row r="100" spans="2:7" ht="15.75" customHeight="1">
      <c r="B100" s="46"/>
      <c r="C100" s="47"/>
      <c r="D100" s="47"/>
      <c r="E100" s="48"/>
      <c r="F100" s="62">
        <f>SUMIF(ENTRADAS!D107:D415,B100,ENTRADAS!H107:H415)</f>
        <v>0</v>
      </c>
      <c r="G100" s="43"/>
    </row>
    <row r="101" spans="2:7" ht="15.75" customHeight="1">
      <c r="B101" s="46"/>
      <c r="C101" s="47"/>
      <c r="D101" s="47"/>
      <c r="E101" s="48"/>
      <c r="F101" s="62">
        <f>SUMIF(ENTRADAS!D108:D416,B101,ENTRADAS!H108:H416)</f>
        <v>0</v>
      </c>
      <c r="G101" s="43"/>
    </row>
    <row r="102" spans="2:7" ht="15.75" customHeight="1">
      <c r="B102" s="46"/>
      <c r="C102" s="47"/>
      <c r="D102" s="47"/>
      <c r="E102" s="48"/>
      <c r="F102" s="62">
        <f>SUMIF(ENTRADAS!D109:D417,B102,ENTRADAS!H109:H417)</f>
        <v>0</v>
      </c>
      <c r="G102" s="43"/>
    </row>
    <row r="103" spans="2:7" ht="15.75" customHeight="1">
      <c r="B103" s="46"/>
      <c r="C103" s="47"/>
      <c r="D103" s="47"/>
      <c r="E103" s="48"/>
      <c r="F103" s="62">
        <f>SUMIF(ENTRADAS!D110:D418,B103,ENTRADAS!H110:H418)</f>
        <v>0</v>
      </c>
      <c r="G103" s="43"/>
    </row>
    <row r="104" spans="2:7" ht="15.75" customHeight="1">
      <c r="B104" s="46"/>
      <c r="C104" s="47"/>
      <c r="D104" s="47"/>
      <c r="E104" s="48"/>
      <c r="F104" s="62">
        <f>SUMIF(ENTRADAS!D111:D419,B104,ENTRADAS!H111:H419)</f>
        <v>0</v>
      </c>
      <c r="G104" s="43"/>
    </row>
    <row r="105" spans="2:7" ht="15.75" customHeight="1">
      <c r="B105" s="46"/>
      <c r="C105" s="47"/>
      <c r="D105" s="47"/>
      <c r="E105" s="48"/>
      <c r="F105" s="62">
        <f>SUMIF(ENTRADAS!D112:D420,B105,ENTRADAS!H112:H420)</f>
        <v>0</v>
      </c>
      <c r="G105" s="43"/>
    </row>
    <row r="106" spans="2:7" ht="15.75" customHeight="1">
      <c r="B106" s="46"/>
      <c r="C106" s="47"/>
      <c r="D106" s="47"/>
      <c r="E106" s="48"/>
      <c r="F106" s="62">
        <f>SUMIF(ENTRADAS!D113:D421,B106,ENTRADAS!H113:H421)</f>
        <v>0</v>
      </c>
      <c r="G106" s="43"/>
    </row>
    <row r="107" spans="2:7" ht="15.75" customHeight="1">
      <c r="B107" s="46"/>
      <c r="C107" s="47"/>
      <c r="D107" s="47"/>
      <c r="E107" s="48"/>
      <c r="F107" s="62">
        <f>SUMIF(ENTRADAS!D114:D422,B107,ENTRADAS!H114:H422)</f>
        <v>0</v>
      </c>
      <c r="G107" s="43"/>
    </row>
    <row r="108" spans="2:7" ht="15.75" customHeight="1">
      <c r="B108" s="46"/>
      <c r="C108" s="47"/>
      <c r="D108" s="47"/>
      <c r="E108" s="48"/>
      <c r="F108" s="62">
        <f>SUMIF(ENTRADAS!D115:D423,B108,ENTRADAS!H115:H423)</f>
        <v>0</v>
      </c>
      <c r="G108" s="43"/>
    </row>
    <row r="109" spans="2:7" ht="15.75" customHeight="1">
      <c r="B109" s="46"/>
      <c r="C109" s="47"/>
      <c r="D109" s="47"/>
      <c r="E109" s="48"/>
      <c r="F109" s="62">
        <f>SUMIF(ENTRADAS!D116:D424,B109,ENTRADAS!H116:H424)</f>
        <v>0</v>
      </c>
      <c r="G109" s="43"/>
    </row>
    <row r="110" spans="2:7" ht="15.75" customHeight="1">
      <c r="B110" s="46"/>
      <c r="C110" s="47"/>
      <c r="D110" s="47"/>
      <c r="E110" s="48"/>
      <c r="F110" s="62">
        <f>SUMIF(ENTRADAS!D117:D425,B110,ENTRADAS!H117:H425)</f>
        <v>0</v>
      </c>
      <c r="G110" s="43"/>
    </row>
    <row r="111" spans="2:7" ht="15.75" customHeight="1">
      <c r="B111" s="46"/>
      <c r="C111" s="47"/>
      <c r="D111" s="47"/>
      <c r="E111" s="48"/>
      <c r="F111" s="62">
        <f>SUMIF(ENTRADAS!D118:D426,B111,ENTRADAS!H118:H426)</f>
        <v>0</v>
      </c>
      <c r="G111" s="43"/>
    </row>
    <row r="112" spans="2:7" ht="15.75" customHeight="1">
      <c r="B112" s="46"/>
      <c r="C112" s="47"/>
      <c r="D112" s="47"/>
      <c r="E112" s="48"/>
      <c r="F112" s="62">
        <f>SUMIF(ENTRADAS!D119:D427,B112,ENTRADAS!H119:H427)</f>
        <v>0</v>
      </c>
      <c r="G112" s="43"/>
    </row>
    <row r="113" spans="2:7" ht="15.75" customHeight="1">
      <c r="B113" s="46"/>
      <c r="C113" s="47"/>
      <c r="D113" s="47"/>
      <c r="E113" s="48"/>
      <c r="F113" s="62">
        <f>SUMIF(ENTRADAS!D120:D428,B113,ENTRADAS!H120:H428)</f>
        <v>0</v>
      </c>
      <c r="G113" s="43"/>
    </row>
    <row r="114" spans="2:7" ht="15.75" customHeight="1">
      <c r="B114" s="46"/>
      <c r="C114" s="47"/>
      <c r="D114" s="47"/>
      <c r="E114" s="48"/>
      <c r="F114" s="62">
        <f>SUMIF(ENTRADAS!D121:D429,B114,ENTRADAS!H121:H429)</f>
        <v>0</v>
      </c>
      <c r="G114" s="43"/>
    </row>
    <row r="115" spans="2:7" ht="15.75" customHeight="1">
      <c r="B115" s="46"/>
      <c r="C115" s="47"/>
      <c r="D115" s="47"/>
      <c r="E115" s="48"/>
      <c r="F115" s="62">
        <f>SUMIF(ENTRADAS!D122:D430,B115,ENTRADAS!H122:H430)</f>
        <v>0</v>
      </c>
      <c r="G115" s="43"/>
    </row>
    <row r="116" spans="2:7" ht="15.75" customHeight="1">
      <c r="B116" s="46"/>
      <c r="C116" s="47"/>
      <c r="D116" s="47"/>
      <c r="E116" s="48"/>
      <c r="F116" s="62">
        <f>SUMIF(ENTRADAS!D123:D431,B116,ENTRADAS!H123:H431)</f>
        <v>0</v>
      </c>
      <c r="G116" s="43"/>
    </row>
    <row r="117" spans="2:7" ht="15.75" customHeight="1">
      <c r="B117" s="46"/>
      <c r="C117" s="47"/>
      <c r="D117" s="47"/>
      <c r="E117" s="48"/>
      <c r="F117" s="62">
        <f>SUMIF(ENTRADAS!D124:D432,B117,ENTRADAS!H124:H432)</f>
        <v>0</v>
      </c>
      <c r="G117" s="43"/>
    </row>
    <row r="118" spans="2:7" ht="15.75" customHeight="1">
      <c r="B118" s="46"/>
      <c r="C118" s="47"/>
      <c r="D118" s="47"/>
      <c r="E118" s="48"/>
      <c r="F118" s="62">
        <f>SUMIF(ENTRADAS!D126:D433,B118,ENTRADAS!H126:H433)</f>
        <v>0</v>
      </c>
      <c r="G118" s="43"/>
    </row>
    <row r="119" spans="2:7" ht="15.75" customHeight="1">
      <c r="B119" s="46"/>
      <c r="C119" s="47"/>
      <c r="D119" s="47"/>
      <c r="E119" s="48"/>
      <c r="F119" s="62">
        <f>SUMIF(ENTRADAS!D127:D434,B119,ENTRADAS!H127:H434)</f>
        <v>0</v>
      </c>
      <c r="G119" s="43"/>
    </row>
    <row r="120" spans="2:7" ht="15.75" customHeight="1">
      <c r="B120" s="46"/>
      <c r="C120" s="47"/>
      <c r="D120" s="47"/>
      <c r="E120" s="48"/>
      <c r="F120" s="62">
        <f>SUMIF(ENTRADAS!D128:D435,B120,ENTRADAS!H128:H435)</f>
        <v>0</v>
      </c>
      <c r="G120" s="43"/>
    </row>
    <row r="121" spans="2:7" ht="15.75" customHeight="1">
      <c r="B121" s="46"/>
      <c r="C121" s="47"/>
      <c r="D121" s="47"/>
      <c r="E121" s="48"/>
      <c r="F121" s="62">
        <f>SUMIF(ENTRADAS!D129:D436,B121,ENTRADAS!H129:H436)</f>
        <v>0</v>
      </c>
      <c r="G121" s="43"/>
    </row>
    <row r="122" spans="2:7" ht="15.75" customHeight="1">
      <c r="B122" s="46"/>
      <c r="C122" s="47"/>
      <c r="D122" s="47"/>
      <c r="E122" s="48"/>
      <c r="F122" s="62">
        <f>SUMIF(ENTRADAS!D130:D437,B122,ENTRADAS!H130:H437)</f>
        <v>0</v>
      </c>
      <c r="G122" s="43"/>
    </row>
    <row r="123" spans="2:7" ht="15.75" customHeight="1">
      <c r="B123" s="46"/>
      <c r="C123" s="47"/>
      <c r="D123" s="47"/>
      <c r="E123" s="48"/>
      <c r="F123" s="62">
        <f>SUMIF(ENTRADAS!D131:D438,B123,ENTRADAS!H131:H438)</f>
        <v>0</v>
      </c>
      <c r="G123" s="43"/>
    </row>
    <row r="124" spans="2:7" ht="15.75" customHeight="1">
      <c r="B124" s="46"/>
      <c r="C124" s="47"/>
      <c r="D124" s="47"/>
      <c r="E124" s="48"/>
      <c r="F124" s="62">
        <f>SUMIF(ENTRADAS!D132:D439,B124,ENTRADAS!H132:H439)</f>
        <v>0</v>
      </c>
      <c r="G124" s="43"/>
    </row>
    <row r="125" spans="2:7" ht="15.75" customHeight="1">
      <c r="B125" s="46"/>
      <c r="C125" s="47"/>
      <c r="D125" s="47"/>
      <c r="E125" s="48"/>
      <c r="F125" s="62">
        <f>SUMIF(ENTRADAS!D133:D440,B125,ENTRADAS!H133:H440)</f>
        <v>0</v>
      </c>
      <c r="G125" s="43"/>
    </row>
    <row r="126" spans="2:7" ht="15.75" customHeight="1">
      <c r="B126" s="46"/>
      <c r="C126" s="47"/>
      <c r="D126" s="47"/>
      <c r="E126" s="48"/>
      <c r="F126" s="62">
        <f>SUMIF(ENTRADAS!D134:D441,B126,ENTRADAS!H134:H441)</f>
        <v>0</v>
      </c>
      <c r="G126" s="43"/>
    </row>
    <row r="127" spans="2:7" ht="15.75" customHeight="1">
      <c r="B127" s="46"/>
      <c r="C127" s="47"/>
      <c r="D127" s="47"/>
      <c r="E127" s="48"/>
      <c r="F127" s="62">
        <f>SUMIF(ENTRADAS!D135:D442,B127,ENTRADAS!H135:H442)</f>
        <v>0</v>
      </c>
      <c r="G127" s="43"/>
    </row>
    <row r="128" spans="2:7" ht="15.75" customHeight="1">
      <c r="B128" s="46"/>
      <c r="C128" s="47"/>
      <c r="D128" s="47"/>
      <c r="E128" s="48"/>
      <c r="F128" s="62">
        <f>SUMIF(ENTRADAS!D136:D443,B128,ENTRADAS!H136:H443)</f>
        <v>0</v>
      </c>
      <c r="G128" s="43"/>
    </row>
    <row r="129" spans="2:7" ht="15.75" customHeight="1">
      <c r="B129" s="46"/>
      <c r="C129" s="47"/>
      <c r="D129" s="47"/>
      <c r="E129" s="48"/>
      <c r="F129" s="62">
        <f>SUMIF(ENTRADAS!D137:D444,B129,ENTRADAS!H137:H444)</f>
        <v>0</v>
      </c>
      <c r="G129" s="43"/>
    </row>
    <row r="130" spans="2:7" ht="15.75" customHeight="1">
      <c r="B130" s="49"/>
      <c r="C130" s="50"/>
      <c r="D130" s="50"/>
      <c r="E130" s="51"/>
      <c r="F130" s="63">
        <f>SUMIF(ENTRADAS!D138:D445,B130,ENTRADAS!H138:H445)</f>
        <v>0</v>
      </c>
      <c r="G130" s="43"/>
    </row>
    <row r="131" spans="2:7" ht="15.75" customHeight="1">
      <c r="F131" s="53"/>
    </row>
    <row r="132" spans="2:7" ht="15.75" customHeight="1"/>
    <row r="133" spans="2:7" ht="15.75" customHeight="1"/>
    <row r="134" spans="2:7" ht="15.75" customHeight="1"/>
    <row r="135" spans="2:7" ht="15.75" customHeight="1"/>
    <row r="136" spans="2:7" ht="15.75" customHeight="1"/>
    <row r="137" spans="2:7" ht="15.75" customHeight="1"/>
    <row r="138" spans="2:7" ht="15.75" customHeight="1"/>
    <row r="139" spans="2:7" ht="15.75" customHeight="1"/>
    <row r="140" spans="2:7" ht="15.75" customHeight="1"/>
    <row r="141" spans="2:7" ht="15.75" customHeight="1"/>
    <row r="142" spans="2:7" ht="15.75" customHeight="1"/>
    <row r="143" spans="2:7" ht="15.75" customHeight="1"/>
    <row r="144" spans="2:7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D12">
    <cfRule type="notContainsBlanks" dxfId="6" priority="1">
      <formula>LEN(TRIM(D12))&gt;0</formula>
    </cfRule>
  </conditionalFormatting>
  <hyperlinks>
    <hyperlink ref="G1" location="'Instruções'!A1" display="Dúvidas?"/>
    <hyperlink ref="B4" location="PROD!A1" display="PRODUTOS"/>
  </hyperlinks>
  <pageMargins left="0.511811024" right="0.511811024" top="0.78740157499999996" bottom="0.78740157499999996" header="0" footer="0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Z1095"/>
  <sheetViews>
    <sheetView showGridLines="0" topLeftCell="A286" zoomScaleNormal="100" workbookViewId="0">
      <selection activeCell="B295" sqref="B295"/>
    </sheetView>
  </sheetViews>
  <sheetFormatPr defaultColWidth="14.42578125" defaultRowHeight="15" customHeight="1"/>
  <cols>
    <col min="1" max="1" width="14.42578125" customWidth="1"/>
    <col min="2" max="2" width="43.28515625" bestFit="1" customWidth="1"/>
    <col min="3" max="3" width="21.5703125" customWidth="1"/>
    <col min="4" max="4" width="26.140625" customWidth="1"/>
    <col min="5" max="6" width="22.85546875" customWidth="1"/>
    <col min="7" max="7" width="24.42578125" customWidth="1"/>
    <col min="8" max="8" width="25.28515625" customWidth="1"/>
    <col min="9" max="26" width="8.7109375" customWidth="1"/>
  </cols>
  <sheetData>
    <row r="1" spans="1:26" ht="48.75" customHeight="1">
      <c r="A1" s="21"/>
      <c r="B1" s="22" t="s">
        <v>22</v>
      </c>
      <c r="C1" s="22"/>
      <c r="D1" s="4"/>
      <c r="E1" s="2"/>
      <c r="F1" s="2"/>
      <c r="G1" s="23"/>
      <c r="I1" s="24" t="s">
        <v>23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3.75" customHeight="1">
      <c r="A2" s="13"/>
      <c r="B2" s="13"/>
      <c r="C2" s="13"/>
      <c r="D2" s="13"/>
      <c r="E2" s="13"/>
      <c r="F2" s="13"/>
      <c r="G2" s="25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 spans="1:26" ht="15" customHeight="1">
      <c r="G3" s="26"/>
    </row>
    <row r="4" spans="1:26" ht="15" customHeight="1">
      <c r="B4" s="27" t="s">
        <v>24</v>
      </c>
      <c r="C4" s="28" t="s">
        <v>25</v>
      </c>
      <c r="G4" s="29" t="s">
        <v>26</v>
      </c>
    </row>
    <row r="5" spans="1:26" ht="15" customHeight="1" thickBot="1">
      <c r="B5" s="30"/>
      <c r="C5" s="31"/>
      <c r="D5" s="31"/>
      <c r="E5" s="31"/>
      <c r="F5" s="31"/>
      <c r="G5" s="31"/>
    </row>
    <row r="6" spans="1:26" ht="37.5" customHeight="1" thickBot="1">
      <c r="A6" s="32"/>
      <c r="B6" s="33" t="s">
        <v>27</v>
      </c>
      <c r="C6" s="33" t="s">
        <v>28</v>
      </c>
      <c r="D6" s="33" t="s">
        <v>29</v>
      </c>
      <c r="E6" s="33" t="s">
        <v>30</v>
      </c>
      <c r="F6" s="33" t="s">
        <v>31</v>
      </c>
      <c r="G6" s="33" t="s">
        <v>32</v>
      </c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</row>
    <row r="7" spans="1:26" ht="15.75" thickBot="1">
      <c r="B7" s="115" t="s">
        <v>66</v>
      </c>
      <c r="C7" s="35"/>
      <c r="D7" s="35"/>
      <c r="E7" s="36"/>
      <c r="F7" s="37"/>
      <c r="G7" s="38"/>
      <c r="H7" s="39">
        <f t="array" ref="H7">IFERROR(INDEX($B$3:$D$14,SMALL(IF($B$3:$B$14=$F$3,ROW($B$3:$B$14)-ROW($B$2)),ROW(1:1)),3),"")</f>
        <v>0</v>
      </c>
    </row>
    <row r="8" spans="1:26" s="113" customFormat="1">
      <c r="B8" s="97" t="s">
        <v>92</v>
      </c>
      <c r="C8" s="35">
        <v>1</v>
      </c>
      <c r="D8" s="35" t="s">
        <v>62</v>
      </c>
      <c r="E8" s="36"/>
      <c r="F8" s="37" t="e">
        <f>AVERAGEIF(ENTRADAS!$C$7:C324,$B8,ENTRADAS!$F$7:F324)</f>
        <v>#DIV/0!</v>
      </c>
      <c r="G8" s="38">
        <f>VLOOKUP(PROD!$B8,ENTRADAS!$C$7:$H$323,5,0)</f>
        <v>0</v>
      </c>
      <c r="H8" s="39"/>
    </row>
    <row r="9" spans="1:26">
      <c r="B9" s="97" t="s">
        <v>93</v>
      </c>
      <c r="C9" s="41">
        <v>2</v>
      </c>
      <c r="D9" s="41" t="s">
        <v>62</v>
      </c>
      <c r="E9" s="45"/>
      <c r="F9" s="37" t="e">
        <f>AVERAGEIF(ENTRADAS!$C$7:C324,$B9,ENTRADAS!$F$7:F324)</f>
        <v>#DIV/0!</v>
      </c>
      <c r="G9" s="42">
        <f>VLOOKUP(PROD!$B9,ENTRADAS!$C$7:$H$323,5,0)</f>
        <v>0</v>
      </c>
      <c r="H9" s="43"/>
    </row>
    <row r="10" spans="1:26">
      <c r="B10" s="97" t="s">
        <v>94</v>
      </c>
      <c r="C10" s="41">
        <v>3</v>
      </c>
      <c r="D10" s="41" t="s">
        <v>62</v>
      </c>
      <c r="E10" s="99"/>
      <c r="F10" s="37" t="e">
        <f>AVERAGEIF(ENTRADAS!$C$7:C325,$B10,ENTRADAS!$F$7:F325)</f>
        <v>#DIV/0!</v>
      </c>
      <c r="G10" s="42">
        <f>VLOOKUP(PROD!$B10,ENTRADAS!$C$7:$H$323,5,0)</f>
        <v>0</v>
      </c>
      <c r="H10" s="43"/>
    </row>
    <row r="11" spans="1:26">
      <c r="B11" s="97" t="s">
        <v>95</v>
      </c>
      <c r="C11" s="41">
        <v>4</v>
      </c>
      <c r="D11" s="41" t="s">
        <v>62</v>
      </c>
      <c r="E11" s="99"/>
      <c r="F11" s="37" t="e">
        <f>AVERAGEIF(ENTRADAS!$C$7:C326,$B11,ENTRADAS!$F$7:F326)</f>
        <v>#DIV/0!</v>
      </c>
      <c r="G11" s="42">
        <f>VLOOKUP(PROD!$B11,ENTRADAS!$C$7:$H$323,5,0)</f>
        <v>0</v>
      </c>
      <c r="H11" s="43"/>
    </row>
    <row r="12" spans="1:26">
      <c r="B12" s="97" t="s">
        <v>96</v>
      </c>
      <c r="C12" s="41">
        <v>5</v>
      </c>
      <c r="D12" s="41" t="s">
        <v>62</v>
      </c>
      <c r="E12" s="99"/>
      <c r="F12" s="37" t="e">
        <f>AVERAGEIF(ENTRADAS!$C$7:C327,$B12,ENTRADAS!$F$7:F327)</f>
        <v>#DIV/0!</v>
      </c>
      <c r="G12" s="42">
        <f>VLOOKUP(PROD!$B12,ENTRADAS!$C$7:$H$323,5,0)</f>
        <v>0</v>
      </c>
      <c r="H12" s="43"/>
    </row>
    <row r="13" spans="1:26">
      <c r="B13" s="97" t="s">
        <v>97</v>
      </c>
      <c r="C13" s="41">
        <v>6</v>
      </c>
      <c r="D13" s="41" t="s">
        <v>62</v>
      </c>
      <c r="E13" s="99"/>
      <c r="F13" s="37" t="e">
        <f>AVERAGEIF(ENTRADAS!$C$7:C328,$B13,ENTRADAS!$F$7:F328)</f>
        <v>#DIV/0!</v>
      </c>
      <c r="G13" s="42">
        <f>VLOOKUP(PROD!$B13,ENTRADAS!$C$7:$H$323,5,0)</f>
        <v>0</v>
      </c>
      <c r="H13" s="43"/>
    </row>
    <row r="14" spans="1:26">
      <c r="B14" s="97" t="s">
        <v>98</v>
      </c>
      <c r="C14" s="41">
        <v>7</v>
      </c>
      <c r="D14" s="41" t="s">
        <v>62</v>
      </c>
      <c r="E14" s="99"/>
      <c r="F14" s="37" t="e">
        <f>AVERAGEIF(ENTRADAS!$C$7:C329,$B14,ENTRADAS!$F$7:F329)</f>
        <v>#DIV/0!</v>
      </c>
      <c r="G14" s="42">
        <f>VLOOKUP(PROD!$B14,ENTRADAS!$C$7:$H$323,5,0)</f>
        <v>0</v>
      </c>
      <c r="H14" s="43"/>
    </row>
    <row r="15" spans="1:26" s="119" customFormat="1">
      <c r="B15" s="97" t="s">
        <v>231</v>
      </c>
      <c r="C15" s="41"/>
      <c r="D15" s="41" t="s">
        <v>62</v>
      </c>
      <c r="E15" s="99"/>
      <c r="F15" s="37"/>
      <c r="G15" s="42"/>
      <c r="H15" s="43"/>
    </row>
    <row r="16" spans="1:26" s="113" customFormat="1">
      <c r="B16" s="106" t="s">
        <v>67</v>
      </c>
      <c r="C16" s="41"/>
      <c r="D16" s="41" t="s">
        <v>62</v>
      </c>
      <c r="E16" s="99"/>
      <c r="F16" s="37"/>
      <c r="G16" s="42"/>
      <c r="H16" s="43"/>
    </row>
    <row r="17" spans="2:8">
      <c r="B17" s="97" t="s">
        <v>99</v>
      </c>
      <c r="C17" s="41">
        <v>8</v>
      </c>
      <c r="D17" s="41" t="s">
        <v>62</v>
      </c>
      <c r="E17" s="99"/>
      <c r="F17" s="37" t="e">
        <f>AVERAGEIF(ENTRADAS!$C$7:C330,$B17,ENTRADAS!$F$7:F330)</f>
        <v>#DIV/0!</v>
      </c>
      <c r="G17" s="42">
        <f>VLOOKUP(PROD!$B17,ENTRADAS!$C$7:$H$323,5,0)</f>
        <v>0</v>
      </c>
      <c r="H17" s="43"/>
    </row>
    <row r="18" spans="2:8">
      <c r="B18" s="97" t="s">
        <v>100</v>
      </c>
      <c r="C18" s="41">
        <v>9</v>
      </c>
      <c r="D18" s="41" t="s">
        <v>62</v>
      </c>
      <c r="E18" s="99"/>
      <c r="F18" s="37" t="e">
        <f>AVERAGEIF(ENTRADAS!$C$7:C331,$B18,ENTRADAS!$F$7:F331)</f>
        <v>#DIV/0!</v>
      </c>
      <c r="G18" s="42">
        <f>VLOOKUP(PROD!$B18,ENTRADAS!$C$7:$H$323,5,0)</f>
        <v>0</v>
      </c>
      <c r="H18" s="43"/>
    </row>
    <row r="19" spans="2:8">
      <c r="B19" s="110" t="s">
        <v>101</v>
      </c>
      <c r="C19" s="41">
        <v>10</v>
      </c>
      <c r="D19" s="41" t="s">
        <v>62</v>
      </c>
      <c r="E19" s="99"/>
      <c r="F19" s="37" t="e">
        <f>AVERAGEIF(ENTRADAS!$C$7:C332,$B19,ENTRADAS!$F$7:F332)</f>
        <v>#DIV/0!</v>
      </c>
      <c r="G19" s="42">
        <f>VLOOKUP(PROD!$B19,ENTRADAS!$C$7:$H$323,5,0)</f>
        <v>0</v>
      </c>
      <c r="H19" s="43"/>
    </row>
    <row r="20" spans="2:8">
      <c r="B20" s="97" t="s">
        <v>102</v>
      </c>
      <c r="C20" s="41">
        <v>11</v>
      </c>
      <c r="D20" s="41" t="s">
        <v>62</v>
      </c>
      <c r="E20" s="99"/>
      <c r="F20" s="37" t="e">
        <f>AVERAGEIF(ENTRADAS!$C$7:C333,$B20,ENTRADAS!$F$7:F333)</f>
        <v>#DIV/0!</v>
      </c>
      <c r="G20" s="42">
        <f>VLOOKUP(PROD!$B20,ENTRADAS!$C$7:$H$323,5,0)</f>
        <v>0</v>
      </c>
      <c r="H20" s="43"/>
    </row>
    <row r="21" spans="2:8">
      <c r="B21" s="97" t="s">
        <v>103</v>
      </c>
      <c r="C21" s="98">
        <v>12</v>
      </c>
      <c r="D21" s="41" t="s">
        <v>62</v>
      </c>
      <c r="E21" s="99"/>
      <c r="F21" s="37" t="e">
        <f>AVERAGEIF(ENTRADAS!$C$7:C334,$B21,ENTRADAS!$F$7:F334)</f>
        <v>#DIV/0!</v>
      </c>
      <c r="G21" s="42">
        <f>VLOOKUP(PROD!$B21,ENTRADAS!$C$7:$H$323,5,0)</f>
        <v>0</v>
      </c>
      <c r="H21" s="43"/>
    </row>
    <row r="22" spans="2:8">
      <c r="B22" s="97" t="s">
        <v>104</v>
      </c>
      <c r="C22" s="98">
        <v>13</v>
      </c>
      <c r="D22" s="41" t="s">
        <v>62</v>
      </c>
      <c r="E22" s="99"/>
      <c r="F22" s="37" t="e">
        <f>AVERAGEIF(ENTRADAS!$C$7:C335,$B22,ENTRADAS!$F$7:F335)</f>
        <v>#DIV/0!</v>
      </c>
      <c r="G22" s="42">
        <f>VLOOKUP(PROD!$B22,ENTRADAS!$C$7:$H$323,5,0)</f>
        <v>0</v>
      </c>
      <c r="H22" s="43"/>
    </row>
    <row r="23" spans="2:8" ht="15.75" customHeight="1">
      <c r="B23" s="97" t="s">
        <v>105</v>
      </c>
      <c r="C23" s="98">
        <v>14</v>
      </c>
      <c r="D23" s="41" t="s">
        <v>62</v>
      </c>
      <c r="E23" s="99"/>
      <c r="F23" s="37" t="e">
        <f>AVERAGEIF(ENTRADAS!$C$7:C336,$B23,ENTRADAS!$F$7:F336)</f>
        <v>#DIV/0!</v>
      </c>
      <c r="G23" s="42">
        <f>VLOOKUP(PROD!$B23,ENTRADAS!$C$7:$H$323,5,0)</f>
        <v>0</v>
      </c>
      <c r="H23" s="43"/>
    </row>
    <row r="24" spans="2:8" s="119" customFormat="1" ht="15.75" customHeight="1">
      <c r="B24" s="97" t="s">
        <v>231</v>
      </c>
      <c r="C24" s="98"/>
      <c r="D24" s="41" t="s">
        <v>62</v>
      </c>
      <c r="E24" s="99"/>
      <c r="F24" s="37"/>
      <c r="G24" s="42"/>
      <c r="H24" s="43"/>
    </row>
    <row r="25" spans="2:8" s="113" customFormat="1" ht="15.75" customHeight="1">
      <c r="B25" s="106" t="s">
        <v>68</v>
      </c>
      <c r="C25" s="98"/>
      <c r="D25" s="41" t="s">
        <v>62</v>
      </c>
      <c r="E25" s="99"/>
      <c r="F25" s="37"/>
      <c r="G25" s="42"/>
      <c r="H25" s="43"/>
    </row>
    <row r="26" spans="2:8" s="131" customFormat="1" ht="15.75" customHeight="1">
      <c r="B26" s="97" t="s">
        <v>262</v>
      </c>
      <c r="C26" s="98">
        <v>15</v>
      </c>
      <c r="D26" s="41" t="s">
        <v>62</v>
      </c>
      <c r="E26" s="99"/>
      <c r="F26" s="37" t="e">
        <f>AVERAGEIF(ENTRADAS!$C$7:C336,$B26,ENTRADAS!$F$7:F336)</f>
        <v>#DIV/0!</v>
      </c>
      <c r="G26" s="42">
        <f>VLOOKUP(PROD!$B26,ENTRADAS!$C$7:$H$323,5,0)</f>
        <v>0</v>
      </c>
      <c r="H26" s="137"/>
    </row>
    <row r="27" spans="2:8" ht="15.75" customHeight="1">
      <c r="B27" s="97" t="s">
        <v>106</v>
      </c>
      <c r="C27" s="98">
        <v>15</v>
      </c>
      <c r="D27" s="41" t="s">
        <v>62</v>
      </c>
      <c r="E27" s="99"/>
      <c r="F27" s="37" t="e">
        <f>AVERAGEIF(ENTRADAS!$C$7:C337,$B27,ENTRADAS!$F$7:F337)</f>
        <v>#DIV/0!</v>
      </c>
      <c r="G27" s="42">
        <f>VLOOKUP(PROD!$B27,ENTRADAS!$C$7:$H$323,5,0)</f>
        <v>0</v>
      </c>
      <c r="H27" s="43"/>
    </row>
    <row r="28" spans="2:8" ht="15.75" customHeight="1">
      <c r="B28" s="97" t="s">
        <v>107</v>
      </c>
      <c r="C28" s="98">
        <v>16</v>
      </c>
      <c r="D28" s="41" t="s">
        <v>62</v>
      </c>
      <c r="E28" s="99"/>
      <c r="F28" s="37" t="e">
        <f>AVERAGEIF(ENTRADAS!$C$7:C338,$B28,ENTRADAS!$F$7:F338)</f>
        <v>#DIV/0!</v>
      </c>
      <c r="G28" s="42">
        <f>VLOOKUP(PROD!$B28,ENTRADAS!$C$7:$H$323,5,0)</f>
        <v>0</v>
      </c>
      <c r="H28" s="43"/>
    </row>
    <row r="29" spans="2:8" ht="15.75" customHeight="1">
      <c r="B29" s="97" t="s">
        <v>108</v>
      </c>
      <c r="C29" s="98">
        <v>17</v>
      </c>
      <c r="D29" s="41" t="s">
        <v>62</v>
      </c>
      <c r="E29" s="99"/>
      <c r="F29" s="37" t="e">
        <f>AVERAGEIF(ENTRADAS!$C$7:C339,$B29,ENTRADAS!$F$7:F339)</f>
        <v>#DIV/0!</v>
      </c>
      <c r="G29" s="42">
        <f>VLOOKUP(PROD!$B29,ENTRADAS!$C$7:$H$323,5,0)</f>
        <v>0</v>
      </c>
      <c r="H29" s="43"/>
    </row>
    <row r="30" spans="2:8" ht="15.75" customHeight="1">
      <c r="B30" s="97" t="s">
        <v>109</v>
      </c>
      <c r="C30" s="98">
        <v>18</v>
      </c>
      <c r="D30" s="41" t="s">
        <v>62</v>
      </c>
      <c r="E30" s="99"/>
      <c r="F30" s="37" t="e">
        <f>AVERAGEIF(ENTRADAS!$C$7:C340,$B30,ENTRADAS!$F$7:F340)</f>
        <v>#DIV/0!</v>
      </c>
      <c r="G30" s="42">
        <f>VLOOKUP(PROD!$B30,ENTRADAS!$C$7:$H$323,5,0)</f>
        <v>0</v>
      </c>
      <c r="H30" s="43"/>
    </row>
    <row r="31" spans="2:8" ht="15.75" customHeight="1">
      <c r="B31" s="97" t="s">
        <v>110</v>
      </c>
      <c r="C31" s="98">
        <v>19</v>
      </c>
      <c r="D31" s="41" t="s">
        <v>62</v>
      </c>
      <c r="E31" s="99"/>
      <c r="F31" s="37" t="e">
        <f>AVERAGEIF(ENTRADAS!$C$7:C341,$B31,ENTRADAS!$F$7:F341)</f>
        <v>#DIV/0!</v>
      </c>
      <c r="G31" s="42">
        <f>VLOOKUP(PROD!$B31,ENTRADAS!$C$7:$H$323,5,0)</f>
        <v>0</v>
      </c>
      <c r="H31" s="43"/>
    </row>
    <row r="32" spans="2:8" ht="15.75" customHeight="1">
      <c r="B32" s="97" t="s">
        <v>111</v>
      </c>
      <c r="C32" s="98">
        <v>20</v>
      </c>
      <c r="D32" s="41" t="s">
        <v>62</v>
      </c>
      <c r="E32" s="99"/>
      <c r="F32" s="37" t="e">
        <f>AVERAGEIF(ENTRADAS!$C$7:C342,$B32,ENTRADAS!$F$7:F342)</f>
        <v>#DIV/0!</v>
      </c>
      <c r="G32" s="42">
        <f>VLOOKUP(PROD!$B32,ENTRADAS!$C$7:$H$323,5,0)</f>
        <v>0</v>
      </c>
      <c r="H32" s="43"/>
    </row>
    <row r="33" spans="2:8" ht="15.75" customHeight="1">
      <c r="B33" s="97" t="s">
        <v>112</v>
      </c>
      <c r="C33" s="98">
        <v>21</v>
      </c>
      <c r="D33" s="41" t="s">
        <v>62</v>
      </c>
      <c r="E33" s="99"/>
      <c r="F33" s="37" t="e">
        <f>AVERAGEIF(ENTRADAS!$C$7:C343,$B33,ENTRADAS!$F$7:F343)</f>
        <v>#DIV/0!</v>
      </c>
      <c r="G33" s="42">
        <f>VLOOKUP(PROD!$B33,ENTRADAS!$C$7:$H$323,5,0)</f>
        <v>0</v>
      </c>
      <c r="H33" s="43"/>
    </row>
    <row r="34" spans="2:8" s="131" customFormat="1" ht="15.75" customHeight="1">
      <c r="B34" s="97" t="s">
        <v>261</v>
      </c>
      <c r="C34" s="98">
        <v>21</v>
      </c>
      <c r="D34" s="41" t="s">
        <v>62</v>
      </c>
      <c r="E34" s="99"/>
      <c r="F34" s="37" t="e">
        <f>AVERAGEIF(ENTRADAS!$C$7:C344,$B34,ENTRADAS!$F$7:F344)</f>
        <v>#DIV/0!</v>
      </c>
      <c r="G34" s="42">
        <f>VLOOKUP(PROD!$B34,ENTRADAS!$C$7:$H$323,5,0)</f>
        <v>0</v>
      </c>
      <c r="H34" s="137"/>
    </row>
    <row r="35" spans="2:8" s="131" customFormat="1" ht="15.75" customHeight="1">
      <c r="B35" s="97" t="s">
        <v>324</v>
      </c>
      <c r="C35" s="98">
        <v>21</v>
      </c>
      <c r="D35" s="41" t="s">
        <v>62</v>
      </c>
      <c r="E35" s="99"/>
      <c r="F35" s="37" t="e">
        <f>AVERAGEIF(ENTRADAS!$C$7:C345,$B35,ENTRADAS!$F$7:F345)</f>
        <v>#DIV/0!</v>
      </c>
      <c r="G35" s="42" t="e">
        <f>VLOOKUP(PROD!$B35,ENTRADAS!$C$7:$H$323,5,0)</f>
        <v>#N/A</v>
      </c>
      <c r="H35" s="137"/>
    </row>
    <row r="36" spans="2:8" s="131" customFormat="1" ht="15.75" customHeight="1">
      <c r="B36" s="97" t="s">
        <v>325</v>
      </c>
      <c r="C36" s="98">
        <v>21</v>
      </c>
      <c r="D36" s="41" t="s">
        <v>62</v>
      </c>
      <c r="E36" s="99"/>
      <c r="F36" s="37" t="e">
        <f>AVERAGEIF(ENTRADAS!$C$7:C346,$B36,ENTRADAS!$F$7:F346)</f>
        <v>#DIV/0!</v>
      </c>
      <c r="G36" s="42">
        <f>VLOOKUP(PROD!$B36,ENTRADAS!$C$7:$H$323,5,0)</f>
        <v>0</v>
      </c>
      <c r="H36" s="137"/>
    </row>
    <row r="37" spans="2:8" s="119" customFormat="1" ht="15.75" customHeight="1">
      <c r="B37" s="97" t="s">
        <v>231</v>
      </c>
      <c r="C37" s="98"/>
      <c r="D37" s="41" t="s">
        <v>62</v>
      </c>
      <c r="E37" s="99"/>
      <c r="F37" s="37"/>
      <c r="G37" s="42"/>
      <c r="H37" s="43"/>
    </row>
    <row r="38" spans="2:8" s="113" customFormat="1" ht="15.75" customHeight="1">
      <c r="B38" s="106" t="s">
        <v>90</v>
      </c>
      <c r="C38" s="98"/>
      <c r="D38" s="41" t="s">
        <v>62</v>
      </c>
      <c r="E38" s="99"/>
      <c r="F38" s="37"/>
      <c r="G38" s="42"/>
      <c r="H38" s="43"/>
    </row>
    <row r="39" spans="2:8" s="113" customFormat="1" ht="15.75" customHeight="1">
      <c r="B39" s="97" t="s">
        <v>113</v>
      </c>
      <c r="C39" s="98">
        <v>24</v>
      </c>
      <c r="D39" s="41" t="s">
        <v>62</v>
      </c>
      <c r="E39" s="99"/>
      <c r="F39" s="37" t="e">
        <f>AVERAGEIF(ENTRADAS!$C$7:C340,$B39,ENTRADAS!$F$7:F340)</f>
        <v>#DIV/0!</v>
      </c>
      <c r="G39" s="42">
        <f>VLOOKUP(PROD!$B39,ENTRADAS!$C$7:$H$323,5,0)</f>
        <v>0</v>
      </c>
      <c r="H39" s="43"/>
    </row>
    <row r="40" spans="2:8" s="129" customFormat="1" ht="15.75" customHeight="1">
      <c r="B40" s="97" t="s">
        <v>263</v>
      </c>
      <c r="C40" s="98">
        <v>26</v>
      </c>
      <c r="D40" s="41" t="s">
        <v>62</v>
      </c>
      <c r="E40" s="99"/>
      <c r="F40" s="37" t="e">
        <f>AVERAGEIF(ENTRADAS!$C$7:C339,$B40,ENTRADAS!$F$7:F339)</f>
        <v>#DIV/0!</v>
      </c>
      <c r="G40" s="42">
        <f>VLOOKUP(PROD!$B40,ENTRADAS!$C$7:$H$323,5,0)</f>
        <v>0</v>
      </c>
      <c r="H40" s="43"/>
    </row>
    <row r="41" spans="2:8" s="113" customFormat="1" ht="15.75" customHeight="1">
      <c r="B41" s="97" t="s">
        <v>114</v>
      </c>
      <c r="C41" s="98">
        <v>25</v>
      </c>
      <c r="D41" s="41" t="s">
        <v>62</v>
      </c>
      <c r="E41" s="99"/>
      <c r="F41" s="37" t="e">
        <f>AVERAGEIF(ENTRADAS!$C$7:C341,$B41,ENTRADAS!$F$7:F341)</f>
        <v>#DIV/0!</v>
      </c>
      <c r="G41" s="42">
        <f>VLOOKUP(PROD!$B41,ENTRADAS!$C$7:$H$323,5,0)</f>
        <v>0</v>
      </c>
      <c r="H41" s="43"/>
    </row>
    <row r="42" spans="2:8" s="129" customFormat="1" ht="15.75" customHeight="1">
      <c r="B42" s="97" t="s">
        <v>264</v>
      </c>
      <c r="C42" s="98">
        <v>26</v>
      </c>
      <c r="D42" s="41" t="s">
        <v>62</v>
      </c>
      <c r="E42" s="99"/>
      <c r="F42" s="37" t="e">
        <f>AVERAGEIF(ENTRADAS!$C$7:C341,$B42,ENTRADAS!$F$7:F341)</f>
        <v>#DIV/0!</v>
      </c>
      <c r="G42" s="42">
        <f>VLOOKUP(PROD!$B42,ENTRADAS!$C$7:$H$323,5,0)</f>
        <v>0</v>
      </c>
      <c r="H42" s="43"/>
    </row>
    <row r="43" spans="2:8" s="113" customFormat="1" ht="15.75" customHeight="1">
      <c r="B43" s="97" t="s">
        <v>115</v>
      </c>
      <c r="C43" s="98">
        <v>26</v>
      </c>
      <c r="D43" s="41" t="s">
        <v>62</v>
      </c>
      <c r="E43" s="99"/>
      <c r="F43" s="37" t="e">
        <f>AVERAGEIF(ENTRADAS!$C$7:C342,$B43,ENTRADAS!$F$7:F342)</f>
        <v>#DIV/0!</v>
      </c>
      <c r="G43" s="42">
        <f>VLOOKUP(PROD!$B43,ENTRADAS!$C$7:$H$323,5,0)</f>
        <v>0</v>
      </c>
      <c r="H43" s="43"/>
    </row>
    <row r="44" spans="2:8" s="129" customFormat="1" ht="15.75" customHeight="1">
      <c r="B44" s="97" t="s">
        <v>265</v>
      </c>
      <c r="C44" s="98">
        <v>26</v>
      </c>
      <c r="D44" s="41" t="s">
        <v>62</v>
      </c>
      <c r="E44" s="99"/>
      <c r="F44" s="37" t="e">
        <f>AVERAGEIF(ENTRADAS!$C$7:C343,$B44,ENTRADAS!$F$7:F343)</f>
        <v>#DIV/0!</v>
      </c>
      <c r="G44" s="42">
        <f>VLOOKUP(PROD!$B44,ENTRADAS!$C$7:$H$323,5,0)</f>
        <v>0</v>
      </c>
      <c r="H44" s="43"/>
    </row>
    <row r="45" spans="2:8" s="119" customFormat="1" ht="15.75" customHeight="1">
      <c r="B45" s="97" t="s">
        <v>231</v>
      </c>
      <c r="C45" s="98"/>
      <c r="D45" s="41" t="s">
        <v>62</v>
      </c>
      <c r="E45" s="99"/>
      <c r="F45" s="37"/>
      <c r="G45" s="42"/>
      <c r="H45" s="43"/>
    </row>
    <row r="46" spans="2:8" s="113" customFormat="1" ht="15.75" customHeight="1">
      <c r="B46" s="106" t="s">
        <v>69</v>
      </c>
      <c r="C46" s="98"/>
      <c r="D46" s="41" t="s">
        <v>62</v>
      </c>
      <c r="E46" s="99"/>
      <c r="F46" s="37"/>
      <c r="G46" s="42"/>
      <c r="H46" s="43"/>
    </row>
    <row r="47" spans="2:8" ht="15.75" customHeight="1">
      <c r="B47" s="97" t="s">
        <v>116</v>
      </c>
      <c r="C47" s="98">
        <v>22</v>
      </c>
      <c r="D47" s="41" t="s">
        <v>62</v>
      </c>
      <c r="E47" s="99"/>
      <c r="F47" s="37" t="e">
        <f>AVERAGEIF(ENTRADAS!$C$7:C344,$B47,ENTRADAS!$F$7:F344)</f>
        <v>#DIV/0!</v>
      </c>
      <c r="G47" s="42">
        <f>VLOOKUP(PROD!$B47,ENTRADAS!$C$7:$H$323,5,0)</f>
        <v>0</v>
      </c>
      <c r="H47" s="43"/>
    </row>
    <row r="48" spans="2:8" ht="15.75" customHeight="1">
      <c r="B48" s="97" t="s">
        <v>117</v>
      </c>
      <c r="C48" s="98">
        <v>23</v>
      </c>
      <c r="D48" s="41" t="s">
        <v>62</v>
      </c>
      <c r="E48" s="99"/>
      <c r="F48" s="37" t="e">
        <f>AVERAGEIF(ENTRADAS!$C$7:C345,$B48,ENTRADAS!$F$7:F345)</f>
        <v>#DIV/0!</v>
      </c>
      <c r="G48" s="42">
        <f>VLOOKUP(PROD!$B48,ENTRADAS!$C$7:$H$323,5,0)</f>
        <v>0</v>
      </c>
      <c r="H48" s="43"/>
    </row>
    <row r="49" spans="2:8" ht="15.75" customHeight="1">
      <c r="B49" s="97" t="s">
        <v>118</v>
      </c>
      <c r="C49" s="98">
        <v>24</v>
      </c>
      <c r="D49" s="41" t="s">
        <v>62</v>
      </c>
      <c r="E49" s="99"/>
      <c r="F49" s="37" t="e">
        <f>AVERAGEIF(ENTRADAS!$C$7:C346,$B49,ENTRADAS!$F$7:F346)</f>
        <v>#DIV/0!</v>
      </c>
      <c r="G49" s="42">
        <f>VLOOKUP(PROD!$B49,ENTRADAS!$C$7:$H$323,5,0)</f>
        <v>0</v>
      </c>
      <c r="H49" s="43"/>
    </row>
    <row r="50" spans="2:8" ht="15.75" customHeight="1">
      <c r="B50" s="97" t="s">
        <v>119</v>
      </c>
      <c r="C50" s="98">
        <v>25</v>
      </c>
      <c r="D50" s="41" t="s">
        <v>62</v>
      </c>
      <c r="E50" s="99"/>
      <c r="F50" s="37" t="e">
        <f>AVERAGEIF(ENTRADAS!$C$7:C347,$B50,ENTRADAS!$F$7:F347)</f>
        <v>#DIV/0!</v>
      </c>
      <c r="G50" s="42">
        <f>VLOOKUP(PROD!$B50,ENTRADAS!$C$7:$H$323,5,0)</f>
        <v>0</v>
      </c>
      <c r="H50" s="43"/>
    </row>
    <row r="51" spans="2:8" ht="15.75" customHeight="1">
      <c r="B51" s="97" t="s">
        <v>120</v>
      </c>
      <c r="C51" s="98">
        <v>26</v>
      </c>
      <c r="D51" s="41" t="s">
        <v>62</v>
      </c>
      <c r="E51" s="99"/>
      <c r="F51" s="37" t="e">
        <f>AVERAGEIF(ENTRADAS!$C$7:C348,$B51,ENTRADAS!$F$7:F348)</f>
        <v>#DIV/0!</v>
      </c>
      <c r="G51" s="42">
        <f>VLOOKUP(PROD!$B51,ENTRADAS!$C$7:$H$323,5,0)</f>
        <v>0</v>
      </c>
      <c r="H51" s="43"/>
    </row>
    <row r="52" spans="2:8" ht="15.75" customHeight="1">
      <c r="B52" s="97" t="s">
        <v>121</v>
      </c>
      <c r="C52" s="98">
        <v>27</v>
      </c>
      <c r="D52" s="41" t="s">
        <v>62</v>
      </c>
      <c r="E52" s="99"/>
      <c r="F52" s="37" t="e">
        <f>AVERAGEIF(ENTRADAS!$C$7:C349,$B52,ENTRADAS!$F$7:F349)</f>
        <v>#DIV/0!</v>
      </c>
      <c r="G52" s="42">
        <f>VLOOKUP(PROD!$B52,ENTRADAS!$C$7:$H$323,5,0)</f>
        <v>0</v>
      </c>
      <c r="H52" s="43"/>
    </row>
    <row r="53" spans="2:8" ht="15.75" customHeight="1">
      <c r="B53" s="97" t="s">
        <v>122</v>
      </c>
      <c r="C53" s="98">
        <v>28</v>
      </c>
      <c r="D53" s="41" t="s">
        <v>62</v>
      </c>
      <c r="E53" s="99"/>
      <c r="F53" s="37" t="e">
        <f>AVERAGEIF(ENTRADAS!$C$7:C350,$B53,ENTRADAS!$F$7:F350)</f>
        <v>#DIV/0!</v>
      </c>
      <c r="G53" s="42">
        <f>VLOOKUP(PROD!$B53,ENTRADAS!$C$7:$H$323,5,0)</f>
        <v>0</v>
      </c>
      <c r="H53" s="43"/>
    </row>
    <row r="54" spans="2:8" s="119" customFormat="1" ht="15.75" customHeight="1">
      <c r="B54" s="97" t="s">
        <v>231</v>
      </c>
      <c r="C54" s="98"/>
      <c r="D54" s="41" t="s">
        <v>62</v>
      </c>
      <c r="E54" s="99"/>
      <c r="F54" s="37"/>
      <c r="G54" s="42"/>
      <c r="H54" s="43"/>
    </row>
    <row r="55" spans="2:8" s="113" customFormat="1" ht="15.75" customHeight="1">
      <c r="B55" s="106" t="s">
        <v>70</v>
      </c>
      <c r="C55" s="98"/>
      <c r="D55" s="41" t="s">
        <v>62</v>
      </c>
      <c r="E55" s="99"/>
      <c r="F55" s="37"/>
      <c r="G55" s="42"/>
      <c r="H55" s="43"/>
    </row>
    <row r="56" spans="2:8" ht="15.75" customHeight="1">
      <c r="B56" s="97" t="s">
        <v>123</v>
      </c>
      <c r="C56" s="98">
        <v>29</v>
      </c>
      <c r="D56" s="41" t="s">
        <v>62</v>
      </c>
      <c r="E56" s="99"/>
      <c r="F56" s="37" t="e">
        <f>AVERAGEIF(ENTRADAS!$C$7:C352,$B56,ENTRADAS!$F$7:F352)</f>
        <v>#DIV/0!</v>
      </c>
      <c r="G56" s="42">
        <f>VLOOKUP(PROD!$B56,ENTRADAS!$C$7:$H$323,5,0)</f>
        <v>0</v>
      </c>
      <c r="H56" s="43"/>
    </row>
    <row r="57" spans="2:8" ht="15.75" customHeight="1">
      <c r="B57" s="97" t="s">
        <v>124</v>
      </c>
      <c r="C57" s="98">
        <v>30</v>
      </c>
      <c r="D57" s="41" t="s">
        <v>62</v>
      </c>
      <c r="E57" s="99"/>
      <c r="F57" s="37" t="e">
        <f>AVERAGEIF(ENTRADAS!$C$7:C353,$B57,ENTRADAS!$F$7:F353)</f>
        <v>#DIV/0!</v>
      </c>
      <c r="G57" s="42">
        <f>VLOOKUP(PROD!$B57,ENTRADAS!$C$7:$H$323,5,0)</f>
        <v>0</v>
      </c>
      <c r="H57" s="43"/>
    </row>
    <row r="58" spans="2:8" ht="15.75" customHeight="1">
      <c r="B58" s="97" t="s">
        <v>125</v>
      </c>
      <c r="C58" s="98">
        <v>31</v>
      </c>
      <c r="D58" s="41" t="s">
        <v>62</v>
      </c>
      <c r="E58" s="99"/>
      <c r="F58" s="37" t="e">
        <f>AVERAGEIF(ENTRADAS!$C$7:C354,$B58,ENTRADAS!$F$7:F354)</f>
        <v>#DIV/0!</v>
      </c>
      <c r="G58" s="42">
        <f>VLOOKUP(PROD!$B58,ENTRADAS!$C$7:$H$323,5,0)</f>
        <v>0</v>
      </c>
      <c r="H58" s="43"/>
    </row>
    <row r="59" spans="2:8" ht="15.75" customHeight="1">
      <c r="B59" s="97" t="s">
        <v>126</v>
      </c>
      <c r="C59" s="98">
        <v>32</v>
      </c>
      <c r="D59" s="41" t="s">
        <v>62</v>
      </c>
      <c r="E59" s="99"/>
      <c r="F59" s="37" t="e">
        <f>AVERAGEIF(ENTRADAS!$C$7:C355,$B59,ENTRADAS!$F$7:F355)</f>
        <v>#DIV/0!</v>
      </c>
      <c r="G59" s="42">
        <f>VLOOKUP(PROD!$B59,ENTRADAS!$C$7:$H$323,5,0)</f>
        <v>0</v>
      </c>
      <c r="H59" s="43"/>
    </row>
    <row r="60" spans="2:8" ht="15.75" customHeight="1">
      <c r="B60" s="97" t="s">
        <v>127</v>
      </c>
      <c r="C60" s="98">
        <v>33</v>
      </c>
      <c r="D60" s="41" t="s">
        <v>62</v>
      </c>
      <c r="E60" s="99"/>
      <c r="F60" s="37" t="e">
        <f>AVERAGEIF(ENTRADAS!$C$7:C356,$B60,ENTRADAS!$F$7:F356)</f>
        <v>#DIV/0!</v>
      </c>
      <c r="G60" s="42">
        <f>VLOOKUP(PROD!$B60,ENTRADAS!$C$7:$H$323,5,0)</f>
        <v>0</v>
      </c>
      <c r="H60" s="43"/>
    </row>
    <row r="61" spans="2:8" ht="15.75" customHeight="1">
      <c r="B61" s="97" t="s">
        <v>128</v>
      </c>
      <c r="C61" s="98">
        <v>34</v>
      </c>
      <c r="D61" s="41" t="s">
        <v>62</v>
      </c>
      <c r="E61" s="99"/>
      <c r="F61" s="37" t="e">
        <f>AVERAGEIF(ENTRADAS!$C$7:C357,$B61,ENTRADAS!$F$7:F357)</f>
        <v>#DIV/0!</v>
      </c>
      <c r="G61" s="42">
        <f>VLOOKUP(PROD!$B61,ENTRADAS!$C$7:$H$323,5,0)</f>
        <v>0</v>
      </c>
      <c r="H61" s="43"/>
    </row>
    <row r="62" spans="2:8" ht="15.75" customHeight="1">
      <c r="B62" s="97" t="s">
        <v>129</v>
      </c>
      <c r="C62" s="98">
        <v>35</v>
      </c>
      <c r="D62" s="41" t="s">
        <v>62</v>
      </c>
      <c r="E62" s="99"/>
      <c r="F62" s="37" t="e">
        <f>AVERAGEIF(ENTRADAS!$C$7:C358,$B62,ENTRADAS!$F$7:F358)</f>
        <v>#DIV/0!</v>
      </c>
      <c r="G62" s="42">
        <f>VLOOKUP(PROD!$B62,ENTRADAS!$C$7:$H$323,5,0)</f>
        <v>0</v>
      </c>
      <c r="H62" s="43"/>
    </row>
    <row r="63" spans="2:8" ht="15.75" customHeight="1">
      <c r="B63" s="110" t="s">
        <v>130</v>
      </c>
      <c r="C63" s="98">
        <v>36</v>
      </c>
      <c r="D63" s="41" t="s">
        <v>62</v>
      </c>
      <c r="E63" s="99"/>
      <c r="F63" s="37" t="e">
        <f>AVERAGEIF(ENTRADAS!$C$7:C359,$B63,ENTRADAS!$F$7:F359)</f>
        <v>#DIV/0!</v>
      </c>
      <c r="G63" s="42">
        <f>VLOOKUP(PROD!$B63,ENTRADAS!$C$7:$H$323,5,0)</f>
        <v>0</v>
      </c>
      <c r="H63" s="43"/>
    </row>
    <row r="64" spans="2:8" ht="15.75" customHeight="1">
      <c r="B64" s="97" t="s">
        <v>131</v>
      </c>
      <c r="C64" s="98">
        <v>37</v>
      </c>
      <c r="D64" s="41" t="s">
        <v>62</v>
      </c>
      <c r="E64" s="99"/>
      <c r="F64" s="37" t="e">
        <f>AVERAGEIF(ENTRADAS!$C$7:C360,$B64,ENTRADAS!$F$7:F360)</f>
        <v>#DIV/0!</v>
      </c>
      <c r="G64" s="42">
        <f>VLOOKUP(PROD!$B64,ENTRADAS!$C$7:$H$323,5,0)</f>
        <v>0</v>
      </c>
      <c r="H64" s="43"/>
    </row>
    <row r="65" spans="2:8" ht="15.75" customHeight="1">
      <c r="B65" s="97" t="s">
        <v>132</v>
      </c>
      <c r="C65" s="98">
        <v>38</v>
      </c>
      <c r="D65" s="41" t="s">
        <v>62</v>
      </c>
      <c r="E65" s="99"/>
      <c r="F65" s="37" t="e">
        <f>AVERAGEIF(ENTRADAS!$C$7:C361,$B65,ENTRADAS!$F$7:F361)</f>
        <v>#DIV/0!</v>
      </c>
      <c r="G65" s="42">
        <f>VLOOKUP(PROD!$B65,ENTRADAS!$C$7:$H$323,5,0)</f>
        <v>0</v>
      </c>
      <c r="H65" s="43"/>
    </row>
    <row r="66" spans="2:8" ht="15.75" customHeight="1">
      <c r="B66" s="97" t="s">
        <v>133</v>
      </c>
      <c r="C66" s="98">
        <v>39</v>
      </c>
      <c r="D66" s="41" t="s">
        <v>62</v>
      </c>
      <c r="E66" s="99"/>
      <c r="F66" s="37" t="e">
        <f>AVERAGEIF(ENTRADAS!$C$7:C363,$B66,ENTRADAS!$F$7:F363)</f>
        <v>#DIV/0!</v>
      </c>
      <c r="G66" s="42">
        <f>VLOOKUP(PROD!$B66,ENTRADAS!$C$7:$H$323,5,0)</f>
        <v>0</v>
      </c>
      <c r="H66" s="43"/>
    </row>
    <row r="67" spans="2:8" s="119" customFormat="1" ht="15.75" customHeight="1">
      <c r="B67" s="97" t="s">
        <v>231</v>
      </c>
      <c r="C67" s="98"/>
      <c r="D67" s="41" t="s">
        <v>62</v>
      </c>
      <c r="E67" s="99"/>
      <c r="F67" s="37"/>
      <c r="G67" s="42"/>
      <c r="H67" s="43"/>
    </row>
    <row r="68" spans="2:8" s="113" customFormat="1" ht="15.75" customHeight="1">
      <c r="B68" s="106" t="s">
        <v>71</v>
      </c>
      <c r="C68" s="98"/>
      <c r="D68" s="41" t="s">
        <v>62</v>
      </c>
      <c r="E68" s="99"/>
      <c r="F68" s="37"/>
      <c r="G68" s="42"/>
      <c r="H68" s="43"/>
    </row>
    <row r="69" spans="2:8" ht="15.75" customHeight="1">
      <c r="B69" s="97" t="s">
        <v>134</v>
      </c>
      <c r="C69" s="98">
        <v>40</v>
      </c>
      <c r="D69" s="41" t="s">
        <v>62</v>
      </c>
      <c r="E69" s="99"/>
      <c r="F69" s="37" t="e">
        <f>AVERAGEIF(ENTRADAS!$C$7:C364,$B69,ENTRADAS!$F$7:F364)</f>
        <v>#DIV/0!</v>
      </c>
      <c r="G69" s="42">
        <f>VLOOKUP(PROD!$B69,ENTRADAS!$C$7:$H$323,5,0)</f>
        <v>0</v>
      </c>
      <c r="H69" s="43"/>
    </row>
    <row r="70" spans="2:8" ht="15.75" customHeight="1">
      <c r="B70" s="97" t="s">
        <v>137</v>
      </c>
      <c r="C70" s="98">
        <v>41</v>
      </c>
      <c r="D70" s="41" t="s">
        <v>62</v>
      </c>
      <c r="E70" s="99"/>
      <c r="F70" s="37" t="e">
        <f>AVERAGEIF(ENTRADAS!$C$7:C365,$B70,ENTRADAS!$F$7:F365)</f>
        <v>#DIV/0!</v>
      </c>
      <c r="G70" s="42">
        <f>VLOOKUP(PROD!$B70,ENTRADAS!$C$7:$H$323,5,0)</f>
        <v>0</v>
      </c>
      <c r="H70" s="43"/>
    </row>
    <row r="71" spans="2:8" ht="15.75" customHeight="1">
      <c r="B71" s="97" t="s">
        <v>136</v>
      </c>
      <c r="C71" s="98">
        <v>42</v>
      </c>
      <c r="D71" s="41" t="s">
        <v>62</v>
      </c>
      <c r="E71" s="99"/>
      <c r="F71" s="37" t="e">
        <f>AVERAGEIF(ENTRADAS!$C$7:C366,$B71,ENTRADAS!$F$7:F366)</f>
        <v>#DIV/0!</v>
      </c>
      <c r="G71" s="42">
        <f>VLOOKUP(PROD!$B71,ENTRADAS!$C$7:$H$323,5,0)</f>
        <v>0</v>
      </c>
      <c r="H71" s="43"/>
    </row>
    <row r="72" spans="2:8" ht="15.75" customHeight="1">
      <c r="B72" s="97" t="s">
        <v>135</v>
      </c>
      <c r="C72" s="98">
        <v>43</v>
      </c>
      <c r="D72" s="41" t="s">
        <v>62</v>
      </c>
      <c r="E72" s="99"/>
      <c r="F72" s="37" t="e">
        <f>AVERAGEIF(ENTRADAS!$C$7:C368,$B72,ENTRADAS!$F$7:F368)</f>
        <v>#DIV/0!</v>
      </c>
      <c r="G72" s="42">
        <f>VLOOKUP(PROD!$B72,ENTRADAS!$C$7:$H$323,5,0)</f>
        <v>0</v>
      </c>
      <c r="H72" s="43"/>
    </row>
    <row r="73" spans="2:8" ht="15.75" customHeight="1">
      <c r="B73" s="97" t="s">
        <v>138</v>
      </c>
      <c r="C73" s="98">
        <v>44</v>
      </c>
      <c r="D73" s="41" t="s">
        <v>62</v>
      </c>
      <c r="E73" s="99"/>
      <c r="F73" s="37" t="e">
        <f>AVERAGEIF(ENTRADAS!$C$7:C369,$B73,ENTRADAS!$F$7:F369)</f>
        <v>#DIV/0!</v>
      </c>
      <c r="G73" s="42">
        <f>VLOOKUP(PROD!$B73,ENTRADAS!$C$7:$H$323,5,0)</f>
        <v>0</v>
      </c>
      <c r="H73" s="43"/>
    </row>
    <row r="74" spans="2:8" ht="15.75" customHeight="1">
      <c r="B74" s="97" t="s">
        <v>139</v>
      </c>
      <c r="C74" s="98">
        <v>45</v>
      </c>
      <c r="D74" s="41" t="s">
        <v>62</v>
      </c>
      <c r="E74" s="99"/>
      <c r="F74" s="37" t="e">
        <f>AVERAGEIF(ENTRADAS!$C$7:C370,$B74,ENTRADAS!$F$7:F370)</f>
        <v>#DIV/0!</v>
      </c>
      <c r="G74" s="42">
        <f>VLOOKUP(PROD!$B74,ENTRADAS!$C$7:$H$323,5,0)</f>
        <v>0</v>
      </c>
      <c r="H74" s="43"/>
    </row>
    <row r="75" spans="2:8" s="119" customFormat="1" ht="15.75" customHeight="1">
      <c r="B75" s="97" t="s">
        <v>231</v>
      </c>
      <c r="C75" s="98"/>
      <c r="D75" s="41" t="s">
        <v>62</v>
      </c>
      <c r="E75" s="99"/>
      <c r="F75" s="37"/>
      <c r="G75" s="42"/>
      <c r="H75" s="43"/>
    </row>
    <row r="76" spans="2:8" s="113" customFormat="1" ht="15.75" customHeight="1">
      <c r="B76" s="106" t="s">
        <v>72</v>
      </c>
      <c r="C76" s="98"/>
      <c r="D76" s="41" t="s">
        <v>62</v>
      </c>
      <c r="E76" s="99"/>
      <c r="F76" s="37"/>
      <c r="G76" s="42"/>
      <c r="H76" s="43"/>
    </row>
    <row r="77" spans="2:8" s="149" customFormat="1" ht="15.75" customHeight="1">
      <c r="B77" s="97" t="s">
        <v>321</v>
      </c>
      <c r="C77" s="98">
        <v>46</v>
      </c>
      <c r="D77" s="41" t="s">
        <v>62</v>
      </c>
      <c r="E77" s="99"/>
      <c r="F77" s="37" t="e">
        <f>AVERAGEIF(ENTRADAS!$C$7:C369,$B77,ENTRADAS!$F$7:F369)</f>
        <v>#DIV/0!</v>
      </c>
      <c r="G77" s="42">
        <f>VLOOKUP(PROD!$B77,ENTRADAS!$C$7:$H$323,5,0)</f>
        <v>0</v>
      </c>
      <c r="H77" s="43"/>
    </row>
    <row r="78" spans="2:8" s="149" customFormat="1" ht="15.75" customHeight="1">
      <c r="B78" s="97" t="s">
        <v>322</v>
      </c>
      <c r="C78" s="98">
        <v>46</v>
      </c>
      <c r="D78" s="41" t="s">
        <v>62</v>
      </c>
      <c r="E78" s="99"/>
      <c r="F78" s="37" t="e">
        <f>AVERAGEIF(ENTRADAS!$C$7:C370,$B78,ENTRADAS!$F$7:F370)</f>
        <v>#DIV/0!</v>
      </c>
      <c r="G78" s="42">
        <f>VLOOKUP(PROD!$B78,ENTRADAS!$C$7:$H$323,5,0)</f>
        <v>0</v>
      </c>
      <c r="H78" s="43"/>
    </row>
    <row r="79" spans="2:8" ht="15.75" customHeight="1">
      <c r="B79" s="97" t="s">
        <v>140</v>
      </c>
      <c r="C79" s="98">
        <v>46</v>
      </c>
      <c r="D79" s="41" t="s">
        <v>62</v>
      </c>
      <c r="E79" s="99"/>
      <c r="F79" s="37" t="e">
        <f>AVERAGEIF(ENTRADAS!$C$7:C371,$B79,ENTRADAS!$F$7:F371)</f>
        <v>#DIV/0!</v>
      </c>
      <c r="G79" s="42">
        <f>VLOOKUP(PROD!$B79,ENTRADAS!$C$7:$H$323,5,0)</f>
        <v>0</v>
      </c>
      <c r="H79" s="43"/>
    </row>
    <row r="80" spans="2:8" ht="15.75" customHeight="1">
      <c r="B80" s="97" t="s">
        <v>141</v>
      </c>
      <c r="C80" s="98">
        <v>47</v>
      </c>
      <c r="D80" s="41" t="s">
        <v>62</v>
      </c>
      <c r="E80" s="99"/>
      <c r="F80" s="37" t="e">
        <f>AVERAGEIF(ENTRADAS!$C$7:C372,$B80,ENTRADAS!$F$7:F372)</f>
        <v>#DIV/0!</v>
      </c>
      <c r="G80" s="42">
        <f>VLOOKUP(PROD!$B80,ENTRADAS!$C$7:$H$323,5,0)</f>
        <v>0</v>
      </c>
      <c r="H80" s="43"/>
    </row>
    <row r="81" spans="2:8" ht="15.75" customHeight="1">
      <c r="B81" s="97" t="s">
        <v>142</v>
      </c>
      <c r="C81" s="98">
        <v>48</v>
      </c>
      <c r="D81" s="41" t="s">
        <v>62</v>
      </c>
      <c r="E81" s="99"/>
      <c r="F81" s="37" t="e">
        <f>AVERAGEIF(ENTRADAS!$C$7:C373,$B81,ENTRADAS!$F$7:F373)</f>
        <v>#DIV/0!</v>
      </c>
      <c r="G81" s="42">
        <f>VLOOKUP(PROD!$B81,ENTRADAS!$C$7:$H$323,5,0)</f>
        <v>0</v>
      </c>
      <c r="H81" s="43"/>
    </row>
    <row r="82" spans="2:8" s="119" customFormat="1" ht="15.75" customHeight="1">
      <c r="B82" s="97" t="s">
        <v>231</v>
      </c>
      <c r="C82" s="98"/>
      <c r="D82" s="41" t="s">
        <v>62</v>
      </c>
      <c r="E82" s="99"/>
      <c r="F82" s="37"/>
      <c r="G82" s="42"/>
      <c r="H82" s="43"/>
    </row>
    <row r="83" spans="2:8" ht="15.75" customHeight="1">
      <c r="B83" s="106" t="s">
        <v>73</v>
      </c>
      <c r="C83" s="98">
        <v>49</v>
      </c>
      <c r="D83" s="41" t="s">
        <v>62</v>
      </c>
      <c r="E83" s="99"/>
      <c r="F83" s="37" t="e">
        <f>AVERAGEIF(ENTRADAS!$C$7:C374,$B83,ENTRADAS!$F$7:F374)</f>
        <v>#DIV/0!</v>
      </c>
      <c r="G83" s="42">
        <f>VLOOKUP(PROD!$B83,ENTRADAS!$C$7:$H$323,5,0)</f>
        <v>0</v>
      </c>
      <c r="H83" s="43"/>
    </row>
    <row r="84" spans="2:8" ht="15.75" customHeight="1">
      <c r="B84" s="116" t="s">
        <v>143</v>
      </c>
      <c r="C84" s="98">
        <v>50</v>
      </c>
      <c r="D84" s="41" t="s">
        <v>62</v>
      </c>
      <c r="E84" s="99"/>
      <c r="F84" s="37" t="e">
        <f>AVERAGEIF(ENTRADAS!$C$7:C375,#REF!,ENTRADAS!$F$7:F375)</f>
        <v>#DIV/0!</v>
      </c>
      <c r="G84" s="42" t="e">
        <f>VLOOKUP(PROD!#REF!,ENTRADAS!$C$7:$H$323,5,0)</f>
        <v>#REF!</v>
      </c>
      <c r="H84" s="43"/>
    </row>
    <row r="85" spans="2:8" ht="15.75" customHeight="1">
      <c r="B85" s="97" t="s">
        <v>144</v>
      </c>
      <c r="C85" s="98">
        <v>51</v>
      </c>
      <c r="D85" s="41" t="s">
        <v>62</v>
      </c>
      <c r="E85" s="99"/>
      <c r="F85" s="37" t="e">
        <f>AVERAGEIF(ENTRADAS!$C$7:C376,$B85,ENTRADAS!$F$7:F376)</f>
        <v>#DIV/0!</v>
      </c>
      <c r="G85" s="42">
        <f>VLOOKUP(PROD!$B85,ENTRADAS!$C$7:$H$323,5,0)</f>
        <v>0</v>
      </c>
      <c r="H85" s="43"/>
    </row>
    <row r="86" spans="2:8" ht="15.75" customHeight="1">
      <c r="B86" s="97" t="s">
        <v>145</v>
      </c>
      <c r="C86" s="98">
        <v>52</v>
      </c>
      <c r="D86" s="41" t="s">
        <v>62</v>
      </c>
      <c r="E86" s="99"/>
      <c r="F86" s="37" t="e">
        <f>AVERAGEIF(ENTRADAS!$C$7:C377,$B86,ENTRADAS!$F$7:F377)</f>
        <v>#DIV/0!</v>
      </c>
      <c r="G86" s="42">
        <f>VLOOKUP(PROD!$B86,ENTRADAS!$C$7:$H$323,5,0)</f>
        <v>0</v>
      </c>
      <c r="H86" s="43"/>
    </row>
    <row r="87" spans="2:8" ht="15.75" customHeight="1">
      <c r="B87" s="97" t="s">
        <v>146</v>
      </c>
      <c r="C87" s="98">
        <v>53</v>
      </c>
      <c r="D87" s="41" t="s">
        <v>62</v>
      </c>
      <c r="E87" s="99"/>
      <c r="F87" s="37" t="e">
        <f>AVERAGEIF(ENTRADAS!$C$7:C378,$B87,ENTRADAS!$F$7:F378)</f>
        <v>#DIV/0!</v>
      </c>
      <c r="G87" s="42">
        <f>VLOOKUP(PROD!$B87,ENTRADAS!$C$7:$H$323,5,0)</f>
        <v>0</v>
      </c>
      <c r="H87" s="43"/>
    </row>
    <row r="88" spans="2:8" ht="15.75" customHeight="1">
      <c r="B88" s="97" t="s">
        <v>147</v>
      </c>
      <c r="C88" s="98">
        <v>54</v>
      </c>
      <c r="D88" s="41" t="s">
        <v>62</v>
      </c>
      <c r="E88" s="99"/>
      <c r="F88" s="37" t="e">
        <f>AVERAGEIF(ENTRADAS!$C$7:C379,$B88,ENTRADAS!$F$7:F379)</f>
        <v>#DIV/0!</v>
      </c>
      <c r="G88" s="42">
        <f>VLOOKUP(PROD!$B88,ENTRADAS!$C$7:$H$323,5,0)</f>
        <v>0</v>
      </c>
      <c r="H88" s="43"/>
    </row>
    <row r="89" spans="2:8" ht="15.75" customHeight="1">
      <c r="B89" s="97" t="s">
        <v>148</v>
      </c>
      <c r="C89" s="98">
        <v>55</v>
      </c>
      <c r="D89" s="41" t="s">
        <v>62</v>
      </c>
      <c r="E89" s="99"/>
      <c r="F89" s="37" t="e">
        <f>AVERAGEIF(ENTRADAS!$C$7:C380,$B89,ENTRADAS!$F$7:F380)</f>
        <v>#DIV/0!</v>
      </c>
      <c r="G89" s="42">
        <f>VLOOKUP(PROD!$B89,ENTRADAS!$C$7:$H$323,5,0)</f>
        <v>0</v>
      </c>
      <c r="H89" s="43"/>
    </row>
    <row r="90" spans="2:8" ht="15.75" customHeight="1">
      <c r="B90" s="97" t="s">
        <v>149</v>
      </c>
      <c r="C90" s="98">
        <v>56</v>
      </c>
      <c r="D90" s="41" t="s">
        <v>62</v>
      </c>
      <c r="E90" s="99"/>
      <c r="F90" s="37" t="e">
        <f>AVERAGEIF(ENTRADAS!$C$7:C381,$B90,ENTRADAS!$F$7:F381)</f>
        <v>#DIV/0!</v>
      </c>
      <c r="G90" s="42">
        <f>VLOOKUP(PROD!$B90,ENTRADAS!$C$7:$H$323,5,0)</f>
        <v>0</v>
      </c>
      <c r="H90" s="43"/>
    </row>
    <row r="91" spans="2:8" s="119" customFormat="1" ht="15.75" customHeight="1">
      <c r="B91" s="126" t="s">
        <v>231</v>
      </c>
      <c r="C91" s="98"/>
      <c r="D91" s="41" t="s">
        <v>62</v>
      </c>
      <c r="E91" s="99"/>
      <c r="F91" s="37"/>
      <c r="G91" s="42"/>
      <c r="H91" s="43"/>
    </row>
    <row r="92" spans="2:8" s="113" customFormat="1" ht="15.75" customHeight="1">
      <c r="B92" s="118" t="s">
        <v>74</v>
      </c>
      <c r="C92" s="98"/>
      <c r="D92" s="41" t="s">
        <v>62</v>
      </c>
      <c r="E92" s="99"/>
      <c r="F92" s="37"/>
      <c r="G92" s="42"/>
      <c r="H92" s="43"/>
    </row>
    <row r="93" spans="2:8" ht="15.75" customHeight="1">
      <c r="B93" s="117" t="s">
        <v>150</v>
      </c>
      <c r="C93" s="98">
        <v>57</v>
      </c>
      <c r="D93" s="41" t="s">
        <v>62</v>
      </c>
      <c r="E93" s="99"/>
      <c r="F93" s="37" t="e">
        <f>AVERAGEIF(ENTRADAS!$C$7:C382,$B98,ENTRADAS!$F$7:F382)</f>
        <v>#DIV/0!</v>
      </c>
      <c r="G93" s="42">
        <f>VLOOKUP(PROD!$B98,ENTRADAS!$C$7:$H$323,5,0)</f>
        <v>0</v>
      </c>
      <c r="H93" s="43"/>
    </row>
    <row r="94" spans="2:8" ht="15.75" customHeight="1">
      <c r="B94" s="72" t="s">
        <v>151</v>
      </c>
      <c r="C94" s="98">
        <v>58</v>
      </c>
      <c r="D94" s="41" t="s">
        <v>62</v>
      </c>
      <c r="E94" s="99"/>
      <c r="F94" s="37" t="e">
        <f>AVERAGEIF(ENTRADAS!$C$7:C383,$B94,ENTRADAS!$F$7:F383)</f>
        <v>#DIV/0!</v>
      </c>
      <c r="G94" s="42">
        <f>VLOOKUP(PROD!$B94,ENTRADAS!$C$7:$H$323,5,0)</f>
        <v>0</v>
      </c>
      <c r="H94" s="43"/>
    </row>
    <row r="95" spans="2:8" ht="15.75" customHeight="1">
      <c r="B95" s="97" t="s">
        <v>152</v>
      </c>
      <c r="C95" s="98">
        <v>59</v>
      </c>
      <c r="D95" s="41" t="s">
        <v>62</v>
      </c>
      <c r="E95" s="99"/>
      <c r="F95" s="37" t="e">
        <f>AVERAGEIF(ENTRADAS!$C$7:C384,$B95,ENTRADAS!$F$7:F384)</f>
        <v>#DIV/0!</v>
      </c>
      <c r="G95" s="42">
        <f>VLOOKUP(PROD!$B95,ENTRADAS!$C$7:$H$323,5,0)</f>
        <v>0</v>
      </c>
      <c r="H95" s="43"/>
    </row>
    <row r="96" spans="2:8" ht="15.75" customHeight="1">
      <c r="B96" s="97" t="s">
        <v>153</v>
      </c>
      <c r="C96" s="98">
        <v>60</v>
      </c>
      <c r="D96" s="41" t="s">
        <v>62</v>
      </c>
      <c r="E96" s="99"/>
      <c r="F96" s="37" t="e">
        <f>AVERAGEIF(ENTRADAS!$C$7:C385,$B96,ENTRADAS!$F$7:F385)</f>
        <v>#DIV/0!</v>
      </c>
      <c r="G96" s="42">
        <f>VLOOKUP(PROD!$B96,ENTRADAS!$C$7:$H$323,5,0)</f>
        <v>0</v>
      </c>
      <c r="H96" s="43"/>
    </row>
    <row r="97" spans="2:8" ht="15.75" customHeight="1">
      <c r="B97" s="97" t="s">
        <v>154</v>
      </c>
      <c r="C97" s="98">
        <v>61</v>
      </c>
      <c r="D97" s="41" t="s">
        <v>62</v>
      </c>
      <c r="E97" s="99"/>
      <c r="F97" s="37" t="e">
        <f>AVERAGEIF(ENTRADAS!$C$7:C386,$B97,ENTRADAS!$F$7:F386)</f>
        <v>#DIV/0!</v>
      </c>
      <c r="G97" s="42">
        <f>VLOOKUP(PROD!$B97,ENTRADAS!$C$7:$H$323,5,0)</f>
        <v>0</v>
      </c>
      <c r="H97" s="43"/>
    </row>
    <row r="98" spans="2:8" ht="15.75" customHeight="1">
      <c r="B98" s="97" t="s">
        <v>155</v>
      </c>
      <c r="C98" s="98">
        <v>62</v>
      </c>
      <c r="D98" s="41" t="s">
        <v>62</v>
      </c>
      <c r="E98" s="99"/>
      <c r="F98" s="37" t="e">
        <f>AVERAGEIF(ENTRADAS!$C$7:C387,#REF!,ENTRADAS!$F$7:F387)</f>
        <v>#DIV/0!</v>
      </c>
      <c r="G98" s="42" t="e">
        <f>VLOOKUP(PROD!#REF!,ENTRADAS!$C$7:$H$323,5,0)</f>
        <v>#REF!</v>
      </c>
      <c r="H98" s="43"/>
    </row>
    <row r="99" spans="2:8" s="119" customFormat="1" ht="15.75" customHeight="1">
      <c r="B99" s="97" t="s">
        <v>231</v>
      </c>
      <c r="C99" s="98"/>
      <c r="D99" s="41" t="s">
        <v>62</v>
      </c>
      <c r="E99" s="99"/>
      <c r="F99" s="37"/>
      <c r="G99" s="42"/>
      <c r="H99" s="43"/>
    </row>
    <row r="100" spans="2:8" s="113" customFormat="1" ht="15.75" customHeight="1">
      <c r="B100" s="106" t="s">
        <v>75</v>
      </c>
      <c r="C100" s="98"/>
      <c r="D100" s="41" t="s">
        <v>62</v>
      </c>
      <c r="E100" s="99"/>
      <c r="F100" s="37"/>
      <c r="G100" s="42"/>
      <c r="H100" s="43"/>
    </row>
    <row r="101" spans="2:8" ht="15.75" customHeight="1">
      <c r="B101" s="97" t="s">
        <v>156</v>
      </c>
      <c r="C101" s="98">
        <v>63</v>
      </c>
      <c r="D101" s="41" t="s">
        <v>62</v>
      </c>
      <c r="E101" s="99"/>
      <c r="F101" s="37" t="e">
        <f>AVERAGEIF(ENTRADAS!$C$7:C388,$B101,ENTRADAS!$F$7:F388)</f>
        <v>#DIV/0!</v>
      </c>
      <c r="G101" s="42">
        <f>VLOOKUP(PROD!$B101,ENTRADAS!$C$7:$H$323,5,0)</f>
        <v>0</v>
      </c>
      <c r="H101" s="43"/>
    </row>
    <row r="102" spans="2:8" ht="15.75" customHeight="1">
      <c r="B102" s="97" t="s">
        <v>157</v>
      </c>
      <c r="C102" s="98">
        <v>64</v>
      </c>
      <c r="D102" s="41" t="s">
        <v>62</v>
      </c>
      <c r="E102" s="99"/>
      <c r="F102" s="37" t="e">
        <f>AVERAGEIF(ENTRADAS!$C$7:C389,$B102,ENTRADAS!$F$7:F389)</f>
        <v>#DIV/0!</v>
      </c>
      <c r="G102" s="42">
        <f>VLOOKUP(PROD!$B102,ENTRADAS!$C$7:$H$323,5,0)</f>
        <v>0</v>
      </c>
      <c r="H102" s="43"/>
    </row>
    <row r="103" spans="2:8" ht="15.75" customHeight="1">
      <c r="B103" s="97" t="s">
        <v>158</v>
      </c>
      <c r="C103" s="98">
        <v>65</v>
      </c>
      <c r="D103" s="41" t="s">
        <v>62</v>
      </c>
      <c r="E103" s="99"/>
      <c r="F103" s="37" t="e">
        <f>AVERAGEIF(ENTRADAS!$C$7:C390,$B103,ENTRADAS!$F$7:F390)</f>
        <v>#DIV/0!</v>
      </c>
      <c r="G103" s="42">
        <f>VLOOKUP(PROD!$B103,ENTRADAS!$C$7:$H$323,5,0)</f>
        <v>0</v>
      </c>
      <c r="H103" s="43"/>
    </row>
    <row r="104" spans="2:8" ht="15.75" customHeight="1">
      <c r="B104" s="97" t="s">
        <v>159</v>
      </c>
      <c r="C104" s="98">
        <v>66</v>
      </c>
      <c r="D104" s="41" t="s">
        <v>62</v>
      </c>
      <c r="E104" s="99"/>
      <c r="F104" s="37" t="e">
        <f>AVERAGEIF(ENTRADAS!$C$7:C391,$B104,ENTRADAS!$F$7:F391)</f>
        <v>#DIV/0!</v>
      </c>
      <c r="G104" s="42">
        <f>VLOOKUP(PROD!$B104,ENTRADAS!$C$7:$H$323,5,0)</f>
        <v>0</v>
      </c>
      <c r="H104" s="43"/>
    </row>
    <row r="105" spans="2:8" s="149" customFormat="1" ht="15.75" customHeight="1">
      <c r="B105" s="97" t="s">
        <v>326</v>
      </c>
      <c r="C105" s="98">
        <v>66</v>
      </c>
      <c r="D105" s="41" t="s">
        <v>62</v>
      </c>
      <c r="E105" s="99"/>
      <c r="F105" s="37" t="e">
        <f>AVERAGEIF(ENTRADAS!$C$7:C392,$B105,ENTRADAS!$F$7:F392)</f>
        <v>#DIV/0!</v>
      </c>
      <c r="G105" s="42">
        <f>VLOOKUP(PROD!$B105,ENTRADAS!$C$7:$H$323,5,0)</f>
        <v>0</v>
      </c>
      <c r="H105" s="43"/>
    </row>
    <row r="106" spans="2:8" s="119" customFormat="1" ht="15.75" customHeight="1">
      <c r="B106" s="97" t="s">
        <v>231</v>
      </c>
      <c r="C106" s="98"/>
      <c r="D106" s="41" t="s">
        <v>62</v>
      </c>
      <c r="E106" s="99"/>
      <c r="F106" s="37"/>
      <c r="G106" s="42"/>
      <c r="H106" s="43"/>
    </row>
    <row r="107" spans="2:8" s="113" customFormat="1" ht="15.75" customHeight="1">
      <c r="B107" s="106" t="s">
        <v>77</v>
      </c>
      <c r="C107" s="98"/>
      <c r="D107" s="41" t="s">
        <v>62</v>
      </c>
      <c r="E107" s="99"/>
      <c r="F107" s="37"/>
      <c r="G107" s="42"/>
      <c r="H107" s="43"/>
    </row>
    <row r="108" spans="2:8" s="144" customFormat="1" ht="15.75" customHeight="1">
      <c r="B108" s="97" t="s">
        <v>294</v>
      </c>
      <c r="C108" s="98">
        <v>70</v>
      </c>
      <c r="D108" s="41" t="s">
        <v>62</v>
      </c>
      <c r="E108" s="99"/>
      <c r="F108" s="37" t="e">
        <f>AVERAGEIF(ENTRADAS!$C$7:C390,$B108,ENTRADAS!$F$7:F390)</f>
        <v>#DIV/0!</v>
      </c>
      <c r="G108" s="42">
        <f>VLOOKUP(PROD!$B108,ENTRADAS!$C$7:$H$323,5,0)</f>
        <v>0</v>
      </c>
      <c r="H108" s="43"/>
    </row>
    <row r="109" spans="2:8" s="129" customFormat="1" ht="15.75" customHeight="1">
      <c r="B109" s="97" t="s">
        <v>266</v>
      </c>
      <c r="C109" s="98">
        <v>70</v>
      </c>
      <c r="D109" s="41" t="s">
        <v>62</v>
      </c>
      <c r="E109" s="99"/>
      <c r="F109" s="37" t="e">
        <f>AVERAGEIF(ENTRADAS!$C$7:C391,$B109,ENTRADAS!$F$7:F391)</f>
        <v>#DIV/0!</v>
      </c>
      <c r="G109" s="42">
        <f>VLOOKUP(PROD!$B109,ENTRADAS!$C$7:$H$323,5,0)</f>
        <v>0</v>
      </c>
      <c r="H109" s="43"/>
    </row>
    <row r="110" spans="2:8" s="113" customFormat="1" ht="15.75" customHeight="1">
      <c r="B110" s="97" t="s">
        <v>160</v>
      </c>
      <c r="C110" s="98">
        <v>70</v>
      </c>
      <c r="D110" s="41" t="s">
        <v>62</v>
      </c>
      <c r="E110" s="99"/>
      <c r="F110" s="37" t="e">
        <f>AVERAGEIF(ENTRADAS!$C$7:C392,$B110,ENTRADAS!$F$7:F392)</f>
        <v>#DIV/0!</v>
      </c>
      <c r="G110" s="42">
        <f>VLOOKUP(PROD!$B110,ENTRADAS!$C$7:$H$323,5,0)</f>
        <v>0</v>
      </c>
      <c r="H110" s="43"/>
    </row>
    <row r="111" spans="2:8" s="113" customFormat="1" ht="15.75" customHeight="1">
      <c r="B111" s="97" t="s">
        <v>161</v>
      </c>
      <c r="C111" s="98">
        <v>71</v>
      </c>
      <c r="D111" s="41" t="s">
        <v>62</v>
      </c>
      <c r="E111" s="99"/>
      <c r="F111" s="37" t="e">
        <f>AVERAGEIF(ENTRADAS!$C$7:C393,$B111,ENTRADAS!$F$7:F393)</f>
        <v>#DIV/0!</v>
      </c>
      <c r="G111" s="42">
        <f>VLOOKUP(PROD!$B111,ENTRADAS!$C$7:$H$323,5,0)</f>
        <v>0</v>
      </c>
      <c r="H111" s="43"/>
    </row>
    <row r="112" spans="2:8" s="119" customFormat="1" ht="15.75" customHeight="1">
      <c r="B112" s="97" t="s">
        <v>231</v>
      </c>
      <c r="C112" s="98"/>
      <c r="D112" s="41" t="s">
        <v>62</v>
      </c>
      <c r="E112" s="99"/>
      <c r="F112" s="37"/>
      <c r="G112" s="42"/>
      <c r="H112" s="43"/>
    </row>
    <row r="113" spans="2:8" s="113" customFormat="1" ht="15.75" customHeight="1">
      <c r="B113" s="106" t="s">
        <v>76</v>
      </c>
      <c r="C113" s="98"/>
      <c r="D113" s="41" t="s">
        <v>62</v>
      </c>
      <c r="E113" s="99"/>
      <c r="F113" s="37"/>
      <c r="G113" s="42"/>
      <c r="H113" s="43"/>
    </row>
    <row r="114" spans="2:8" ht="15.75" customHeight="1">
      <c r="B114" s="97" t="s">
        <v>162</v>
      </c>
      <c r="C114" s="98">
        <v>70</v>
      </c>
      <c r="D114" s="41" t="s">
        <v>62</v>
      </c>
      <c r="E114" s="99"/>
      <c r="F114" s="37" t="e">
        <f>AVERAGEIF(ENTRADAS!$C$7:C395,$B114,ENTRADAS!$F$7:F395)</f>
        <v>#DIV/0!</v>
      </c>
      <c r="G114" s="42">
        <f>VLOOKUP(PROD!$B114,ENTRADAS!$C$7:$H$323,5,0)</f>
        <v>0</v>
      </c>
      <c r="H114" s="43"/>
    </row>
    <row r="115" spans="2:8" ht="15.75" customHeight="1">
      <c r="B115" s="97" t="s">
        <v>163</v>
      </c>
      <c r="C115" s="98">
        <v>71</v>
      </c>
      <c r="D115" s="41" t="s">
        <v>62</v>
      </c>
      <c r="E115" s="99"/>
      <c r="F115" s="37" t="e">
        <f>AVERAGEIF(ENTRADAS!$C$7:C396,$B115,ENTRADAS!$F$7:F396)</f>
        <v>#DIV/0!</v>
      </c>
      <c r="G115" s="42">
        <f>VLOOKUP(PROD!$B115,ENTRADAS!$C$7:$H$323,5,0)</f>
        <v>0</v>
      </c>
      <c r="H115" s="43"/>
    </row>
    <row r="116" spans="2:8" ht="15.75" customHeight="1">
      <c r="B116" s="97" t="s">
        <v>164</v>
      </c>
      <c r="C116" s="98">
        <v>72</v>
      </c>
      <c r="D116" s="41" t="s">
        <v>62</v>
      </c>
      <c r="E116" s="99"/>
      <c r="F116" s="37" t="e">
        <f>AVERAGEIF(ENTRADAS!$C$7:C397,$B116,ENTRADAS!$F$7:F397)</f>
        <v>#DIV/0!</v>
      </c>
      <c r="G116" s="42">
        <f>VLOOKUP(PROD!$B116,ENTRADAS!$C$7:$H$323,5,0)</f>
        <v>0</v>
      </c>
      <c r="H116" s="43"/>
    </row>
    <row r="117" spans="2:8" ht="15.75" customHeight="1">
      <c r="B117" s="97" t="s">
        <v>165</v>
      </c>
      <c r="C117" s="98">
        <v>73</v>
      </c>
      <c r="D117" s="41" t="s">
        <v>62</v>
      </c>
      <c r="E117" s="99"/>
      <c r="F117" s="37" t="e">
        <f>AVERAGEIF(ENTRADAS!$C$7:C398,$B117,ENTRADAS!$F$7:F398)</f>
        <v>#DIV/0!</v>
      </c>
      <c r="G117" s="42">
        <f>VLOOKUP(PROD!$B117,ENTRADAS!$C$7:$H$323,5,0)</f>
        <v>0</v>
      </c>
      <c r="H117" s="43"/>
    </row>
    <row r="118" spans="2:8" s="119" customFormat="1" ht="15.75" customHeight="1">
      <c r="B118" s="97" t="s">
        <v>231</v>
      </c>
      <c r="C118" s="98"/>
      <c r="D118" s="41" t="s">
        <v>62</v>
      </c>
      <c r="E118" s="99"/>
      <c r="F118" s="37"/>
      <c r="G118" s="42"/>
      <c r="H118" s="43"/>
    </row>
    <row r="119" spans="2:8" s="113" customFormat="1" ht="15.75" customHeight="1">
      <c r="B119" s="106" t="s">
        <v>78</v>
      </c>
      <c r="C119" s="98"/>
      <c r="D119" s="41" t="s">
        <v>62</v>
      </c>
      <c r="E119" s="99"/>
      <c r="F119" s="37"/>
      <c r="G119" s="42"/>
      <c r="H119" s="43"/>
    </row>
    <row r="120" spans="2:8" ht="15.75" customHeight="1">
      <c r="B120" s="97" t="s">
        <v>166</v>
      </c>
      <c r="C120" s="98">
        <v>75</v>
      </c>
      <c r="D120" s="41" t="s">
        <v>62</v>
      </c>
      <c r="E120" s="99"/>
      <c r="F120" s="37" t="e">
        <f>AVERAGEIF(ENTRADAS!$C$7:C400,$B120,ENTRADAS!$F$7:F400)</f>
        <v>#DIV/0!</v>
      </c>
      <c r="G120" s="42">
        <f>VLOOKUP(PROD!$B120,ENTRADAS!$C$7:$H$323,5,0)</f>
        <v>0</v>
      </c>
      <c r="H120" s="43"/>
    </row>
    <row r="121" spans="2:8" ht="15.75" customHeight="1">
      <c r="B121" s="97" t="s">
        <v>167</v>
      </c>
      <c r="C121" s="98">
        <v>76</v>
      </c>
      <c r="D121" s="41" t="s">
        <v>62</v>
      </c>
      <c r="E121" s="99"/>
      <c r="F121" s="37" t="e">
        <f>AVERAGEIF(ENTRADAS!$C$7:C401,$B121,ENTRADAS!$F$7:F401)</f>
        <v>#DIV/0!</v>
      </c>
      <c r="G121" s="42">
        <f>VLOOKUP(PROD!$B121,ENTRADAS!$C$7:$H$323,5,0)</f>
        <v>0</v>
      </c>
      <c r="H121" s="43"/>
    </row>
    <row r="122" spans="2:8" s="119" customFormat="1" ht="15.75" customHeight="1">
      <c r="B122" s="97" t="s">
        <v>231</v>
      </c>
      <c r="C122" s="98"/>
      <c r="D122" s="41" t="s">
        <v>62</v>
      </c>
      <c r="E122" s="99"/>
      <c r="F122" s="37"/>
      <c r="G122" s="42"/>
      <c r="H122" s="43"/>
    </row>
    <row r="123" spans="2:8" s="113" customFormat="1" ht="15.75" customHeight="1">
      <c r="B123" s="106" t="s">
        <v>79</v>
      </c>
      <c r="C123" s="98"/>
      <c r="D123" s="41" t="s">
        <v>62</v>
      </c>
      <c r="E123" s="99"/>
      <c r="F123" s="37"/>
      <c r="G123" s="42"/>
      <c r="H123" s="43"/>
    </row>
    <row r="124" spans="2:8" ht="15.75" customHeight="1">
      <c r="B124" s="97" t="s">
        <v>168</v>
      </c>
      <c r="C124" s="98">
        <v>77</v>
      </c>
      <c r="D124" s="41" t="s">
        <v>62</v>
      </c>
      <c r="E124" s="99"/>
      <c r="F124" s="37" t="e">
        <f>AVERAGEIF(ENTRADAS!$C$7:C402,$B124,ENTRADAS!$F$7:F402)</f>
        <v>#DIV/0!</v>
      </c>
      <c r="G124" s="42">
        <f>VLOOKUP(PROD!$B124,ENTRADAS!$C$7:$H$323,5,0)</f>
        <v>0</v>
      </c>
      <c r="H124" s="43"/>
    </row>
    <row r="125" spans="2:8" ht="15.75" customHeight="1">
      <c r="B125" s="97" t="s">
        <v>169</v>
      </c>
      <c r="C125" s="98">
        <v>78</v>
      </c>
      <c r="D125" s="41" t="s">
        <v>62</v>
      </c>
      <c r="E125" s="99"/>
      <c r="F125" s="37" t="e">
        <f>AVERAGEIF(ENTRADAS!$C$7:C403,$B125,ENTRADAS!$F$7:F403)</f>
        <v>#DIV/0!</v>
      </c>
      <c r="G125" s="42">
        <f>VLOOKUP(PROD!$B125,ENTRADAS!$C$7:$H$323,5,0)</f>
        <v>0</v>
      </c>
      <c r="H125" s="43"/>
    </row>
    <row r="126" spans="2:8" ht="15.75" customHeight="1">
      <c r="B126" s="97" t="s">
        <v>170</v>
      </c>
      <c r="C126" s="98">
        <v>79</v>
      </c>
      <c r="D126" s="41" t="s">
        <v>62</v>
      </c>
      <c r="E126" s="99"/>
      <c r="F126" s="37" t="e">
        <f>AVERAGEIF(ENTRADAS!$C$7:C404,$B126,ENTRADAS!$F$7:F404)</f>
        <v>#DIV/0!</v>
      </c>
      <c r="G126" s="42">
        <f>VLOOKUP(PROD!$B126,ENTRADAS!$C$7:$H$323,5,0)</f>
        <v>0</v>
      </c>
      <c r="H126" s="43"/>
    </row>
    <row r="127" spans="2:8" ht="15.75" customHeight="1">
      <c r="B127" s="97" t="s">
        <v>171</v>
      </c>
      <c r="C127" s="98">
        <v>80</v>
      </c>
      <c r="D127" s="41" t="s">
        <v>62</v>
      </c>
      <c r="E127" s="99"/>
      <c r="F127" s="37" t="e">
        <f>AVERAGEIF(ENTRADAS!$C$7:C405,$B127,ENTRADAS!$F$7:F405)</f>
        <v>#DIV/0!</v>
      </c>
      <c r="G127" s="42">
        <f>VLOOKUP(PROD!$B127,ENTRADAS!$C$7:$H$323,5,0)</f>
        <v>0</v>
      </c>
      <c r="H127" s="43"/>
    </row>
    <row r="128" spans="2:8" ht="15.75" customHeight="1">
      <c r="B128" s="97" t="s">
        <v>172</v>
      </c>
      <c r="C128" s="98">
        <v>81</v>
      </c>
      <c r="D128" s="98" t="s">
        <v>62</v>
      </c>
      <c r="E128" s="99"/>
      <c r="F128" s="37" t="e">
        <f>AVERAGEIF(ENTRADAS!$C$7:C406,$B128,ENTRADAS!$F$7:F406)</f>
        <v>#DIV/0!</v>
      </c>
      <c r="G128" s="42">
        <f>VLOOKUP(PROD!$B128,ENTRADAS!$C$7:$H$323,5,0)</f>
        <v>0</v>
      </c>
      <c r="H128" s="43"/>
    </row>
    <row r="129" spans="2:8" ht="15.75" customHeight="1">
      <c r="B129" s="97" t="s">
        <v>173</v>
      </c>
      <c r="C129" s="98">
        <v>82</v>
      </c>
      <c r="D129" s="98" t="s">
        <v>62</v>
      </c>
      <c r="E129" s="99"/>
      <c r="F129" s="37" t="e">
        <f>AVERAGEIF(ENTRADAS!$C$7:C407,$B129,ENTRADAS!$F$7:F407)</f>
        <v>#DIV/0!</v>
      </c>
      <c r="G129" s="42">
        <f>VLOOKUP(PROD!$B129,ENTRADAS!$C$7:$H$323,5,0)</f>
        <v>0</v>
      </c>
      <c r="H129" s="43"/>
    </row>
    <row r="130" spans="2:8" ht="15.75" customHeight="1">
      <c r="B130" s="97" t="s">
        <v>174</v>
      </c>
      <c r="C130" s="98">
        <v>83</v>
      </c>
      <c r="D130" s="98" t="s">
        <v>62</v>
      </c>
      <c r="E130" s="99"/>
      <c r="F130" s="37" t="e">
        <f>AVERAGEIF(ENTRADAS!$C$7:C408,$B130,ENTRADAS!$F$7:F408)</f>
        <v>#DIV/0!</v>
      </c>
      <c r="G130" s="42">
        <f>VLOOKUP(PROD!$B130,ENTRADAS!$C$7:$H$323,5,0)</f>
        <v>0</v>
      </c>
      <c r="H130" s="43"/>
    </row>
    <row r="131" spans="2:8" ht="15.75" customHeight="1">
      <c r="B131" s="97" t="s">
        <v>175</v>
      </c>
      <c r="C131" s="98">
        <v>84</v>
      </c>
      <c r="D131" s="98" t="s">
        <v>62</v>
      </c>
      <c r="E131" s="99"/>
      <c r="F131" s="37" t="e">
        <f>AVERAGEIF(ENTRADAS!$C$7:C409,$B131,ENTRADAS!$F$7:F409)</f>
        <v>#DIV/0!</v>
      </c>
      <c r="G131" s="42">
        <f>VLOOKUP(PROD!$B131,ENTRADAS!$C$7:$H$323,5,0)</f>
        <v>0</v>
      </c>
      <c r="H131" s="43"/>
    </row>
    <row r="132" spans="2:8" s="119" customFormat="1" ht="15.75" customHeight="1">
      <c r="B132" s="97" t="s">
        <v>231</v>
      </c>
      <c r="C132" s="98"/>
      <c r="D132" s="98" t="s">
        <v>62</v>
      </c>
      <c r="E132" s="99"/>
      <c r="F132" s="37"/>
      <c r="G132" s="42"/>
      <c r="H132" s="43"/>
    </row>
    <row r="133" spans="2:8" s="113" customFormat="1" ht="15.75" customHeight="1">
      <c r="B133" s="106" t="s">
        <v>80</v>
      </c>
      <c r="C133" s="98"/>
      <c r="D133" s="98" t="s">
        <v>62</v>
      </c>
      <c r="E133" s="99"/>
      <c r="F133" s="37"/>
      <c r="G133" s="42"/>
      <c r="H133" s="43"/>
    </row>
    <row r="134" spans="2:8" ht="15.75" customHeight="1">
      <c r="B134" s="97" t="s">
        <v>176</v>
      </c>
      <c r="C134" s="98">
        <v>85</v>
      </c>
      <c r="D134" s="98" t="s">
        <v>62</v>
      </c>
      <c r="E134" s="99"/>
      <c r="F134" s="37" t="e">
        <f>AVERAGEIF(ENTRADAS!$C$7:C410,$B134,ENTRADAS!$F$7:F410)</f>
        <v>#DIV/0!</v>
      </c>
      <c r="G134" s="42">
        <f>VLOOKUP(PROD!$B134,ENTRADAS!$C$7:$H$323,5,0)</f>
        <v>0</v>
      </c>
      <c r="H134" s="43"/>
    </row>
    <row r="135" spans="2:8" ht="15.75" customHeight="1">
      <c r="B135" s="97" t="s">
        <v>177</v>
      </c>
      <c r="C135" s="98">
        <v>86</v>
      </c>
      <c r="D135" s="98" t="s">
        <v>62</v>
      </c>
      <c r="E135" s="99"/>
      <c r="F135" s="37" t="e">
        <f>AVERAGEIF(ENTRADAS!$C$7:C411,$B135,ENTRADAS!$F$7:F411)</f>
        <v>#DIV/0!</v>
      </c>
      <c r="G135" s="42">
        <f>VLOOKUP(PROD!$B135,ENTRADAS!$C$7:$H$323,5,0)</f>
        <v>0</v>
      </c>
      <c r="H135" s="43"/>
    </row>
    <row r="136" spans="2:8" ht="15.75" customHeight="1">
      <c r="B136" s="97" t="s">
        <v>178</v>
      </c>
      <c r="C136" s="98">
        <v>87</v>
      </c>
      <c r="D136" s="98" t="s">
        <v>62</v>
      </c>
      <c r="E136" s="99"/>
      <c r="F136" s="37" t="e">
        <f>AVERAGEIF(ENTRADAS!$C$7:C412,$B136,ENTRADAS!$F$7:F412)</f>
        <v>#DIV/0!</v>
      </c>
      <c r="G136" s="42">
        <f>VLOOKUP(PROD!$B136,ENTRADAS!$C$7:$H$323,5,0)</f>
        <v>0</v>
      </c>
      <c r="H136" s="43"/>
    </row>
    <row r="137" spans="2:8" ht="15.75" customHeight="1">
      <c r="B137" s="97" t="s">
        <v>179</v>
      </c>
      <c r="C137" s="98">
        <v>88</v>
      </c>
      <c r="D137" s="98" t="s">
        <v>62</v>
      </c>
      <c r="E137" s="99"/>
      <c r="F137" s="37" t="e">
        <f>AVERAGEIF(ENTRADAS!$C$7:C413,$B137,ENTRADAS!$F$7:F413)</f>
        <v>#DIV/0!</v>
      </c>
      <c r="G137" s="42">
        <f>VLOOKUP(PROD!$B137,ENTRADAS!$C$7:$H$323,5,0)</f>
        <v>0</v>
      </c>
      <c r="H137" s="43"/>
    </row>
    <row r="138" spans="2:8" ht="15.75" customHeight="1">
      <c r="B138" s="97" t="s">
        <v>180</v>
      </c>
      <c r="C138" s="98">
        <v>89</v>
      </c>
      <c r="D138" s="98" t="s">
        <v>62</v>
      </c>
      <c r="E138" s="99"/>
      <c r="F138" s="37" t="e">
        <f>AVERAGEIF(ENTRADAS!$C$7:C414,$B138,ENTRADAS!$F$7:F414)</f>
        <v>#DIV/0!</v>
      </c>
      <c r="G138" s="42">
        <f>VLOOKUP(PROD!$B138,ENTRADAS!$C$7:$H$323,5,0)</f>
        <v>0</v>
      </c>
      <c r="H138" s="43"/>
    </row>
    <row r="139" spans="2:8" s="119" customFormat="1" ht="15.75" customHeight="1">
      <c r="B139" s="97" t="s">
        <v>231</v>
      </c>
      <c r="C139" s="98"/>
      <c r="D139" s="98" t="s">
        <v>62</v>
      </c>
      <c r="E139" s="99"/>
      <c r="F139" s="37"/>
      <c r="G139" s="42"/>
      <c r="H139" s="43"/>
    </row>
    <row r="140" spans="2:8" s="113" customFormat="1" ht="15.75" customHeight="1">
      <c r="B140" s="106" t="s">
        <v>81</v>
      </c>
      <c r="C140" s="98"/>
      <c r="D140" s="98" t="s">
        <v>62</v>
      </c>
      <c r="E140" s="99"/>
      <c r="F140" s="37"/>
      <c r="G140" s="42"/>
      <c r="H140" s="43"/>
    </row>
    <row r="141" spans="2:8" ht="15.75" customHeight="1">
      <c r="B141" s="97" t="s">
        <v>181</v>
      </c>
      <c r="C141" s="98">
        <v>90</v>
      </c>
      <c r="D141" s="98" t="s">
        <v>62</v>
      </c>
      <c r="E141" s="99"/>
      <c r="F141" s="37" t="e">
        <f>AVERAGEIF(ENTRADAS!$C$7:C415,$B141,ENTRADAS!$F$7:F415)</f>
        <v>#DIV/0!</v>
      </c>
      <c r="G141" s="42">
        <f>VLOOKUP(PROD!$B141,ENTRADAS!$C$7:$H$323,5,0)</f>
        <v>0</v>
      </c>
      <c r="H141" s="43"/>
    </row>
    <row r="142" spans="2:8" ht="15.75" customHeight="1">
      <c r="B142" s="97" t="s">
        <v>182</v>
      </c>
      <c r="C142" s="98">
        <v>91</v>
      </c>
      <c r="D142" s="98" t="s">
        <v>62</v>
      </c>
      <c r="E142" s="99"/>
      <c r="F142" s="37" t="e">
        <f>AVERAGEIF(ENTRADAS!$C$7:C416,$B142,ENTRADAS!$F$7:F416)</f>
        <v>#DIV/0!</v>
      </c>
      <c r="G142" s="42">
        <f>VLOOKUP(PROD!$B142,ENTRADAS!$C$7:$H$323,5,0)</f>
        <v>0</v>
      </c>
      <c r="H142" s="43"/>
    </row>
    <row r="143" spans="2:8" ht="15.75" customHeight="1">
      <c r="B143" s="97" t="s">
        <v>183</v>
      </c>
      <c r="C143" s="98">
        <v>92</v>
      </c>
      <c r="D143" s="98" t="s">
        <v>62</v>
      </c>
      <c r="E143" s="99"/>
      <c r="F143" s="37" t="e">
        <f>AVERAGEIF(ENTRADAS!$C$7:C417,$B143,ENTRADAS!$F$7:F417)</f>
        <v>#DIV/0!</v>
      </c>
      <c r="G143" s="42">
        <f>VLOOKUP(PROD!$B143,ENTRADAS!$C$7:$H$323,5,0)</f>
        <v>0</v>
      </c>
      <c r="H143" s="43"/>
    </row>
    <row r="144" spans="2:8" ht="15.75" customHeight="1">
      <c r="B144" s="97" t="s">
        <v>184</v>
      </c>
      <c r="C144" s="98">
        <v>93</v>
      </c>
      <c r="D144" s="98" t="s">
        <v>62</v>
      </c>
      <c r="E144" s="99"/>
      <c r="F144" s="37" t="e">
        <f>AVERAGEIF(ENTRADAS!$C$7:C418,$B144,ENTRADAS!$F$7:F418)</f>
        <v>#DIV/0!</v>
      </c>
      <c r="G144" s="42">
        <f>VLOOKUP(PROD!$B144,ENTRADAS!$C$7:$H$323,5,0)</f>
        <v>0</v>
      </c>
      <c r="H144" s="43"/>
    </row>
    <row r="145" spans="2:8" s="119" customFormat="1" ht="15.75" customHeight="1">
      <c r="B145" s="97" t="s">
        <v>231</v>
      </c>
      <c r="C145" s="98"/>
      <c r="D145" s="98" t="s">
        <v>62</v>
      </c>
      <c r="E145" s="99"/>
      <c r="F145" s="37"/>
      <c r="G145" s="42"/>
      <c r="H145" s="43"/>
    </row>
    <row r="146" spans="2:8" s="113" customFormat="1" ht="15.75" customHeight="1">
      <c r="B146" s="106" t="s">
        <v>82</v>
      </c>
      <c r="C146" s="98"/>
      <c r="D146" s="98" t="s">
        <v>62</v>
      </c>
      <c r="E146" s="99"/>
      <c r="F146" s="37"/>
      <c r="G146" s="42"/>
      <c r="H146" s="43"/>
    </row>
    <row r="147" spans="2:8" s="129" customFormat="1" ht="15.75" customHeight="1">
      <c r="B147" s="97" t="s">
        <v>267</v>
      </c>
      <c r="C147" s="98">
        <v>94</v>
      </c>
      <c r="D147" s="98" t="s">
        <v>62</v>
      </c>
      <c r="E147" s="99"/>
      <c r="F147" s="37" t="e">
        <f>AVERAGEIF(ENTRADAS!$C$7:C418,$B147,ENTRADAS!$F$7:F418)</f>
        <v>#DIV/0!</v>
      </c>
      <c r="G147" s="42">
        <f>VLOOKUP(PROD!$B147,ENTRADAS!$C$7:$H$323,5,0)</f>
        <v>0</v>
      </c>
      <c r="H147" s="43"/>
    </row>
    <row r="148" spans="2:8" ht="15.75" customHeight="1">
      <c r="B148" s="97" t="s">
        <v>185</v>
      </c>
      <c r="C148" s="98">
        <v>94</v>
      </c>
      <c r="D148" s="98" t="s">
        <v>62</v>
      </c>
      <c r="E148" s="99"/>
      <c r="F148" s="37" t="e">
        <f>AVERAGEIF(ENTRADAS!$C$7:C419,$B148,ENTRADAS!$F$7:F419)</f>
        <v>#DIV/0!</v>
      </c>
      <c r="G148" s="42">
        <f>VLOOKUP(PROD!$B148,ENTRADAS!$C$7:$H$323,5,0)</f>
        <v>0</v>
      </c>
      <c r="H148" s="43"/>
    </row>
    <row r="149" spans="2:8" ht="15.75" customHeight="1">
      <c r="B149" s="97" t="s">
        <v>186</v>
      </c>
      <c r="C149" s="98">
        <v>95</v>
      </c>
      <c r="D149" s="98" t="s">
        <v>62</v>
      </c>
      <c r="E149" s="48"/>
      <c r="F149" s="37" t="e">
        <f>AVERAGEIF(ENTRADAS!$C$7:C420,$B149,ENTRADAS!$F$7:F420)</f>
        <v>#DIV/0!</v>
      </c>
      <c r="G149" s="42">
        <f>VLOOKUP(PROD!$B149,ENTRADAS!$C$7:$H$323,5,0)</f>
        <v>0</v>
      </c>
      <c r="H149" s="43"/>
    </row>
    <row r="150" spans="2:8" ht="15.75" customHeight="1">
      <c r="B150" s="97" t="s">
        <v>187</v>
      </c>
      <c r="C150" s="98">
        <v>96</v>
      </c>
      <c r="D150" s="98" t="s">
        <v>62</v>
      </c>
      <c r="E150" s="99"/>
      <c r="F150" s="37" t="e">
        <f>AVERAGEIF(ENTRADAS!$C$7:C421,$B150,ENTRADAS!$F$7:F421)</f>
        <v>#DIV/0!</v>
      </c>
      <c r="G150" s="42">
        <f>VLOOKUP(PROD!$B150,ENTRADAS!$C$7:$H$323,5,0)</f>
        <v>0</v>
      </c>
      <c r="H150" s="43"/>
    </row>
    <row r="151" spans="2:8" s="119" customFormat="1" ht="15.75" customHeight="1">
      <c r="B151" s="97" t="s">
        <v>231</v>
      </c>
      <c r="C151" s="98"/>
      <c r="D151" s="98" t="s">
        <v>62</v>
      </c>
      <c r="E151" s="99"/>
      <c r="F151" s="37"/>
      <c r="G151" s="42"/>
      <c r="H151" s="43"/>
    </row>
    <row r="152" spans="2:8" s="113" customFormat="1" ht="15.75" customHeight="1">
      <c r="B152" s="106" t="s">
        <v>83</v>
      </c>
      <c r="C152" s="98"/>
      <c r="D152" s="98" t="s">
        <v>62</v>
      </c>
      <c r="E152" s="99"/>
      <c r="F152" s="37"/>
      <c r="G152" s="42"/>
      <c r="H152" s="43"/>
    </row>
    <row r="153" spans="2:8" ht="15.75" customHeight="1">
      <c r="B153" s="97" t="s">
        <v>188</v>
      </c>
      <c r="C153" s="98">
        <v>97</v>
      </c>
      <c r="D153" s="98" t="s">
        <v>62</v>
      </c>
      <c r="E153" s="99"/>
      <c r="F153" s="37" t="e">
        <f>AVERAGEIF(ENTRADAS!$C$7:C422,$B153,ENTRADAS!$F$7:F422)</f>
        <v>#DIV/0!</v>
      </c>
      <c r="G153" s="42">
        <f>VLOOKUP(PROD!$B153,ENTRADAS!$C$7:$H$323,5,0)</f>
        <v>0</v>
      </c>
      <c r="H153" s="43"/>
    </row>
    <row r="154" spans="2:8" ht="15.75" customHeight="1">
      <c r="B154" s="97" t="s">
        <v>189</v>
      </c>
      <c r="C154" s="98">
        <v>98</v>
      </c>
      <c r="D154" s="98" t="s">
        <v>62</v>
      </c>
      <c r="E154" s="99"/>
      <c r="F154" s="37" t="e">
        <f>AVERAGEIF(ENTRADAS!$C$7:C423,$B154,ENTRADAS!$F$7:F423)</f>
        <v>#DIV/0!</v>
      </c>
      <c r="G154" s="42">
        <f>VLOOKUP(PROD!$B154,ENTRADAS!$C$7:$H$323,5,0)</f>
        <v>0</v>
      </c>
      <c r="H154" s="43"/>
    </row>
    <row r="155" spans="2:8" ht="15.75" customHeight="1">
      <c r="B155" s="97" t="s">
        <v>190</v>
      </c>
      <c r="C155" s="98">
        <v>99</v>
      </c>
      <c r="D155" s="98" t="s">
        <v>62</v>
      </c>
      <c r="E155" s="99"/>
      <c r="F155" s="37" t="e">
        <f>AVERAGEIF(ENTRADAS!$C$7:C424,$B155,ENTRADAS!$F$7:F424)</f>
        <v>#DIV/0!</v>
      </c>
      <c r="G155" s="42">
        <f>VLOOKUP(PROD!$B155,ENTRADAS!$C$7:$H$323,5,0)</f>
        <v>0</v>
      </c>
      <c r="H155" s="43"/>
    </row>
    <row r="156" spans="2:8" ht="15.75" customHeight="1">
      <c r="B156" s="97" t="s">
        <v>191</v>
      </c>
      <c r="C156" s="98">
        <v>100</v>
      </c>
      <c r="D156" s="98" t="s">
        <v>62</v>
      </c>
      <c r="E156" s="48"/>
      <c r="F156" s="37" t="e">
        <f>AVERAGEIF(ENTRADAS!$C$7:C425,$B156,ENTRADAS!$F$7:F425)</f>
        <v>#DIV/0!</v>
      </c>
      <c r="G156" s="42">
        <f>VLOOKUP(PROD!$B156,ENTRADAS!$C$7:$H$323,5,0)</f>
        <v>0</v>
      </c>
      <c r="H156" s="43"/>
    </row>
    <row r="157" spans="2:8" s="119" customFormat="1" ht="15.75" customHeight="1">
      <c r="B157" s="97" t="s">
        <v>231</v>
      </c>
      <c r="C157" s="98"/>
      <c r="D157" s="98" t="s">
        <v>62</v>
      </c>
      <c r="E157" s="48"/>
      <c r="F157" s="37"/>
      <c r="G157" s="42"/>
      <c r="H157" s="43"/>
    </row>
    <row r="158" spans="2:8" s="113" customFormat="1" ht="15.75" customHeight="1">
      <c r="B158" s="106" t="s">
        <v>84</v>
      </c>
      <c r="C158" s="98"/>
      <c r="D158" s="98" t="s">
        <v>62</v>
      </c>
      <c r="E158" s="48"/>
      <c r="F158" s="37"/>
      <c r="G158" s="42"/>
      <c r="H158" s="43"/>
    </row>
    <row r="159" spans="2:8" ht="15.75" customHeight="1">
      <c r="B159" s="97" t="s">
        <v>192</v>
      </c>
      <c r="C159" s="98">
        <v>101</v>
      </c>
      <c r="D159" s="98" t="s">
        <v>62</v>
      </c>
      <c r="E159" s="99"/>
      <c r="F159" s="37" t="e">
        <f>AVERAGEIF(ENTRADAS!$C$7:C426,$B159,ENTRADAS!$F$7:F426)</f>
        <v>#DIV/0!</v>
      </c>
      <c r="G159" s="42">
        <f>VLOOKUP(PROD!$B159,ENTRADAS!$C$7:$H$323,5,0)</f>
        <v>0</v>
      </c>
      <c r="H159" s="43"/>
    </row>
    <row r="160" spans="2:8" ht="15.75" customHeight="1">
      <c r="B160" s="110" t="s">
        <v>193</v>
      </c>
      <c r="C160" s="98">
        <v>102</v>
      </c>
      <c r="D160" s="98" t="s">
        <v>62</v>
      </c>
      <c r="E160" s="99"/>
      <c r="F160" s="37" t="e">
        <f>AVERAGEIF(ENTRADAS!$C$7:C427,$B160,ENTRADAS!$F$7:F427)</f>
        <v>#DIV/0!</v>
      </c>
      <c r="G160" s="42">
        <f>VLOOKUP(PROD!$B160,ENTRADAS!$C$7:$H$323,5,0)</f>
        <v>0</v>
      </c>
      <c r="H160" s="43"/>
    </row>
    <row r="161" spans="2:8" ht="15.75" customHeight="1">
      <c r="B161" s="97" t="s">
        <v>194</v>
      </c>
      <c r="C161" s="98">
        <v>103</v>
      </c>
      <c r="D161" s="98" t="s">
        <v>62</v>
      </c>
      <c r="E161" s="99"/>
      <c r="F161" s="37" t="e">
        <f>AVERAGEIF(ENTRADAS!$C$7:C428,$B161,ENTRADAS!$F$7:F428)</f>
        <v>#DIV/0!</v>
      </c>
      <c r="G161" s="42">
        <f>VLOOKUP(PROD!$B161,ENTRADAS!$C$7:$H$323,5,0)</f>
        <v>0</v>
      </c>
      <c r="H161" s="43"/>
    </row>
    <row r="162" spans="2:8" ht="15.75" customHeight="1">
      <c r="B162" s="97" t="s">
        <v>195</v>
      </c>
      <c r="C162" s="98">
        <v>104</v>
      </c>
      <c r="D162" s="98" t="s">
        <v>62</v>
      </c>
      <c r="E162" s="99"/>
      <c r="F162" s="37" t="e">
        <f>AVERAGEIF(ENTRADAS!$C$7:C429,$B162,ENTRADAS!$F$7:F429)</f>
        <v>#DIV/0!</v>
      </c>
      <c r="G162" s="42">
        <f>VLOOKUP(PROD!$B162,ENTRADAS!$C$7:$H$323,5,0)</f>
        <v>0</v>
      </c>
      <c r="H162" s="43"/>
    </row>
    <row r="163" spans="2:8" ht="15.75" customHeight="1">
      <c r="B163" s="97" t="s">
        <v>196</v>
      </c>
      <c r="C163" s="98">
        <v>105</v>
      </c>
      <c r="D163" s="98" t="s">
        <v>62</v>
      </c>
      <c r="E163" s="48"/>
      <c r="F163" s="37" t="e">
        <f>AVERAGEIF(ENTRADAS!$C$7:C430,$B163,ENTRADAS!$F$7:F430)</f>
        <v>#DIV/0!</v>
      </c>
      <c r="G163" s="42">
        <f>VLOOKUP(PROD!$B163,ENTRADAS!$C$7:$H$323,5,0)</f>
        <v>0</v>
      </c>
      <c r="H163" s="43"/>
    </row>
    <row r="164" spans="2:8" ht="15.75" customHeight="1">
      <c r="B164" s="97" t="s">
        <v>197</v>
      </c>
      <c r="C164" s="98">
        <v>106</v>
      </c>
      <c r="D164" s="98" t="s">
        <v>62</v>
      </c>
      <c r="E164" s="99"/>
      <c r="F164" s="37" t="e">
        <f>AVERAGEIF(ENTRADAS!$C$7:C431,$B164,ENTRADAS!$F$7:F431)</f>
        <v>#DIV/0!</v>
      </c>
      <c r="G164" s="42">
        <f>VLOOKUP(PROD!$B164,ENTRADAS!$C$7:$H$323,5,0)</f>
        <v>0</v>
      </c>
      <c r="H164" s="43"/>
    </row>
    <row r="165" spans="2:8" ht="15.75" customHeight="1">
      <c r="B165" s="97" t="s">
        <v>198</v>
      </c>
      <c r="C165" s="98">
        <v>107</v>
      </c>
      <c r="D165" s="98" t="s">
        <v>62</v>
      </c>
      <c r="E165" s="48"/>
      <c r="F165" s="37" t="e">
        <f>AVERAGEIF(ENTRADAS!$C$7:C432,$B165,ENTRADAS!$F$7:F432)</f>
        <v>#DIV/0!</v>
      </c>
      <c r="G165" s="42">
        <f>VLOOKUP(PROD!$B165,ENTRADAS!$C$7:$H$323,5,0)</f>
        <v>0</v>
      </c>
      <c r="H165" s="43"/>
    </row>
    <row r="166" spans="2:8" ht="15.75" customHeight="1">
      <c r="B166" s="97" t="s">
        <v>199</v>
      </c>
      <c r="C166" s="98">
        <v>108</v>
      </c>
      <c r="D166" s="98" t="s">
        <v>62</v>
      </c>
      <c r="E166" s="99"/>
      <c r="F166" s="37" t="e">
        <f>AVERAGEIF(ENTRADAS!$C$7:C433,$B166,ENTRADAS!$F$7:F433)</f>
        <v>#DIV/0!</v>
      </c>
      <c r="G166" s="42">
        <f>VLOOKUP(PROD!$B166,ENTRADAS!$C$7:$H$323,5,0)</f>
        <v>0</v>
      </c>
      <c r="H166" s="43"/>
    </row>
    <row r="167" spans="2:8" ht="15.75" customHeight="1">
      <c r="B167" s="97" t="s">
        <v>200</v>
      </c>
      <c r="C167" s="98">
        <v>109</v>
      </c>
      <c r="D167" s="98" t="s">
        <v>62</v>
      </c>
      <c r="E167" s="99"/>
      <c r="F167" s="37" t="e">
        <f>AVERAGEIF(ENTRADAS!$C$7:C434,$B167,ENTRADAS!$F$7:F434)</f>
        <v>#DIV/0!</v>
      </c>
      <c r="G167" s="42">
        <f>VLOOKUP(PROD!$B167,ENTRADAS!$C$7:$H$323,5,0)</f>
        <v>0</v>
      </c>
      <c r="H167" s="43"/>
    </row>
    <row r="168" spans="2:8" ht="15.75" customHeight="1">
      <c r="B168" s="97" t="s">
        <v>201</v>
      </c>
      <c r="C168" s="98">
        <v>110</v>
      </c>
      <c r="D168" s="98" t="s">
        <v>62</v>
      </c>
      <c r="E168" s="99"/>
      <c r="F168" s="37" t="e">
        <f>AVERAGEIF(ENTRADAS!$C$7:C435,$B168,ENTRADAS!$F$7:F435)</f>
        <v>#DIV/0!</v>
      </c>
      <c r="G168" s="42">
        <f>VLOOKUP(PROD!$B168,ENTRADAS!$C$7:$H$323,5,0)</f>
        <v>0</v>
      </c>
      <c r="H168" s="43"/>
    </row>
    <row r="169" spans="2:8" ht="15.75" customHeight="1">
      <c r="B169" s="97" t="s">
        <v>202</v>
      </c>
      <c r="C169" s="98">
        <v>111</v>
      </c>
      <c r="D169" s="98" t="s">
        <v>62</v>
      </c>
      <c r="E169" s="99"/>
      <c r="F169" s="37" t="e">
        <f>AVERAGEIF(ENTRADAS!$C$7:C436,$B169,ENTRADAS!$F$7:F436)</f>
        <v>#DIV/0!</v>
      </c>
      <c r="G169" s="42">
        <f>VLOOKUP(PROD!$B169,ENTRADAS!$C$7:$H$323,5,0)</f>
        <v>0</v>
      </c>
      <c r="H169" s="43"/>
    </row>
    <row r="170" spans="2:8" s="119" customFormat="1" ht="15.75" customHeight="1">
      <c r="B170" s="97" t="s">
        <v>231</v>
      </c>
      <c r="C170" s="98"/>
      <c r="D170" s="98" t="s">
        <v>62</v>
      </c>
      <c r="E170" s="99"/>
      <c r="F170" s="37"/>
      <c r="G170" s="42"/>
      <c r="H170" s="43"/>
    </row>
    <row r="171" spans="2:8" s="113" customFormat="1" ht="15.75" customHeight="1">
      <c r="B171" s="106" t="s">
        <v>85</v>
      </c>
      <c r="C171" s="98"/>
      <c r="D171" s="98" t="s">
        <v>62</v>
      </c>
      <c r="E171" s="99"/>
      <c r="F171" s="37"/>
      <c r="G171" s="42"/>
      <c r="H171" s="43"/>
    </row>
    <row r="172" spans="2:8" ht="15.75" customHeight="1">
      <c r="B172" s="97" t="s">
        <v>203</v>
      </c>
      <c r="C172" s="98">
        <v>112</v>
      </c>
      <c r="D172" s="98" t="s">
        <v>62</v>
      </c>
      <c r="E172" s="48"/>
      <c r="F172" s="37" t="e">
        <f>AVERAGEIF(ENTRADAS!$C$7:C437,$B172,ENTRADAS!$F$7:F437)</f>
        <v>#DIV/0!</v>
      </c>
      <c r="G172" s="42">
        <f>VLOOKUP(PROD!$B172,ENTRADAS!$C$7:$H$323,5,0)</f>
        <v>0</v>
      </c>
      <c r="H172" s="43"/>
    </row>
    <row r="173" spans="2:8" ht="15.75" customHeight="1">
      <c r="B173" s="97" t="s">
        <v>204</v>
      </c>
      <c r="C173" s="98">
        <v>113</v>
      </c>
      <c r="D173" s="98" t="s">
        <v>62</v>
      </c>
      <c r="E173" s="48"/>
      <c r="F173" s="37" t="e">
        <f>AVERAGEIF(ENTRADAS!$C$7:C438,$B173,ENTRADAS!$F$7:F438)</f>
        <v>#DIV/0!</v>
      </c>
      <c r="G173" s="42">
        <f>VLOOKUP(PROD!$B173,ENTRADAS!$C$7:$H$323,5,0)</f>
        <v>0</v>
      </c>
      <c r="H173" s="43"/>
    </row>
    <row r="174" spans="2:8" ht="15.75" customHeight="1">
      <c r="B174" s="97" t="s">
        <v>205</v>
      </c>
      <c r="C174" s="98">
        <v>114</v>
      </c>
      <c r="D174" s="98" t="s">
        <v>62</v>
      </c>
      <c r="E174" s="99"/>
      <c r="F174" s="37" t="e">
        <f>AVERAGEIF(ENTRADAS!$C$7:C439,$B174,ENTRADAS!$F$7:F439)</f>
        <v>#DIV/0!</v>
      </c>
      <c r="G174" s="42">
        <f>VLOOKUP(PROD!$B174,ENTRADAS!$C$7:$H$323,5,0)</f>
        <v>0</v>
      </c>
      <c r="H174" s="43"/>
    </row>
    <row r="175" spans="2:8" ht="15.75" customHeight="1">
      <c r="B175" s="97" t="s">
        <v>206</v>
      </c>
      <c r="C175" s="98">
        <v>115</v>
      </c>
      <c r="D175" s="98" t="s">
        <v>62</v>
      </c>
      <c r="E175" s="99"/>
      <c r="F175" s="37" t="e">
        <f>AVERAGEIF(ENTRADAS!$C$7:C440,$B175,ENTRADAS!$F$7:F440)</f>
        <v>#DIV/0!</v>
      </c>
      <c r="G175" s="42">
        <f>VLOOKUP(PROD!$B175,ENTRADAS!$C$7:$H$323,5,0)</f>
        <v>0</v>
      </c>
      <c r="H175" s="43"/>
    </row>
    <row r="176" spans="2:8" s="119" customFormat="1" ht="15.75" customHeight="1">
      <c r="B176" s="97" t="s">
        <v>231</v>
      </c>
      <c r="C176" s="98"/>
      <c r="D176" s="98" t="s">
        <v>62</v>
      </c>
      <c r="E176" s="48"/>
      <c r="F176" s="37"/>
      <c r="G176" s="42"/>
      <c r="H176" s="43"/>
    </row>
    <row r="177" spans="2:8" s="113" customFormat="1" ht="15.75" customHeight="1">
      <c r="B177" s="106" t="s">
        <v>91</v>
      </c>
      <c r="C177" s="98"/>
      <c r="D177" s="98" t="s">
        <v>62</v>
      </c>
      <c r="E177" s="48"/>
      <c r="F177" s="37"/>
      <c r="G177" s="42"/>
      <c r="H177" s="43"/>
    </row>
    <row r="178" spans="2:8" ht="15.75" customHeight="1">
      <c r="B178" s="97" t="s">
        <v>207</v>
      </c>
      <c r="C178" s="98">
        <v>123</v>
      </c>
      <c r="D178" s="98" t="s">
        <v>62</v>
      </c>
      <c r="E178" s="99"/>
      <c r="F178" s="37" t="e">
        <f>AVERAGEIF(ENTRADAS!$C$7:C448,$B178,ENTRADAS!$F$7:F448)</f>
        <v>#DIV/0!</v>
      </c>
      <c r="G178" s="42">
        <f>VLOOKUP(PROD!$B178,ENTRADAS!$C$7:$H$323,5,0)</f>
        <v>0</v>
      </c>
      <c r="H178" s="43"/>
    </row>
    <row r="179" spans="2:8" ht="15.75" customHeight="1">
      <c r="B179" s="97" t="s">
        <v>208</v>
      </c>
      <c r="C179" s="98">
        <v>124</v>
      </c>
      <c r="D179" s="98" t="s">
        <v>62</v>
      </c>
      <c r="E179" s="99"/>
      <c r="F179" s="37" t="e">
        <f>AVERAGEIF(ENTRADAS!$C$7:C449,$B179,ENTRADAS!$F$7:F449)</f>
        <v>#DIV/0!</v>
      </c>
      <c r="G179" s="42">
        <f>VLOOKUP(PROD!$B179,ENTRADAS!$C$7:$H$323,5,0)</f>
        <v>0</v>
      </c>
      <c r="H179" s="43"/>
    </row>
    <row r="180" spans="2:8" ht="15.75" customHeight="1">
      <c r="B180" s="97" t="s">
        <v>209</v>
      </c>
      <c r="C180" s="98">
        <v>125</v>
      </c>
      <c r="D180" s="98" t="s">
        <v>62</v>
      </c>
      <c r="E180" s="99"/>
      <c r="F180" s="37" t="e">
        <f>AVERAGEIF(ENTRADAS!$C$7:C450,$B180,ENTRADAS!$F$7:F450)</f>
        <v>#DIV/0!</v>
      </c>
      <c r="G180" s="42">
        <f>VLOOKUP(PROD!$B180,ENTRADAS!$C$7:$H$323,5,0)</f>
        <v>0</v>
      </c>
      <c r="H180" s="43"/>
    </row>
    <row r="181" spans="2:8" ht="15.75" customHeight="1">
      <c r="B181" s="97" t="s">
        <v>210</v>
      </c>
      <c r="C181" s="98">
        <v>126</v>
      </c>
      <c r="D181" s="98" t="s">
        <v>62</v>
      </c>
      <c r="E181" s="48"/>
      <c r="F181" s="37" t="e">
        <f>AVERAGEIF(ENTRADAS!$C$7:C451,$B181,ENTRADAS!$F$7:F451)</f>
        <v>#DIV/0!</v>
      </c>
      <c r="G181" s="42">
        <f>VLOOKUP(PROD!$B181,ENTRADAS!$C$7:$H$323,5,0)</f>
        <v>0</v>
      </c>
      <c r="H181" s="43"/>
    </row>
    <row r="182" spans="2:8" ht="15.75" customHeight="1">
      <c r="B182" s="97" t="s">
        <v>211</v>
      </c>
      <c r="C182" s="98">
        <v>127</v>
      </c>
      <c r="D182" s="98" t="s">
        <v>62</v>
      </c>
      <c r="E182" s="99"/>
      <c r="F182" s="37" t="e">
        <f>AVERAGEIF(ENTRADAS!$C$7:C452,$B182,ENTRADAS!$F$7:F452)</f>
        <v>#DIV/0!</v>
      </c>
      <c r="G182" s="42">
        <f>VLOOKUP(PROD!$B182,ENTRADAS!$C$7:$H$323,5,0)</f>
        <v>0</v>
      </c>
      <c r="H182" s="43"/>
    </row>
    <row r="183" spans="2:8" ht="15.75" customHeight="1">
      <c r="B183" s="97" t="s">
        <v>212</v>
      </c>
      <c r="C183" s="98">
        <v>128</v>
      </c>
      <c r="D183" s="98" t="s">
        <v>62</v>
      </c>
      <c r="E183" s="99"/>
      <c r="F183" s="37" t="e">
        <f>AVERAGEIF(ENTRADAS!$C$7:C453,$B183,ENTRADAS!$F$7:F453)</f>
        <v>#DIV/0!</v>
      </c>
      <c r="G183" s="42">
        <f>VLOOKUP(PROD!$B183,ENTRADAS!$C$7:$H$323,5,0)</f>
        <v>0</v>
      </c>
      <c r="H183" s="43"/>
    </row>
    <row r="184" spans="2:8" s="119" customFormat="1" ht="15.75" customHeight="1">
      <c r="B184" s="97" t="s">
        <v>231</v>
      </c>
      <c r="C184" s="98"/>
      <c r="D184" s="98" t="s">
        <v>62</v>
      </c>
      <c r="E184" s="99"/>
      <c r="F184" s="37"/>
      <c r="G184" s="42"/>
      <c r="H184" s="43"/>
    </row>
    <row r="185" spans="2:8" s="113" customFormat="1" ht="15.75" customHeight="1">
      <c r="B185" s="106" t="s">
        <v>86</v>
      </c>
      <c r="C185" s="98"/>
      <c r="D185" s="98" t="s">
        <v>62</v>
      </c>
      <c r="E185" s="99"/>
      <c r="F185" s="37"/>
      <c r="G185" s="42"/>
      <c r="H185" s="43"/>
    </row>
    <row r="186" spans="2:8" ht="15.75" customHeight="1">
      <c r="B186" s="97" t="s">
        <v>213</v>
      </c>
      <c r="C186" s="98">
        <v>129</v>
      </c>
      <c r="D186" s="98" t="s">
        <v>62</v>
      </c>
      <c r="E186" s="99"/>
      <c r="F186" s="37" t="e">
        <f>AVERAGEIF(ENTRADAS!$C$7:C454,$B186,ENTRADAS!$F$7:F454)</f>
        <v>#DIV/0!</v>
      </c>
      <c r="G186" s="42">
        <f>VLOOKUP(PROD!$B186,ENTRADAS!$C$7:$H$323,5,0)</f>
        <v>0</v>
      </c>
      <c r="H186" s="43"/>
    </row>
    <row r="187" spans="2:8" ht="15.75" customHeight="1">
      <c r="B187" s="97" t="s">
        <v>214</v>
      </c>
      <c r="C187" s="98">
        <v>130</v>
      </c>
      <c r="D187" s="98" t="s">
        <v>62</v>
      </c>
      <c r="E187" s="99"/>
      <c r="F187" s="37" t="e">
        <f>AVERAGEIF(ENTRADAS!$C$7:C455,$B187,ENTRADAS!$F$7:F455)</f>
        <v>#DIV/0!</v>
      </c>
      <c r="G187" s="42">
        <f>VLOOKUP(PROD!$B187,ENTRADAS!$C$7:$H$323,5,0)</f>
        <v>0</v>
      </c>
      <c r="H187" s="43"/>
    </row>
    <row r="188" spans="2:8" ht="15.75" customHeight="1">
      <c r="B188" s="97" t="s">
        <v>215</v>
      </c>
      <c r="C188" s="98">
        <v>131</v>
      </c>
      <c r="D188" s="98" t="s">
        <v>62</v>
      </c>
      <c r="E188" s="99"/>
      <c r="F188" s="37" t="e">
        <f>AVERAGEIF(ENTRADAS!$C$7:C456,$B188,ENTRADAS!$F$7:F456)</f>
        <v>#DIV/0!</v>
      </c>
      <c r="G188" s="42">
        <f>VLOOKUP(PROD!$B188,ENTRADAS!$C$7:$H$323,5,0)</f>
        <v>0</v>
      </c>
      <c r="H188" s="43"/>
    </row>
    <row r="189" spans="2:8" ht="15.75" customHeight="1">
      <c r="B189" s="97" t="s">
        <v>216</v>
      </c>
      <c r="C189" s="98">
        <v>132</v>
      </c>
      <c r="D189" s="98" t="s">
        <v>62</v>
      </c>
      <c r="E189" s="48"/>
      <c r="F189" s="37" t="e">
        <f>AVERAGEIF(ENTRADAS!$C$7:C457,$B189,ENTRADAS!$F$7:F457)</f>
        <v>#DIV/0!</v>
      </c>
      <c r="G189" s="42">
        <f>VLOOKUP(PROD!$B189,ENTRADAS!$C$7:$H$323,5,0)</f>
        <v>0</v>
      </c>
      <c r="H189" s="43"/>
    </row>
    <row r="190" spans="2:8" s="119" customFormat="1" ht="15.75" customHeight="1">
      <c r="B190" s="97" t="s">
        <v>231</v>
      </c>
      <c r="C190" s="98"/>
      <c r="D190" s="98" t="s">
        <v>62</v>
      </c>
      <c r="E190" s="48"/>
      <c r="F190" s="37"/>
      <c r="G190" s="42"/>
      <c r="H190" s="43"/>
    </row>
    <row r="191" spans="2:8" s="113" customFormat="1" ht="15.75" customHeight="1">
      <c r="B191" s="106" t="s">
        <v>87</v>
      </c>
      <c r="C191" s="98"/>
      <c r="D191" s="98" t="s">
        <v>62</v>
      </c>
      <c r="E191" s="48"/>
      <c r="F191" s="37"/>
      <c r="G191" s="42"/>
      <c r="H191" s="43"/>
    </row>
    <row r="192" spans="2:8" s="129" customFormat="1" ht="15.75" customHeight="1">
      <c r="B192" s="97" t="s">
        <v>268</v>
      </c>
      <c r="C192" s="98">
        <v>134</v>
      </c>
      <c r="D192" s="98" t="s">
        <v>62</v>
      </c>
      <c r="E192" s="99"/>
      <c r="F192" s="37" t="e">
        <f>AVERAGEIF(ENTRADAS!$C$7:C458,$B192,ENTRADAS!$F$7:F458)</f>
        <v>#DIV/0!</v>
      </c>
      <c r="G192" s="42">
        <f>VLOOKUP(PROD!$B192,ENTRADAS!$C$7:$H$323,5,0)</f>
        <v>0</v>
      </c>
      <c r="H192" s="43"/>
    </row>
    <row r="193" spans="2:8" ht="15.75" customHeight="1">
      <c r="B193" s="97" t="s">
        <v>217</v>
      </c>
      <c r="C193" s="98">
        <v>134</v>
      </c>
      <c r="D193" s="98" t="s">
        <v>62</v>
      </c>
      <c r="E193" s="99"/>
      <c r="F193" s="37" t="e">
        <f>AVERAGEIF(ENTRADAS!$C$7:C459,$B193,ENTRADAS!$F$7:F459)</f>
        <v>#DIV/0!</v>
      </c>
      <c r="G193" s="42">
        <f>VLOOKUP(PROD!$B193,ENTRADAS!$C$7:$H$323,5,0)</f>
        <v>0</v>
      </c>
      <c r="H193" s="43"/>
    </row>
    <row r="194" spans="2:8" ht="15.75" customHeight="1">
      <c r="B194" s="97" t="s">
        <v>218</v>
      </c>
      <c r="C194" s="98">
        <v>135</v>
      </c>
      <c r="D194" s="98" t="s">
        <v>62</v>
      </c>
      <c r="E194" s="99"/>
      <c r="F194" s="37" t="e">
        <f>AVERAGEIF(ENTRADAS!$C$7:C460,$B194,ENTRADAS!$F$7:F460)</f>
        <v>#DIV/0!</v>
      </c>
      <c r="G194" s="42">
        <f>VLOOKUP(PROD!$B194,ENTRADAS!$C$7:$H$323,5,0)</f>
        <v>0</v>
      </c>
      <c r="H194" s="43"/>
    </row>
    <row r="195" spans="2:8" ht="15.75" customHeight="1">
      <c r="B195" s="97" t="s">
        <v>219</v>
      </c>
      <c r="C195" s="98">
        <v>136</v>
      </c>
      <c r="D195" s="98" t="s">
        <v>62</v>
      </c>
      <c r="E195" s="99"/>
      <c r="F195" s="37" t="e">
        <f>AVERAGEIF(ENTRADAS!$C$7:C461,$B195,ENTRADAS!$F$7:F461)</f>
        <v>#DIV/0!</v>
      </c>
      <c r="G195" s="42">
        <f>VLOOKUP(PROD!$B195,ENTRADAS!$C$7:$H$323,5,0)</f>
        <v>0</v>
      </c>
      <c r="H195" s="43"/>
    </row>
    <row r="196" spans="2:8" ht="15.75" customHeight="1">
      <c r="B196" s="97" t="s">
        <v>220</v>
      </c>
      <c r="C196" s="98">
        <v>137</v>
      </c>
      <c r="D196" s="98" t="s">
        <v>62</v>
      </c>
      <c r="E196" s="48"/>
      <c r="F196" s="37" t="e">
        <f>AVERAGEIF(ENTRADAS!$C$7:C462,$B196,ENTRADAS!$F$7:F462)</f>
        <v>#DIV/0!</v>
      </c>
      <c r="G196" s="42">
        <f>VLOOKUP(PROD!$B196,ENTRADAS!$C$7:$H$323,5,0)</f>
        <v>0</v>
      </c>
      <c r="H196" s="43"/>
    </row>
    <row r="197" spans="2:8" ht="15.75" customHeight="1">
      <c r="B197" s="97" t="s">
        <v>221</v>
      </c>
      <c r="C197" s="98">
        <v>138</v>
      </c>
      <c r="D197" s="98" t="s">
        <v>62</v>
      </c>
      <c r="E197" s="48"/>
      <c r="F197" s="37" t="e">
        <f>AVERAGEIF(ENTRADAS!$C$7:C463,$B197,ENTRADAS!$F$7:F463)</f>
        <v>#DIV/0!</v>
      </c>
      <c r="G197" s="42">
        <f>VLOOKUP(PROD!$B197,ENTRADAS!$C$7:$H$323,5,0)</f>
        <v>0</v>
      </c>
      <c r="H197" s="43"/>
    </row>
    <row r="198" spans="2:8" s="119" customFormat="1" ht="15.75" customHeight="1">
      <c r="B198" s="97" t="s">
        <v>231</v>
      </c>
      <c r="C198" s="98"/>
      <c r="D198" s="98" t="s">
        <v>62</v>
      </c>
      <c r="E198" s="48"/>
      <c r="F198" s="37"/>
      <c r="G198" s="42"/>
      <c r="H198" s="43"/>
    </row>
    <row r="199" spans="2:8" s="113" customFormat="1" ht="15.75" customHeight="1">
      <c r="B199" s="106" t="s">
        <v>88</v>
      </c>
      <c r="C199" s="98"/>
      <c r="D199" s="98" t="s">
        <v>62</v>
      </c>
      <c r="E199" s="48"/>
      <c r="F199" s="37"/>
      <c r="G199" s="42"/>
      <c r="H199" s="43"/>
    </row>
    <row r="200" spans="2:8" ht="15.75" customHeight="1">
      <c r="B200" s="97" t="s">
        <v>222</v>
      </c>
      <c r="C200" s="98">
        <v>139</v>
      </c>
      <c r="D200" s="98" t="s">
        <v>62</v>
      </c>
      <c r="E200" s="99"/>
      <c r="F200" s="37" t="e">
        <f>AVERAGEIF(ENTRADAS!$C$7:C464,$B200,ENTRADAS!$F$7:F464)</f>
        <v>#DIV/0!</v>
      </c>
      <c r="G200" s="42">
        <f>VLOOKUP(PROD!$B200,ENTRADAS!$C$7:$H$323,5,0)</f>
        <v>0</v>
      </c>
      <c r="H200" s="43"/>
    </row>
    <row r="201" spans="2:8" ht="15.75" customHeight="1">
      <c r="B201" s="97" t="s">
        <v>223</v>
      </c>
      <c r="C201" s="98">
        <v>140</v>
      </c>
      <c r="D201" s="98" t="s">
        <v>62</v>
      </c>
      <c r="E201" s="99"/>
      <c r="F201" s="37" t="e">
        <f>AVERAGEIF(ENTRADAS!$C$7:C465,$B201,ENTRADAS!$F$7:F465)</f>
        <v>#DIV/0!</v>
      </c>
      <c r="G201" s="42">
        <f>VLOOKUP(PROD!$B201,ENTRADAS!$C$7:$H$323,5,0)</f>
        <v>0</v>
      </c>
      <c r="H201" s="43"/>
    </row>
    <row r="202" spans="2:8" ht="15.75" customHeight="1">
      <c r="B202" s="97" t="s">
        <v>224</v>
      </c>
      <c r="C202" s="98">
        <v>141</v>
      </c>
      <c r="D202" s="98" t="s">
        <v>62</v>
      </c>
      <c r="E202" s="99"/>
      <c r="F202" s="37" t="e">
        <f>AVERAGEIF(ENTRADAS!$C$7:C466,$B202,ENTRADAS!$F$7:F466)</f>
        <v>#DIV/0!</v>
      </c>
      <c r="G202" s="42">
        <f>VLOOKUP(PROD!$B202,ENTRADAS!$C$7:$H$323,5,0)</f>
        <v>0</v>
      </c>
      <c r="H202" s="43"/>
    </row>
    <row r="203" spans="2:8" ht="15.75" customHeight="1">
      <c r="B203" s="97" t="s">
        <v>225</v>
      </c>
      <c r="C203" s="98">
        <v>142</v>
      </c>
      <c r="D203" s="98" t="s">
        <v>62</v>
      </c>
      <c r="E203" s="99"/>
      <c r="F203" s="37" t="e">
        <f>AVERAGEIF(ENTRADAS!$C$7:C467,$B203,ENTRADAS!$F$7:F467)</f>
        <v>#DIV/0!</v>
      </c>
      <c r="G203" s="42">
        <f>VLOOKUP(PROD!$B203,ENTRADAS!$C$7:$H$323,5,0)</f>
        <v>0</v>
      </c>
      <c r="H203" s="43"/>
    </row>
    <row r="204" spans="2:8" s="149" customFormat="1" ht="15.75" customHeight="1">
      <c r="B204" s="97" t="s">
        <v>327</v>
      </c>
      <c r="C204" s="98">
        <v>142</v>
      </c>
      <c r="D204" s="98" t="s">
        <v>62</v>
      </c>
      <c r="E204" s="99"/>
      <c r="F204" s="37" t="e">
        <f>AVERAGEIF(ENTRADAS!$C$7:C469,$B204,ENTRADAS!$F$7:F469)</f>
        <v>#DIV/0!</v>
      </c>
      <c r="G204" s="42">
        <f>VLOOKUP(PROD!$B204,ENTRADAS!$C$7:$H$323,5,0)</f>
        <v>0</v>
      </c>
      <c r="H204" s="43"/>
    </row>
    <row r="205" spans="2:8" s="119" customFormat="1" ht="15.75" customHeight="1">
      <c r="B205" s="97" t="s">
        <v>231</v>
      </c>
      <c r="C205" s="98"/>
      <c r="D205" s="98" t="s">
        <v>62</v>
      </c>
      <c r="E205" s="99"/>
      <c r="F205" s="37"/>
      <c r="G205" s="42"/>
      <c r="H205" s="43"/>
    </row>
    <row r="206" spans="2:8" s="113" customFormat="1" ht="15.75" customHeight="1">
      <c r="B206" s="106" t="s">
        <v>89</v>
      </c>
      <c r="C206" s="98"/>
      <c r="D206" s="98" t="s">
        <v>62</v>
      </c>
      <c r="E206" s="99"/>
      <c r="F206" s="37"/>
      <c r="G206" s="42"/>
      <c r="H206" s="43"/>
    </row>
    <row r="207" spans="2:8" ht="15.75" customHeight="1">
      <c r="B207" s="97" t="s">
        <v>226</v>
      </c>
      <c r="C207" s="98">
        <v>143</v>
      </c>
      <c r="D207" s="98" t="s">
        <v>62</v>
      </c>
      <c r="E207" s="48"/>
      <c r="F207" s="37" t="e">
        <f>AVERAGEIF(ENTRADAS!$C$7:C468,$B207,ENTRADAS!$F$7:F468)</f>
        <v>#DIV/0!</v>
      </c>
      <c r="G207" s="42">
        <f>VLOOKUP(PROD!$B207,ENTRADAS!$C$7:$H$323,5,0)</f>
        <v>0</v>
      </c>
      <c r="H207" s="43"/>
    </row>
    <row r="208" spans="2:8" ht="15.75" customHeight="1">
      <c r="B208" s="97" t="s">
        <v>227</v>
      </c>
      <c r="C208" s="98">
        <v>144</v>
      </c>
      <c r="D208" s="98" t="s">
        <v>62</v>
      </c>
      <c r="E208" s="99"/>
      <c r="F208" s="37" t="e">
        <f>AVERAGEIF(ENTRADAS!$C$7:C469,$B208,ENTRADAS!$F$7:F469)</f>
        <v>#DIV/0!</v>
      </c>
      <c r="G208" s="42">
        <f>VLOOKUP(PROD!$B208,ENTRADAS!$C$7:$H$323,5,0)</f>
        <v>0</v>
      </c>
      <c r="H208" s="43"/>
    </row>
    <row r="209" spans="2:8" ht="15.75" customHeight="1">
      <c r="B209" s="97" t="s">
        <v>228</v>
      </c>
      <c r="C209" s="98">
        <v>145</v>
      </c>
      <c r="D209" s="98" t="s">
        <v>62</v>
      </c>
      <c r="E209" s="99"/>
      <c r="F209" s="37" t="e">
        <f>AVERAGEIF(ENTRADAS!$C$7:C470,$B209,ENTRADAS!$F$7:F470)</f>
        <v>#DIV/0!</v>
      </c>
      <c r="G209" s="42">
        <f>VLOOKUP(PROD!$B209,ENTRADAS!$C$7:$H$323,5,0)</f>
        <v>0</v>
      </c>
      <c r="H209" s="43"/>
    </row>
    <row r="210" spans="2:8" ht="15.75" customHeight="1">
      <c r="B210" s="97" t="s">
        <v>229</v>
      </c>
      <c r="C210" s="98">
        <v>146</v>
      </c>
      <c r="D210" s="98" t="s">
        <v>62</v>
      </c>
      <c r="E210" s="99"/>
      <c r="F210" s="37" t="e">
        <f>AVERAGEIF(ENTRADAS!$C$7:C471,$B210,ENTRADAS!$F$7:F471)</f>
        <v>#DIV/0!</v>
      </c>
      <c r="G210" s="42">
        <f>VLOOKUP(PROD!$B210,ENTRADAS!$C$7:$H$323,5,0)</f>
        <v>0</v>
      </c>
      <c r="H210" s="43"/>
    </row>
    <row r="211" spans="2:8" s="129" customFormat="1" ht="15.75" customHeight="1">
      <c r="B211" s="97" t="s">
        <v>231</v>
      </c>
      <c r="C211" s="98">
        <v>146</v>
      </c>
      <c r="D211" s="98" t="s">
        <v>62</v>
      </c>
      <c r="E211" s="99"/>
      <c r="F211" s="37" t="e">
        <f>AVERAGEIF(ENTRADAS!$C$7:C472,$B211,ENTRADAS!$F$7:F472)</f>
        <v>#DIV/0!</v>
      </c>
      <c r="G211" s="42" t="e">
        <f>VLOOKUP(PROD!$B211,ENTRADAS!$C$7:$H$323,5,0)</f>
        <v>#N/A</v>
      </c>
      <c r="H211" s="43"/>
    </row>
    <row r="212" spans="2:8" s="121" customFormat="1" ht="15.75" customHeight="1">
      <c r="B212" s="106" t="s">
        <v>315</v>
      </c>
      <c r="C212" s="132">
        <v>146</v>
      </c>
      <c r="D212" s="98" t="s">
        <v>62</v>
      </c>
      <c r="E212" s="133"/>
      <c r="F212" s="134" t="e">
        <f>AVERAGEIF(ENTRADAS!$C$7:C473,$B212,ENTRADAS!$F$7:F473)</f>
        <v>#DIV/0!</v>
      </c>
      <c r="G212" s="135" t="e">
        <f>VLOOKUP(PROD!$B212,ENTRADAS!$C$7:$H$323,5,0)</f>
        <v>#N/A</v>
      </c>
      <c r="H212" s="136"/>
    </row>
    <row r="213" spans="2:8" s="145" customFormat="1" ht="15.75" customHeight="1">
      <c r="B213" s="97" t="s">
        <v>310</v>
      </c>
      <c r="C213" s="98">
        <v>146</v>
      </c>
      <c r="D213" s="98" t="s">
        <v>62</v>
      </c>
      <c r="E213" s="99"/>
      <c r="F213" s="37" t="e">
        <f>AVERAGEIF(ENTRADAS!$C$7:C471,$B213,ENTRADAS!$F$7:F471)</f>
        <v>#DIV/0!</v>
      </c>
      <c r="G213" s="42" t="e">
        <f>VLOOKUP(PROD!$B213,ENTRADAS!$C$7:$H$323,5,0)</f>
        <v>#N/A</v>
      </c>
      <c r="H213" s="43"/>
    </row>
    <row r="214" spans="2:8" s="145" customFormat="1" ht="15.75" customHeight="1">
      <c r="B214" s="97" t="s">
        <v>309</v>
      </c>
      <c r="C214" s="98">
        <v>146</v>
      </c>
      <c r="D214" s="98" t="s">
        <v>62</v>
      </c>
      <c r="E214" s="99"/>
      <c r="F214" s="37" t="e">
        <f>AVERAGEIF(ENTRADAS!$C$7:C472,$B214,ENTRADAS!$F$7:F472)</f>
        <v>#DIV/0!</v>
      </c>
      <c r="G214" s="42" t="e">
        <f>VLOOKUP(PROD!$B214,ENTRADAS!$C$7:$H$323,5,0)</f>
        <v>#N/A</v>
      </c>
      <c r="H214" s="43"/>
    </row>
    <row r="215" spans="2:8" s="145" customFormat="1" ht="15.75" customHeight="1">
      <c r="B215" s="97" t="s">
        <v>308</v>
      </c>
      <c r="C215" s="98">
        <v>146</v>
      </c>
      <c r="D215" s="98" t="s">
        <v>62</v>
      </c>
      <c r="E215" s="99"/>
      <c r="F215" s="37" t="e">
        <f>AVERAGEIF(ENTRADAS!$C$7:C473,$B215,ENTRADAS!$F$7:F473)</f>
        <v>#DIV/0!</v>
      </c>
      <c r="G215" s="42" t="e">
        <f>VLOOKUP(PROD!$B215,ENTRADAS!$C$7:$H$323,5,0)</f>
        <v>#N/A</v>
      </c>
      <c r="H215" s="43"/>
    </row>
    <row r="216" spans="2:8" s="129" customFormat="1" ht="15.75" customHeight="1">
      <c r="B216" s="97" t="s">
        <v>270</v>
      </c>
      <c r="C216" s="98">
        <v>146</v>
      </c>
      <c r="D216" s="98" t="s">
        <v>62</v>
      </c>
      <c r="E216" s="99"/>
      <c r="F216" s="37" t="e">
        <f>AVERAGEIF(ENTRADAS!$C$7:C474,$B216,ENTRADAS!$F$7:F474)</f>
        <v>#DIV/0!</v>
      </c>
      <c r="G216" s="42">
        <f>VLOOKUP(PROD!$B216,ENTRADAS!$C$7:$H$323,5,0)</f>
        <v>0</v>
      </c>
      <c r="H216" s="43"/>
    </row>
    <row r="217" spans="2:8" s="129" customFormat="1" ht="15.75" customHeight="1">
      <c r="B217" s="97" t="s">
        <v>271</v>
      </c>
      <c r="C217" s="98">
        <v>146</v>
      </c>
      <c r="D217" s="98" t="s">
        <v>62</v>
      </c>
      <c r="E217" s="99"/>
      <c r="F217" s="37" t="e">
        <f>AVERAGEIF(ENTRADAS!$C$7:C475,$B217,ENTRADAS!$F$7:F475)</f>
        <v>#DIV/0!</v>
      </c>
      <c r="G217" s="42">
        <f>VLOOKUP(PROD!$B217,ENTRADAS!$C$7:$H$323,5,0)</f>
        <v>0</v>
      </c>
      <c r="H217" s="43"/>
    </row>
    <row r="218" spans="2:8" s="129" customFormat="1" ht="15.75" customHeight="1">
      <c r="B218" s="97" t="s">
        <v>272</v>
      </c>
      <c r="C218" s="98">
        <v>146</v>
      </c>
      <c r="D218" s="98" t="s">
        <v>62</v>
      </c>
      <c r="E218" s="99"/>
      <c r="F218" s="37" t="e">
        <f>AVERAGEIF(ENTRADAS!$C$7:C476,$B218,ENTRADAS!$F$7:F476)</f>
        <v>#DIV/0!</v>
      </c>
      <c r="G218" s="42">
        <f>VLOOKUP(PROD!$B218,ENTRADAS!$C$7:$H$323,5,0)</f>
        <v>0</v>
      </c>
      <c r="H218" s="43"/>
    </row>
    <row r="219" spans="2:8" s="129" customFormat="1" ht="15.75" customHeight="1">
      <c r="B219" s="97" t="s">
        <v>273</v>
      </c>
      <c r="C219" s="98">
        <v>146</v>
      </c>
      <c r="D219" s="98" t="s">
        <v>62</v>
      </c>
      <c r="E219" s="99"/>
      <c r="F219" s="37" t="e">
        <f>AVERAGEIF(ENTRADAS!$C$7:C477,$B219,ENTRADAS!$F$7:F477)</f>
        <v>#DIV/0!</v>
      </c>
      <c r="G219" s="42">
        <f>VLOOKUP(PROD!$B219,ENTRADAS!$C$7:$H$323,5,0)</f>
        <v>0</v>
      </c>
      <c r="H219" s="43"/>
    </row>
    <row r="220" spans="2:8" s="129" customFormat="1" ht="15.75" customHeight="1">
      <c r="B220" s="97" t="s">
        <v>231</v>
      </c>
      <c r="C220" s="98">
        <v>146</v>
      </c>
      <c r="D220" s="98" t="s">
        <v>62</v>
      </c>
      <c r="E220" s="99"/>
      <c r="F220" s="37" t="e">
        <f>AVERAGEIF(ENTRADAS!$C$7:C478,$B220,ENTRADAS!$F$7:F478)</f>
        <v>#DIV/0!</v>
      </c>
      <c r="G220" s="42" t="e">
        <f>VLOOKUP(PROD!$B220,ENTRADAS!$C$7:$H$323,5,0)</f>
        <v>#N/A</v>
      </c>
      <c r="H220" s="43"/>
    </row>
    <row r="221" spans="2:8" s="121" customFormat="1" ht="15.75" customHeight="1">
      <c r="B221" s="106" t="s">
        <v>274</v>
      </c>
      <c r="C221" s="132">
        <v>146</v>
      </c>
      <c r="D221" s="98" t="s">
        <v>62</v>
      </c>
      <c r="E221" s="133"/>
      <c r="F221" s="134" t="e">
        <f>AVERAGEIF(ENTRADAS!$C$7:C479,$B221,ENTRADAS!$F$7:F479)</f>
        <v>#DIV/0!</v>
      </c>
      <c r="G221" s="135">
        <f>VLOOKUP(PROD!$B221,ENTRADAS!$C$7:$H$323,5,0)</f>
        <v>0</v>
      </c>
      <c r="H221" s="136"/>
    </row>
    <row r="222" spans="2:8" s="129" customFormat="1" ht="15.75" customHeight="1">
      <c r="B222" s="97" t="s">
        <v>275</v>
      </c>
      <c r="C222" s="98">
        <v>146</v>
      </c>
      <c r="D222" s="98" t="s">
        <v>62</v>
      </c>
      <c r="E222" s="99"/>
      <c r="F222" s="37" t="e">
        <f>AVERAGEIF(ENTRADAS!$C$7:C480,$B222,ENTRADAS!$F$7:F480)</f>
        <v>#DIV/0!</v>
      </c>
      <c r="G222" s="42">
        <f>VLOOKUP(PROD!$B222,ENTRADAS!$C$7:$H$323,5,0)</f>
        <v>0</v>
      </c>
      <c r="H222" s="43"/>
    </row>
    <row r="223" spans="2:8" s="129" customFormat="1" ht="15.75" customHeight="1">
      <c r="B223" s="97" t="s">
        <v>231</v>
      </c>
      <c r="C223" s="98">
        <v>146</v>
      </c>
      <c r="D223" s="98" t="s">
        <v>62</v>
      </c>
      <c r="E223" s="99"/>
      <c r="F223" s="37" t="e">
        <f>AVERAGEIF(ENTRADAS!$C$7:C481,$B223,ENTRADAS!$F$7:F481)</f>
        <v>#DIV/0!</v>
      </c>
      <c r="G223" s="42" t="e">
        <f>VLOOKUP(PROD!$B223,ENTRADAS!$C$7:$H$323,5,0)</f>
        <v>#N/A</v>
      </c>
      <c r="H223" s="43"/>
    </row>
    <row r="224" spans="2:8" s="121" customFormat="1" ht="15.75" customHeight="1">
      <c r="B224" s="106" t="s">
        <v>276</v>
      </c>
      <c r="C224" s="132">
        <v>146</v>
      </c>
      <c r="D224" s="98" t="s">
        <v>62</v>
      </c>
      <c r="E224" s="133"/>
      <c r="F224" s="134" t="e">
        <f>AVERAGEIF(ENTRADAS!$C$7:C482,$B224,ENTRADAS!$F$7:F482)</f>
        <v>#DIV/0!</v>
      </c>
      <c r="G224" s="135">
        <f>VLOOKUP(PROD!$B224,ENTRADAS!$C$7:$H$323,5,0)</f>
        <v>0</v>
      </c>
      <c r="H224" s="136"/>
    </row>
    <row r="225" spans="2:8" s="144" customFormat="1" ht="15.75" customHeight="1">
      <c r="B225" s="97" t="s">
        <v>296</v>
      </c>
      <c r="C225" s="98">
        <v>146</v>
      </c>
      <c r="D225" s="98" t="s">
        <v>62</v>
      </c>
      <c r="E225" s="99"/>
      <c r="F225" s="37" t="e">
        <f>AVERAGEIF(ENTRADAS!$C$7:C481,$B225,ENTRADAS!$F$7:F481)</f>
        <v>#DIV/0!</v>
      </c>
      <c r="G225" s="42">
        <f>VLOOKUP(PROD!$B225,ENTRADAS!$C$7:$H$323,5,0)</f>
        <v>0</v>
      </c>
      <c r="H225" s="43"/>
    </row>
    <row r="226" spans="2:8" s="144" customFormat="1" ht="15.75" customHeight="1">
      <c r="B226" s="97" t="s">
        <v>295</v>
      </c>
      <c r="C226" s="98">
        <v>146</v>
      </c>
      <c r="D226" s="98" t="s">
        <v>62</v>
      </c>
      <c r="E226" s="99"/>
      <c r="F226" s="37" t="e">
        <f>AVERAGEIF(ENTRADAS!$C$7:C482,$B226,ENTRADAS!$F$7:F482)</f>
        <v>#DIV/0!</v>
      </c>
      <c r="G226" s="42">
        <f>VLOOKUP(PROD!$B226,ENTRADAS!$C$7:$H$323,5,0)</f>
        <v>0</v>
      </c>
      <c r="H226" s="43"/>
    </row>
    <row r="227" spans="2:8" s="129" customFormat="1" ht="15.75" customHeight="1">
      <c r="B227" s="97" t="s">
        <v>277</v>
      </c>
      <c r="C227" s="98">
        <v>146</v>
      </c>
      <c r="D227" s="98" t="s">
        <v>62</v>
      </c>
      <c r="E227" s="99"/>
      <c r="F227" s="37" t="e">
        <f>AVERAGEIF(ENTRADAS!$C$7:C483,$B227,ENTRADAS!$F$7:F483)</f>
        <v>#DIV/0!</v>
      </c>
      <c r="G227" s="42">
        <f>VLOOKUP(PROD!$B227,ENTRADAS!$C$7:$H$323,5,0)</f>
        <v>0</v>
      </c>
      <c r="H227" s="43"/>
    </row>
    <row r="228" spans="2:8" s="129" customFormat="1" ht="15.75" customHeight="1">
      <c r="B228" s="97" t="s">
        <v>278</v>
      </c>
      <c r="C228" s="98">
        <v>146</v>
      </c>
      <c r="D228" s="98" t="s">
        <v>62</v>
      </c>
      <c r="E228" s="99"/>
      <c r="F228" s="37" t="e">
        <f>AVERAGEIF(ENTRADAS!$C$7:C484,$B228,ENTRADAS!$F$7:F484)</f>
        <v>#DIV/0!</v>
      </c>
      <c r="G228" s="42">
        <f>VLOOKUP(PROD!$B228,ENTRADAS!$C$7:$H$323,5,0)</f>
        <v>0</v>
      </c>
      <c r="H228" s="43"/>
    </row>
    <row r="229" spans="2:8" s="131" customFormat="1" ht="15.75" customHeight="1">
      <c r="B229" s="97" t="s">
        <v>231</v>
      </c>
      <c r="C229" s="98">
        <v>146</v>
      </c>
      <c r="D229" s="98" t="s">
        <v>62</v>
      </c>
      <c r="E229" s="99"/>
      <c r="F229" s="37" t="e">
        <f>AVERAGEIF(ENTRADAS!$C$7:C484,$B229,ENTRADAS!$F$7:F484)</f>
        <v>#DIV/0!</v>
      </c>
      <c r="G229" s="42" t="e">
        <f>VLOOKUP(PROD!$B229,ENTRADAS!$C$7:$H$323,5,0)</f>
        <v>#N/A</v>
      </c>
      <c r="H229" s="137"/>
    </row>
    <row r="230" spans="2:8" s="121" customFormat="1" ht="15.75" customHeight="1">
      <c r="B230" s="106" t="s">
        <v>279</v>
      </c>
      <c r="C230" s="132">
        <v>146</v>
      </c>
      <c r="D230" s="98" t="s">
        <v>62</v>
      </c>
      <c r="E230" s="133"/>
      <c r="F230" s="134" t="e">
        <f>AVERAGEIF(ENTRADAS!$C$7:C485,$B230,ENTRADAS!$F$7:F485)</f>
        <v>#DIV/0!</v>
      </c>
      <c r="G230" s="135">
        <f>VLOOKUP(PROD!$B230,ENTRADAS!$C$7:$H$323,5,0)</f>
        <v>0</v>
      </c>
      <c r="H230" s="136"/>
    </row>
    <row r="231" spans="2:8" s="129" customFormat="1" ht="15.75" customHeight="1">
      <c r="B231" s="97" t="s">
        <v>281</v>
      </c>
      <c r="C231" s="98">
        <v>146</v>
      </c>
      <c r="D231" s="98" t="s">
        <v>62</v>
      </c>
      <c r="E231" s="99"/>
      <c r="F231" s="37" t="e">
        <f>AVERAGEIF(ENTRADAS!$C$7:C485,$B231,ENTRADAS!$F$7:F485)</f>
        <v>#DIV/0!</v>
      </c>
      <c r="G231" s="42">
        <f>VLOOKUP(PROD!$B231,ENTRADAS!$C$7:$H$323,5,0)</f>
        <v>0</v>
      </c>
      <c r="H231" s="43"/>
    </row>
    <row r="232" spans="2:8" s="129" customFormat="1" ht="15.75" customHeight="1">
      <c r="B232" s="97" t="s">
        <v>280</v>
      </c>
      <c r="C232" s="98">
        <v>146</v>
      </c>
      <c r="D232" s="98" t="s">
        <v>62</v>
      </c>
      <c r="E232" s="99"/>
      <c r="F232" s="37" t="e">
        <f>AVERAGEIF(ENTRADAS!$C$7:C485,$B232,ENTRADAS!$F$7:F485)</f>
        <v>#DIV/0!</v>
      </c>
      <c r="G232" s="42">
        <f>VLOOKUP(PROD!$B232,ENTRADAS!$C$7:$H$323,5,0)</f>
        <v>0</v>
      </c>
      <c r="H232" s="43"/>
    </row>
    <row r="233" spans="2:8" s="146" customFormat="1" ht="15.75" customHeight="1">
      <c r="B233" s="97" t="s">
        <v>231</v>
      </c>
      <c r="C233" s="98">
        <v>146</v>
      </c>
      <c r="D233" s="98" t="s">
        <v>62</v>
      </c>
      <c r="E233" s="99"/>
      <c r="F233" s="37" t="e">
        <f>AVERAGEIF(ENTRADAS!$C$7:C485,$B233,ENTRADAS!$F$7:F485)</f>
        <v>#DIV/0!</v>
      </c>
      <c r="G233" s="42" t="e">
        <f>VLOOKUP(PROD!$B233,ENTRADAS!$C$7:$H$323,5,0)</f>
        <v>#N/A</v>
      </c>
      <c r="H233" s="147"/>
    </row>
    <row r="234" spans="2:8" s="146" customFormat="1" ht="15.75" customHeight="1">
      <c r="B234" s="106" t="s">
        <v>303</v>
      </c>
      <c r="C234" s="98"/>
      <c r="D234" s="98"/>
      <c r="E234" s="99"/>
      <c r="F234" s="37"/>
      <c r="G234" s="42"/>
      <c r="H234" s="147"/>
    </row>
    <row r="235" spans="2:8" s="146" customFormat="1" ht="15.75" customHeight="1">
      <c r="B235" s="97" t="s">
        <v>298</v>
      </c>
      <c r="C235" s="98">
        <v>146</v>
      </c>
      <c r="D235" s="98" t="s">
        <v>62</v>
      </c>
      <c r="E235" s="99"/>
      <c r="F235" s="37" t="e">
        <f>AVERAGEIF(ENTRADAS!$C$7:C485,$B235,ENTRADAS!$F$7:F485)</f>
        <v>#DIV/0!</v>
      </c>
      <c r="G235" s="42">
        <f>VLOOKUP(PROD!$B235,ENTRADAS!$C$7:$H$323,5,0)</f>
        <v>0</v>
      </c>
      <c r="H235" s="147"/>
    </row>
    <row r="236" spans="2:8" s="146" customFormat="1" ht="15.75" customHeight="1">
      <c r="B236" s="97" t="s">
        <v>299</v>
      </c>
      <c r="C236" s="98">
        <v>146</v>
      </c>
      <c r="D236" s="98" t="s">
        <v>62</v>
      </c>
      <c r="E236" s="99"/>
      <c r="F236" s="37" t="e">
        <f>AVERAGEIF(ENTRADAS!$C$7:C485,$B236,ENTRADAS!$F$7:F485)</f>
        <v>#DIV/0!</v>
      </c>
      <c r="G236" s="42">
        <f>VLOOKUP(PROD!$B236,ENTRADAS!$C$7:$H$323,5,0)</f>
        <v>0</v>
      </c>
      <c r="H236" s="147"/>
    </row>
    <row r="237" spans="2:8" s="146" customFormat="1" ht="15.75" customHeight="1">
      <c r="B237" s="97" t="s">
        <v>300</v>
      </c>
      <c r="C237" s="98">
        <v>146</v>
      </c>
      <c r="D237" s="98" t="s">
        <v>62</v>
      </c>
      <c r="E237" s="99"/>
      <c r="F237" s="37" t="e">
        <f>AVERAGEIF(ENTRADAS!$C$7:C485,$B237,ENTRADAS!$F$7:F485)</f>
        <v>#DIV/0!</v>
      </c>
      <c r="G237" s="42">
        <f>VLOOKUP(PROD!$B237,ENTRADAS!$C$7:$H$323,5,0)</f>
        <v>0</v>
      </c>
      <c r="H237" s="147"/>
    </row>
    <row r="238" spans="2:8" s="146" customFormat="1" ht="15.75" customHeight="1">
      <c r="B238" s="97" t="s">
        <v>301</v>
      </c>
      <c r="C238" s="98">
        <v>146</v>
      </c>
      <c r="D238" s="98" t="s">
        <v>62</v>
      </c>
      <c r="E238" s="99"/>
      <c r="F238" s="37" t="e">
        <f>AVERAGEIF(ENTRADAS!$C$7:C485,$B238,ENTRADAS!$F$7:F485)</f>
        <v>#DIV/0!</v>
      </c>
      <c r="G238" s="42">
        <f>VLOOKUP(PROD!$B238,ENTRADAS!$C$7:$H$323,5,0)</f>
        <v>0</v>
      </c>
      <c r="H238" s="147"/>
    </row>
    <row r="239" spans="2:8" s="146" customFormat="1" ht="15.75" customHeight="1">
      <c r="B239" s="97" t="s">
        <v>302</v>
      </c>
      <c r="C239" s="98">
        <v>146</v>
      </c>
      <c r="D239" s="98" t="s">
        <v>62</v>
      </c>
      <c r="E239" s="99"/>
      <c r="F239" s="37" t="e">
        <f>AVERAGEIF(ENTRADAS!$C$7:C485,$B239,ENTRADAS!$F$7:F485)</f>
        <v>#DIV/0!</v>
      </c>
      <c r="G239" s="42">
        <f>VLOOKUP(PROD!$B239,ENTRADAS!$C$7:$H$323,5,0)</f>
        <v>0</v>
      </c>
      <c r="H239" s="147"/>
    </row>
    <row r="240" spans="2:8" s="146" customFormat="1" ht="15.75" customHeight="1">
      <c r="B240" s="97" t="s">
        <v>231</v>
      </c>
      <c r="C240" s="98">
        <v>146</v>
      </c>
      <c r="D240" s="98" t="s">
        <v>62</v>
      </c>
      <c r="E240" s="99"/>
      <c r="F240" s="37" t="e">
        <f>AVERAGEIF(ENTRADAS!$C$7:C485,$B240,ENTRADAS!$F$7:F485)</f>
        <v>#DIV/0!</v>
      </c>
      <c r="G240" s="42" t="e">
        <f>VLOOKUP(PROD!$B240,ENTRADAS!$C$7:$H$323,5,0)</f>
        <v>#N/A</v>
      </c>
      <c r="H240" s="147"/>
    </row>
    <row r="241" spans="2:8" s="146" customFormat="1" ht="15.75" customHeight="1">
      <c r="B241" s="106" t="s">
        <v>306</v>
      </c>
      <c r="C241" s="98">
        <v>146</v>
      </c>
      <c r="D241" s="98" t="s">
        <v>62</v>
      </c>
      <c r="E241" s="99"/>
      <c r="F241" s="37" t="e">
        <f>AVERAGEIF(ENTRADAS!$C$7:C485,$B241,ENTRADAS!$F$7:F485)</f>
        <v>#DIV/0!</v>
      </c>
      <c r="G241" s="42">
        <f>VLOOKUP(PROD!$B241,ENTRADAS!$C$7:$H$323,5,0)</f>
        <v>0</v>
      </c>
      <c r="H241" s="147"/>
    </row>
    <row r="242" spans="2:8" s="146" customFormat="1" ht="15.75" customHeight="1">
      <c r="B242" s="97" t="s">
        <v>307</v>
      </c>
      <c r="C242" s="98">
        <v>146</v>
      </c>
      <c r="D242" s="98" t="s">
        <v>62</v>
      </c>
      <c r="E242" s="99"/>
      <c r="F242" s="37" t="e">
        <f>AVERAGEIF(ENTRADAS!$C$7:C485,$B242,ENTRADAS!$F$7:F485)</f>
        <v>#DIV/0!</v>
      </c>
      <c r="G242" s="42">
        <f>VLOOKUP(PROD!$B242,ENTRADAS!$C$7:$H$323,5,0)</f>
        <v>0</v>
      </c>
      <c r="H242" s="147"/>
    </row>
    <row r="243" spans="2:8" s="146" customFormat="1" ht="15.75" customHeight="1">
      <c r="B243" s="97" t="s">
        <v>231</v>
      </c>
      <c r="C243" s="98">
        <v>146</v>
      </c>
      <c r="D243" s="98" t="s">
        <v>62</v>
      </c>
      <c r="E243" s="99"/>
      <c r="F243" s="37" t="e">
        <f>AVERAGEIF(ENTRADAS!$C$7:C485,$B243,ENTRADAS!$F$7:F485)</f>
        <v>#DIV/0!</v>
      </c>
      <c r="G243" s="42" t="e">
        <f>VLOOKUP(PROD!$B243,ENTRADAS!$C$7:$H$323,5,0)</f>
        <v>#N/A</v>
      </c>
      <c r="H243" s="147"/>
    </row>
    <row r="244" spans="2:8" s="149" customFormat="1" ht="15.75" customHeight="1">
      <c r="B244" s="106" t="s">
        <v>315</v>
      </c>
      <c r="C244" s="98">
        <v>152</v>
      </c>
      <c r="D244" s="98" t="s">
        <v>62</v>
      </c>
      <c r="E244" s="48"/>
      <c r="F244" s="37" t="e">
        <f>AVERAGEIF(ENTRADAS!$C$7:C470,$B244,ENTRADAS!$F$7:F470)</f>
        <v>#DIV/0!</v>
      </c>
      <c r="G244" s="42" t="e">
        <f>VLOOKUP(PROD!$B244,ENTRADAS!$C$7:$H$323,5,0)</f>
        <v>#N/A</v>
      </c>
      <c r="H244" s="43"/>
    </row>
    <row r="245" spans="2:8" s="149" customFormat="1" ht="15.75" customHeight="1">
      <c r="B245" s="97" t="s">
        <v>318</v>
      </c>
      <c r="C245" s="98">
        <v>152</v>
      </c>
      <c r="D245" s="98" t="s">
        <v>62</v>
      </c>
      <c r="E245" s="48"/>
      <c r="F245" s="37" t="e">
        <f>AVERAGEIF(ENTRADAS!$C$7:C471,$B245,ENTRADAS!$F$7:F471)</f>
        <v>#DIV/0!</v>
      </c>
      <c r="G245" s="42">
        <f>VLOOKUP(PROD!$B245,ENTRADAS!$C$7:$H$323,5,0)</f>
        <v>0</v>
      </c>
      <c r="H245" s="43"/>
    </row>
    <row r="246" spans="2:8" s="149" customFormat="1" ht="15.75" customHeight="1">
      <c r="B246" s="97" t="s">
        <v>317</v>
      </c>
      <c r="C246" s="98">
        <v>152</v>
      </c>
      <c r="D246" s="98" t="s">
        <v>62</v>
      </c>
      <c r="E246" s="48"/>
      <c r="F246" s="37" t="e">
        <f>AVERAGEIF(ENTRADAS!$C$7:C472,$B246,ENTRADAS!$F$7:F472)</f>
        <v>#DIV/0!</v>
      </c>
      <c r="G246" s="42">
        <f>VLOOKUP(PROD!$B246,ENTRADAS!$C$7:$H$323,5,0)</f>
        <v>0</v>
      </c>
      <c r="H246" s="43"/>
    </row>
    <row r="247" spans="2:8" s="149" customFormat="1" ht="15.75" customHeight="1">
      <c r="B247" s="97" t="s">
        <v>316</v>
      </c>
      <c r="C247" s="98">
        <v>152</v>
      </c>
      <c r="D247" s="98" t="s">
        <v>62</v>
      </c>
      <c r="E247" s="48"/>
      <c r="F247" s="37" t="e">
        <f>AVERAGEIF(ENTRADAS!$C$7:C473,$B247,ENTRADAS!$F$7:F473)</f>
        <v>#DIV/0!</v>
      </c>
      <c r="G247" s="42">
        <f>VLOOKUP(PROD!$B247,ENTRADAS!$C$7:$H$323,5,0)</f>
        <v>0</v>
      </c>
      <c r="H247" s="43"/>
    </row>
    <row r="248" spans="2:8" s="149" customFormat="1" ht="15.75" customHeight="1">
      <c r="B248" s="97" t="s">
        <v>319</v>
      </c>
      <c r="C248" s="98">
        <v>152</v>
      </c>
      <c r="D248" s="98" t="s">
        <v>62</v>
      </c>
      <c r="E248" s="48"/>
      <c r="F248" s="37" t="e">
        <f>AVERAGEIF(ENTRADAS!$C$7:C474,$B248,ENTRADAS!$F$7:F474)</f>
        <v>#DIV/0!</v>
      </c>
      <c r="G248" s="42">
        <f>VLOOKUP(PROD!$B248,ENTRADAS!$C$7:$H$323,5,0)</f>
        <v>0</v>
      </c>
      <c r="H248" s="43"/>
    </row>
    <row r="249" spans="2:8" s="149" customFormat="1" ht="15.75" customHeight="1">
      <c r="B249" s="97" t="s">
        <v>320</v>
      </c>
      <c r="C249" s="98">
        <v>152</v>
      </c>
      <c r="D249" s="98" t="s">
        <v>62</v>
      </c>
      <c r="E249" s="48"/>
      <c r="F249" s="37" t="e">
        <f>AVERAGEIF(ENTRADAS!$C$7:C475,$B249,ENTRADAS!$F$7:F475)</f>
        <v>#DIV/0!</v>
      </c>
      <c r="G249" s="42">
        <f>VLOOKUP(PROD!$B249,ENTRADAS!$C$7:$H$323,5,0)</f>
        <v>0</v>
      </c>
      <c r="H249" s="43"/>
    </row>
    <row r="250" spans="2:8" s="149" customFormat="1" ht="15.75" customHeight="1">
      <c r="B250" s="97" t="s">
        <v>231</v>
      </c>
      <c r="C250" s="98">
        <v>163</v>
      </c>
      <c r="D250" s="98" t="s">
        <v>62</v>
      </c>
      <c r="E250" s="99"/>
      <c r="F250" s="37" t="e">
        <f>AVERAGEIF(ENTRADAS!$C$7:C472,$B250,ENTRADAS!$F$7:F472)</f>
        <v>#DIV/0!</v>
      </c>
      <c r="G250" s="42" t="e">
        <f>VLOOKUP(PROD!$B250,ENTRADAS!$C$7:$H$323,5,0)</f>
        <v>#N/A</v>
      </c>
      <c r="H250" s="43"/>
    </row>
    <row r="251" spans="2:8" ht="15.75" customHeight="1">
      <c r="B251" s="106" t="s">
        <v>230</v>
      </c>
      <c r="C251" s="98">
        <v>151</v>
      </c>
      <c r="D251" s="98" t="s">
        <v>62</v>
      </c>
      <c r="E251" s="48"/>
      <c r="F251" s="37" t="e">
        <f>AVERAGEIF(ENTRADAS!$C$7:C476,$B251,ENTRADAS!$F$7:F476)</f>
        <v>#DIV/0!</v>
      </c>
      <c r="G251" s="42">
        <f>VLOOKUP(PROD!$B251,ENTRADAS!$C$7:$H$323,5,0)</f>
        <v>0</v>
      </c>
      <c r="H251" s="43"/>
    </row>
    <row r="252" spans="2:8" ht="15.75" customHeight="1">
      <c r="B252" s="97" t="s">
        <v>232</v>
      </c>
      <c r="C252" s="98">
        <v>152</v>
      </c>
      <c r="D252" s="98" t="s">
        <v>62</v>
      </c>
      <c r="E252" s="48"/>
      <c r="F252" s="37" t="e">
        <f>AVERAGEIF(ENTRADAS!$C$7:C477,$B252,ENTRADAS!$F$7:F477)</f>
        <v>#DIV/0!</v>
      </c>
      <c r="G252" s="42">
        <f>VLOOKUP(PROD!$B252,ENTRADAS!$C$7:$H$323,5,0)</f>
        <v>0</v>
      </c>
      <c r="H252" s="43"/>
    </row>
    <row r="253" spans="2:8" ht="15.75" customHeight="1">
      <c r="B253" s="97" t="s">
        <v>233</v>
      </c>
      <c r="C253" s="98">
        <v>153</v>
      </c>
      <c r="D253" s="98" t="s">
        <v>62</v>
      </c>
      <c r="E253" s="48"/>
      <c r="F253" s="37" t="e">
        <f>AVERAGEIF(ENTRADAS!$C$7:C478,$B253,ENTRADAS!$F$7:F478)</f>
        <v>#DIV/0!</v>
      </c>
      <c r="G253" s="42">
        <f>VLOOKUP(PROD!$B253,ENTRADAS!$C$7:$H$323,5,0)</f>
        <v>0</v>
      </c>
      <c r="H253" s="43"/>
    </row>
    <row r="254" spans="2:8" ht="15.75" customHeight="1">
      <c r="B254" s="97" t="s">
        <v>234</v>
      </c>
      <c r="C254" s="98">
        <v>154</v>
      </c>
      <c r="D254" s="98" t="s">
        <v>62</v>
      </c>
      <c r="E254" s="48"/>
      <c r="F254" s="37" t="e">
        <f>AVERAGEIF(ENTRADAS!$C$7:C479,$B254,ENTRADAS!$F$7:F479)</f>
        <v>#DIV/0!</v>
      </c>
      <c r="G254" s="42">
        <f>VLOOKUP(PROD!$B254,ENTRADAS!$C$7:$H$323,5,0)</f>
        <v>0</v>
      </c>
      <c r="H254" s="43"/>
    </row>
    <row r="255" spans="2:8" ht="15.75" customHeight="1">
      <c r="B255" s="97" t="s">
        <v>235</v>
      </c>
      <c r="C255" s="98">
        <v>155</v>
      </c>
      <c r="D255" s="98" t="s">
        <v>62</v>
      </c>
      <c r="E255" s="99"/>
      <c r="F255" s="37" t="e">
        <f>AVERAGEIF(ENTRADAS!$C$7:C480,$B255,ENTRADAS!$F$7:F480)</f>
        <v>#DIV/0!</v>
      </c>
      <c r="G255" s="42">
        <f>VLOOKUP(PROD!$B255,ENTRADAS!$C$7:$H$323,5,0)</f>
        <v>0</v>
      </c>
      <c r="H255" s="43"/>
    </row>
    <row r="256" spans="2:8" ht="15.75" customHeight="1">
      <c r="B256" s="97" t="s">
        <v>236</v>
      </c>
      <c r="C256" s="98">
        <v>156</v>
      </c>
      <c r="D256" s="98" t="s">
        <v>62</v>
      </c>
      <c r="E256" s="99"/>
      <c r="F256" s="37" t="e">
        <f>AVERAGEIF(ENTRADAS!$C$7:C481,$B256,ENTRADAS!$F$7:F481)</f>
        <v>#DIV/0!</v>
      </c>
      <c r="G256" s="42">
        <f>VLOOKUP(PROD!$B256,ENTRADAS!$C$7:$H$323,5,0)</f>
        <v>0</v>
      </c>
      <c r="H256" s="43"/>
    </row>
    <row r="257" spans="2:8" ht="15.75" customHeight="1">
      <c r="B257" s="97" t="s">
        <v>237</v>
      </c>
      <c r="C257" s="98">
        <v>157</v>
      </c>
      <c r="D257" s="98" t="s">
        <v>62</v>
      </c>
      <c r="E257" s="99"/>
      <c r="F257" s="37" t="e">
        <f>AVERAGEIF(ENTRADAS!$C$7:C482,$B257,ENTRADAS!$F$7:F482)</f>
        <v>#DIV/0!</v>
      </c>
      <c r="G257" s="42">
        <f>VLOOKUP(PROD!$B257,ENTRADAS!$C$7:$H$323,5,0)</f>
        <v>0</v>
      </c>
      <c r="H257" s="43"/>
    </row>
    <row r="258" spans="2:8" ht="15.75" customHeight="1">
      <c r="B258" s="97" t="s">
        <v>238</v>
      </c>
      <c r="C258" s="98">
        <v>158</v>
      </c>
      <c r="D258" s="98" t="s">
        <v>62</v>
      </c>
      <c r="E258" s="99"/>
      <c r="F258" s="37" t="e">
        <f>AVERAGEIF(ENTRADAS!$C$7:C483,$B258,ENTRADAS!$F$7:F483)</f>
        <v>#DIV/0!</v>
      </c>
      <c r="G258" s="42">
        <f>VLOOKUP(PROD!$B258,ENTRADAS!$C$7:$H$323,5,0)</f>
        <v>0</v>
      </c>
      <c r="H258" s="43"/>
    </row>
    <row r="259" spans="2:8" ht="15.75" customHeight="1">
      <c r="B259" s="97" t="s">
        <v>239</v>
      </c>
      <c r="C259" s="98">
        <v>159</v>
      </c>
      <c r="D259" s="98" t="s">
        <v>62</v>
      </c>
      <c r="E259" s="48"/>
      <c r="F259" s="37" t="e">
        <f>AVERAGEIF(ENTRADAS!$C$7:C484,$B259,ENTRADAS!$F$7:F484)</f>
        <v>#DIV/0!</v>
      </c>
      <c r="G259" s="42">
        <f>VLOOKUP(PROD!$B259,ENTRADAS!$C$7:$H$323,5,0)</f>
        <v>0</v>
      </c>
      <c r="H259" s="43"/>
    </row>
    <row r="260" spans="2:8" ht="15.75" customHeight="1">
      <c r="B260" s="97" t="s">
        <v>240</v>
      </c>
      <c r="C260" s="98">
        <v>160</v>
      </c>
      <c r="D260" s="98" t="s">
        <v>62</v>
      </c>
      <c r="E260" s="99"/>
      <c r="F260" s="37" t="e">
        <f>AVERAGEIF(ENTRADAS!$C$7:C485,$B260,ENTRADAS!$F$7:F485)</f>
        <v>#DIV/0!</v>
      </c>
      <c r="G260" s="42">
        <f>VLOOKUP(PROD!$B260,ENTRADAS!$C$7:$H$323,5,0)</f>
        <v>0</v>
      </c>
      <c r="H260" s="43"/>
    </row>
    <row r="261" spans="2:8" ht="15.75" customHeight="1">
      <c r="B261" s="97" t="s">
        <v>241</v>
      </c>
      <c r="C261" s="98">
        <v>161</v>
      </c>
      <c r="D261" s="98" t="s">
        <v>62</v>
      </c>
      <c r="E261" s="99"/>
      <c r="F261" s="37" t="e">
        <f>AVERAGEIF(ENTRADAS!$C$7:C485,$B261,ENTRADAS!$F$7:F485)</f>
        <v>#DIV/0!</v>
      </c>
      <c r="G261" s="42">
        <f>VLOOKUP(PROD!$B261,ENTRADAS!$C$7:$H$323,5,0)</f>
        <v>0</v>
      </c>
      <c r="H261" s="43"/>
    </row>
    <row r="262" spans="2:8" ht="15.75" customHeight="1">
      <c r="B262" s="97" t="s">
        <v>242</v>
      </c>
      <c r="C262" s="98">
        <v>162</v>
      </c>
      <c r="D262" s="98" t="s">
        <v>62</v>
      </c>
      <c r="E262" s="99"/>
      <c r="F262" s="37" t="e">
        <f>AVERAGEIF(ENTRADAS!$C$7:C485,$B262,ENTRADAS!$F$7:F485)</f>
        <v>#DIV/0!</v>
      </c>
      <c r="G262" s="42">
        <f>VLOOKUP(PROD!$B262,ENTRADAS!$C$7:$H$323,5,0)</f>
        <v>0</v>
      </c>
      <c r="H262" s="43"/>
    </row>
    <row r="263" spans="2:8" ht="15.75" customHeight="1">
      <c r="B263" s="97" t="s">
        <v>339</v>
      </c>
      <c r="C263" s="98">
        <v>163</v>
      </c>
      <c r="D263" s="98" t="s">
        <v>62</v>
      </c>
      <c r="E263" s="99"/>
      <c r="F263" s="37" t="e">
        <f>AVERAGEIF(ENTRADAS!$C$7:C485,$B263,ENTRADAS!$F$7:F485)</f>
        <v>#DIV/0!</v>
      </c>
      <c r="G263" s="42" t="e">
        <f>VLOOKUP(PROD!$B263,ENTRADAS!$C$7:$H$323,5,0)</f>
        <v>#N/A</v>
      </c>
      <c r="H263" s="43"/>
    </row>
    <row r="264" spans="2:8" ht="15.75" customHeight="1">
      <c r="B264" s="97" t="s">
        <v>231</v>
      </c>
      <c r="C264" s="98">
        <v>164</v>
      </c>
      <c r="D264" s="98" t="s">
        <v>62</v>
      </c>
      <c r="E264" s="99"/>
      <c r="F264" s="37" t="e">
        <f>AVERAGEIF(ENTRADAS!$C$7:C485,$B264,ENTRADAS!$F$7:F485)</f>
        <v>#DIV/0!</v>
      </c>
      <c r="G264" s="42" t="e">
        <f>VLOOKUP(PROD!$B264,ENTRADAS!$C$7:$H$323,5,0)</f>
        <v>#N/A</v>
      </c>
      <c r="H264" s="43"/>
    </row>
    <row r="265" spans="2:8" ht="15.75" customHeight="1">
      <c r="B265" s="97" t="s">
        <v>231</v>
      </c>
      <c r="C265" s="98">
        <v>165</v>
      </c>
      <c r="D265" s="98" t="s">
        <v>62</v>
      </c>
      <c r="E265" s="48"/>
      <c r="F265" s="37" t="e">
        <f>AVERAGEIF(ENTRADAS!$C$7:C485,$B265,ENTRADAS!$F$7:F485)</f>
        <v>#DIV/0!</v>
      </c>
      <c r="G265" s="42" t="e">
        <f>VLOOKUP(PROD!$B265,ENTRADAS!$C$7:$H$323,5,0)</f>
        <v>#N/A</v>
      </c>
      <c r="H265" s="43"/>
    </row>
    <row r="266" spans="2:8" s="121" customFormat="1" ht="15.75" customHeight="1">
      <c r="B266" s="106" t="s">
        <v>243</v>
      </c>
      <c r="C266" s="132">
        <v>166</v>
      </c>
      <c r="D266" s="132" t="s">
        <v>62</v>
      </c>
      <c r="E266" s="141"/>
      <c r="F266" s="134" t="e">
        <f>AVERAGEIF(ENTRADAS!$C$7:C485,$B266,ENTRADAS!$F$7:F485)</f>
        <v>#DIV/0!</v>
      </c>
      <c r="G266" s="135">
        <f>VLOOKUP(PROD!$B266,ENTRADAS!$C$7:$H$323,5,0)</f>
        <v>0</v>
      </c>
      <c r="H266" s="136"/>
    </row>
    <row r="267" spans="2:8" ht="15.75" customHeight="1">
      <c r="B267" s="97" t="s">
        <v>244</v>
      </c>
      <c r="C267" s="98">
        <v>167</v>
      </c>
      <c r="D267" s="98" t="s">
        <v>62</v>
      </c>
      <c r="E267" s="48"/>
      <c r="F267" s="37" t="e">
        <f>AVERAGEIF(ENTRADAS!$C$7:C485,$B267,ENTRADAS!$F$7:F485)</f>
        <v>#DIV/0!</v>
      </c>
      <c r="G267" s="42">
        <f>VLOOKUP(PROD!$B267,ENTRADAS!$C$7:$H$323,5,0)</f>
        <v>0</v>
      </c>
      <c r="H267" s="43"/>
    </row>
    <row r="268" spans="2:8" ht="15.75" customHeight="1">
      <c r="B268" s="97" t="s">
        <v>245</v>
      </c>
      <c r="C268" s="98">
        <v>168</v>
      </c>
      <c r="D268" s="98" t="s">
        <v>62</v>
      </c>
      <c r="E268" s="48"/>
      <c r="F268" s="37" t="e">
        <f>AVERAGEIF(ENTRADAS!$C$7:C485,$B268,ENTRADAS!$F$7:F485)</f>
        <v>#DIV/0!</v>
      </c>
      <c r="G268" s="42">
        <f>VLOOKUP(PROD!$B268,ENTRADAS!$C$7:$H$323,5,0)</f>
        <v>0</v>
      </c>
      <c r="H268" s="43"/>
    </row>
    <row r="269" spans="2:8" ht="15.75" customHeight="1">
      <c r="B269" s="97" t="s">
        <v>246</v>
      </c>
      <c r="C269" s="98">
        <v>169</v>
      </c>
      <c r="D269" s="98" t="s">
        <v>62</v>
      </c>
      <c r="E269" s="48"/>
      <c r="F269" s="37" t="e">
        <f>AVERAGEIF(ENTRADAS!$C$7:C485,$B269,ENTRADAS!$F$7:F485)</f>
        <v>#DIV/0!</v>
      </c>
      <c r="G269" s="42">
        <f>VLOOKUP(PROD!$B269,ENTRADAS!$C$7:$H$323,5,0)</f>
        <v>0</v>
      </c>
      <c r="H269" s="43"/>
    </row>
    <row r="270" spans="2:8" ht="15.75" customHeight="1">
      <c r="B270" s="97" t="s">
        <v>247</v>
      </c>
      <c r="C270" s="98">
        <v>170</v>
      </c>
      <c r="D270" s="98" t="s">
        <v>62</v>
      </c>
      <c r="E270" s="48"/>
      <c r="F270" s="37" t="e">
        <f>AVERAGEIF(ENTRADAS!$C$7:C485,$B270,ENTRADAS!$F$7:F485)</f>
        <v>#DIV/0!</v>
      </c>
      <c r="G270" s="42">
        <f>VLOOKUP(PROD!$B270,ENTRADAS!$C$7:$H$323,5,0)</f>
        <v>0</v>
      </c>
      <c r="H270" s="43"/>
    </row>
    <row r="271" spans="2:8" ht="15.75" customHeight="1">
      <c r="B271" s="97" t="s">
        <v>248</v>
      </c>
      <c r="C271" s="98">
        <v>171</v>
      </c>
      <c r="D271" s="98" t="s">
        <v>62</v>
      </c>
      <c r="E271" s="48"/>
      <c r="F271" s="37" t="e">
        <f>AVERAGEIF(ENTRADAS!$C$7:C485,$B271,ENTRADAS!$F$7:F485)</f>
        <v>#DIV/0!</v>
      </c>
      <c r="G271" s="42">
        <f>VLOOKUP(PROD!$B271,ENTRADAS!$C$7:$H$323,5,0)</f>
        <v>0</v>
      </c>
      <c r="H271" s="43"/>
    </row>
    <row r="272" spans="2:8" ht="15.75" customHeight="1">
      <c r="B272" s="97" t="s">
        <v>249</v>
      </c>
      <c r="C272" s="98">
        <v>172</v>
      </c>
      <c r="D272" s="98" t="s">
        <v>62</v>
      </c>
      <c r="E272" s="48"/>
      <c r="F272" s="37" t="e">
        <f>AVERAGEIF(ENTRADAS!$C$7:C485,$B272,ENTRADAS!$F$7:F485)</f>
        <v>#DIV/0!</v>
      </c>
      <c r="G272" s="42">
        <f>VLOOKUP(PROD!$B272,ENTRADAS!$C$7:$H$323,5,0)</f>
        <v>0</v>
      </c>
      <c r="H272" s="43"/>
    </row>
    <row r="273" spans="2:8" ht="15.75" customHeight="1">
      <c r="B273" s="97" t="s">
        <v>250</v>
      </c>
      <c r="C273" s="98">
        <v>173</v>
      </c>
      <c r="D273" s="98" t="s">
        <v>62</v>
      </c>
      <c r="E273" s="48"/>
      <c r="F273" s="37" t="e">
        <f>AVERAGEIF(ENTRADAS!$C$7:C485,$B273,ENTRADAS!$F$7:F485)</f>
        <v>#DIV/0!</v>
      </c>
      <c r="G273" s="42">
        <f>VLOOKUP(PROD!$B273,ENTRADAS!$C$7:$H$323,5,0)</f>
        <v>0</v>
      </c>
      <c r="H273" s="43"/>
    </row>
    <row r="274" spans="2:8" ht="15.75" customHeight="1">
      <c r="B274" s="97" t="s">
        <v>251</v>
      </c>
      <c r="C274" s="98">
        <v>174</v>
      </c>
      <c r="D274" s="98" t="s">
        <v>62</v>
      </c>
      <c r="E274" s="48"/>
      <c r="F274" s="37" t="e">
        <f>AVERAGEIF(ENTRADAS!$C$7:C485,$B274,ENTRADAS!$F$7:F485)</f>
        <v>#DIV/0!</v>
      </c>
      <c r="G274" s="42">
        <f>VLOOKUP(PROD!$B274,ENTRADAS!$C$7:$H$323,5,0)</f>
        <v>0</v>
      </c>
      <c r="H274" s="43"/>
    </row>
    <row r="275" spans="2:8" ht="15.75" customHeight="1">
      <c r="B275" s="97" t="s">
        <v>252</v>
      </c>
      <c r="C275" s="98">
        <v>175</v>
      </c>
      <c r="D275" s="98" t="s">
        <v>62</v>
      </c>
      <c r="E275" s="48"/>
      <c r="F275" s="37" t="e">
        <f>AVERAGEIF(ENTRADAS!$C$7:C485,$B275,ENTRADAS!$F$7:F485)</f>
        <v>#DIV/0!</v>
      </c>
      <c r="G275" s="42">
        <f>VLOOKUP(PROD!$B275,ENTRADAS!$C$7:$H$323,5,0)</f>
        <v>0</v>
      </c>
      <c r="H275" s="43"/>
    </row>
    <row r="276" spans="2:8" ht="15.75" customHeight="1">
      <c r="B276" s="97" t="s">
        <v>253</v>
      </c>
      <c r="C276" s="98">
        <v>176</v>
      </c>
      <c r="D276" s="98" t="s">
        <v>62</v>
      </c>
      <c r="E276" s="48"/>
      <c r="F276" s="37" t="e">
        <f>AVERAGEIF(ENTRADAS!$C$7:C485,$B276,ENTRADAS!$F$7:F485)</f>
        <v>#DIV/0!</v>
      </c>
      <c r="G276" s="42">
        <f>VLOOKUP(PROD!$B276,ENTRADAS!$C$7:$H$323,5,0)</f>
        <v>0</v>
      </c>
      <c r="H276" s="43"/>
    </row>
    <row r="277" spans="2:8" s="125" customFormat="1" ht="15.75" customHeight="1">
      <c r="B277" s="97" t="s">
        <v>257</v>
      </c>
      <c r="C277" s="98"/>
      <c r="D277" s="98" t="s">
        <v>62</v>
      </c>
      <c r="E277" s="48"/>
      <c r="F277" s="37"/>
      <c r="G277" s="42"/>
      <c r="H277" s="43"/>
    </row>
    <row r="278" spans="2:8" s="125" customFormat="1" ht="15.75" customHeight="1">
      <c r="B278" s="97" t="s">
        <v>258</v>
      </c>
      <c r="C278" s="98"/>
      <c r="D278" s="98" t="s">
        <v>62</v>
      </c>
      <c r="E278" s="48"/>
      <c r="F278" s="37"/>
      <c r="G278" s="42"/>
      <c r="H278" s="43"/>
    </row>
    <row r="279" spans="2:8" s="125" customFormat="1" ht="15.75" customHeight="1">
      <c r="B279" s="97" t="s">
        <v>259</v>
      </c>
      <c r="C279" s="98"/>
      <c r="D279" s="98" t="s">
        <v>62</v>
      </c>
      <c r="E279" s="48"/>
      <c r="F279" s="37"/>
      <c r="G279" s="42"/>
      <c r="H279" s="43"/>
    </row>
    <row r="280" spans="2:8" ht="15.75" customHeight="1">
      <c r="B280" s="97" t="s">
        <v>231</v>
      </c>
      <c r="C280" s="98">
        <v>177</v>
      </c>
      <c r="D280" s="98" t="s">
        <v>62</v>
      </c>
      <c r="E280" s="48"/>
      <c r="F280" s="37" t="e">
        <f>AVERAGEIF(ENTRADAS!$C$7:C485,$B280,ENTRADAS!$F$7:F485)</f>
        <v>#DIV/0!</v>
      </c>
      <c r="G280" s="42" t="e">
        <f>VLOOKUP(PROD!$B280,ENTRADAS!$C$7:$H$323,5,0)</f>
        <v>#N/A</v>
      </c>
      <c r="H280" s="43"/>
    </row>
    <row r="281" spans="2:8" ht="15.75" customHeight="1">
      <c r="B281" s="97" t="s">
        <v>231</v>
      </c>
      <c r="C281" s="98">
        <v>178</v>
      </c>
      <c r="D281" s="98" t="s">
        <v>62</v>
      </c>
      <c r="E281" s="48"/>
      <c r="F281" s="37" t="e">
        <f>AVERAGEIF(ENTRADAS!$C$7:C485,$B281,ENTRADAS!$F$7:F485)</f>
        <v>#DIV/0!</v>
      </c>
      <c r="G281" s="42" t="e">
        <f>VLOOKUP(PROD!$B281,ENTRADAS!$C$7:$H$323,5,0)</f>
        <v>#N/A</v>
      </c>
      <c r="H281" s="43"/>
    </row>
    <row r="282" spans="2:8" ht="15.75" customHeight="1">
      <c r="B282" s="97" t="s">
        <v>231</v>
      </c>
      <c r="C282" s="98">
        <v>179</v>
      </c>
      <c r="D282" s="98" t="s">
        <v>62</v>
      </c>
      <c r="E282" s="48"/>
      <c r="F282" s="37" t="e">
        <f>AVERAGEIF(ENTRADAS!$C$7:C485,$B282,ENTRADAS!$F$7:F485)</f>
        <v>#DIV/0!</v>
      </c>
      <c r="G282" s="42" t="e">
        <f>VLOOKUP(PROD!$B282,ENTRADAS!$C$7:$H$323,5,0)</f>
        <v>#N/A</v>
      </c>
      <c r="H282" s="43"/>
    </row>
    <row r="283" spans="2:8" ht="15.75" customHeight="1">
      <c r="B283" s="97" t="s">
        <v>254</v>
      </c>
      <c r="C283" s="98">
        <v>180</v>
      </c>
      <c r="D283" s="98" t="s">
        <v>62</v>
      </c>
      <c r="E283" s="48"/>
      <c r="F283" s="37" t="e">
        <f>AVERAGEIF(ENTRADAS!$C$7:C485,$B283,ENTRADAS!$F$7:F485)</f>
        <v>#DIV/0!</v>
      </c>
      <c r="G283" s="42">
        <f>VLOOKUP(PROD!$B283,ENTRADAS!$C$7:$H$323,5,0)</f>
        <v>0</v>
      </c>
      <c r="H283" s="43"/>
    </row>
    <row r="284" spans="2:8" ht="15.75" customHeight="1">
      <c r="B284" s="97" t="s">
        <v>255</v>
      </c>
      <c r="C284" s="98">
        <v>181</v>
      </c>
      <c r="D284" s="98" t="s">
        <v>62</v>
      </c>
      <c r="E284" s="48"/>
      <c r="F284" s="37" t="e">
        <f>AVERAGEIF(ENTRADAS!$C$7:C486,$B284,ENTRADAS!$F$7:F486)</f>
        <v>#DIV/0!</v>
      </c>
      <c r="G284" s="42">
        <f>VLOOKUP(PROD!$B284,ENTRADAS!$C$7:$H$323,5,0)</f>
        <v>0</v>
      </c>
      <c r="H284" s="43"/>
    </row>
    <row r="285" spans="2:8" ht="15.75" customHeight="1">
      <c r="B285" s="97" t="s">
        <v>256</v>
      </c>
      <c r="C285" s="98">
        <v>182</v>
      </c>
      <c r="D285" s="98" t="s">
        <v>62</v>
      </c>
      <c r="E285" s="48"/>
      <c r="F285" s="37" t="e">
        <f>AVERAGEIF(ENTRADAS!$C$7:C487,$B285,ENTRADAS!$F$7:F487)</f>
        <v>#DIV/0!</v>
      </c>
      <c r="G285" s="42">
        <f>VLOOKUP(PROD!$B285,ENTRADAS!$C$7:$H$323,5,0)</f>
        <v>0</v>
      </c>
      <c r="H285" s="43"/>
    </row>
    <row r="286" spans="2:8" ht="15.75" customHeight="1">
      <c r="B286" s="97" t="s">
        <v>282</v>
      </c>
      <c r="C286" s="98"/>
      <c r="D286" s="98" t="s">
        <v>62</v>
      </c>
      <c r="E286" s="48"/>
      <c r="F286" s="37" t="e">
        <f>AVERAGEIF(ENTRADAS!$C$7:C488,$B286,ENTRADAS!$F$7:F488)</f>
        <v>#DIV/0!</v>
      </c>
      <c r="G286" s="42">
        <f>VLOOKUP(PROD!$B286,ENTRADAS!$C$7:$H$323,5,0)</f>
        <v>0</v>
      </c>
      <c r="H286" s="43"/>
    </row>
    <row r="287" spans="2:8" ht="15.75" customHeight="1">
      <c r="B287" s="97" t="s">
        <v>283</v>
      </c>
      <c r="C287" s="47"/>
      <c r="D287" s="98" t="s">
        <v>62</v>
      </c>
      <c r="E287" s="48"/>
      <c r="F287" s="37" t="e">
        <f>AVERAGEIF(ENTRADAS!$C$7:C489,$B287,ENTRADAS!$F$7:F489)</f>
        <v>#DIV/0!</v>
      </c>
      <c r="G287" s="42">
        <f>VLOOKUP(PROD!$B287,ENTRADAS!$C$7:$H$323,5,0)</f>
        <v>0</v>
      </c>
      <c r="H287" s="43"/>
    </row>
    <row r="288" spans="2:8" s="150" customFormat="1" ht="15.75" customHeight="1">
      <c r="B288" s="97" t="s">
        <v>330</v>
      </c>
      <c r="C288" s="47"/>
      <c r="D288" s="98" t="s">
        <v>62</v>
      </c>
      <c r="E288" s="48"/>
      <c r="F288" s="37" t="e">
        <f>AVERAGEIF(ENTRADAS!$C$7:C488,$B288,ENTRADAS!$F$7:F488)</f>
        <v>#DIV/0!</v>
      </c>
      <c r="G288" s="42">
        <f>VLOOKUP(PROD!$B288,ENTRADAS!$C$7:$H$323,5,0)</f>
        <v>0</v>
      </c>
      <c r="H288" s="43"/>
    </row>
    <row r="289" spans="2:8" s="150" customFormat="1" ht="15.75" customHeight="1">
      <c r="B289" s="97" t="s">
        <v>331</v>
      </c>
      <c r="C289" s="47"/>
      <c r="D289" s="98" t="s">
        <v>62</v>
      </c>
      <c r="E289" s="48"/>
      <c r="F289" s="37" t="e">
        <f>AVERAGEIF(ENTRADAS!$C$7:C489,$B289,ENTRADAS!$F$7:F489)</f>
        <v>#DIV/0!</v>
      </c>
      <c r="G289" s="42">
        <f>VLOOKUP(PROD!$B289,ENTRADAS!$C$7:$H$323,5,0)</f>
        <v>0</v>
      </c>
      <c r="H289" s="43"/>
    </row>
    <row r="290" spans="2:8" ht="15.75" customHeight="1">
      <c r="B290" s="97" t="s">
        <v>332</v>
      </c>
      <c r="C290" s="47"/>
      <c r="D290" s="98" t="s">
        <v>62</v>
      </c>
      <c r="E290" s="48"/>
      <c r="F290" s="37" t="e">
        <f>AVERAGEIF(ENTRADAS!$C$7:C490,$B290,ENTRADAS!$F$7:F490)</f>
        <v>#DIV/0!</v>
      </c>
      <c r="G290" s="42">
        <f>VLOOKUP(PROD!$B290,ENTRADAS!$C$7:$H$323,5,0)</f>
        <v>0</v>
      </c>
      <c r="H290" s="43"/>
    </row>
    <row r="291" spans="2:8" ht="15.75" customHeight="1">
      <c r="B291" s="97" t="s">
        <v>284</v>
      </c>
      <c r="C291" s="98"/>
      <c r="D291" s="98" t="s">
        <v>62</v>
      </c>
      <c r="E291" s="48"/>
      <c r="F291" s="37" t="e">
        <f>AVERAGEIF(ENTRADAS!$C$7:C491,$B291,ENTRADAS!$F$7:F491)</f>
        <v>#DIV/0!</v>
      </c>
      <c r="G291" s="42">
        <f>VLOOKUP(PROD!$B291,ENTRADAS!$C$7:$H$323,5,0)</f>
        <v>0</v>
      </c>
      <c r="H291" s="43"/>
    </row>
    <row r="292" spans="2:8" ht="15.75" customHeight="1">
      <c r="B292" s="97" t="s">
        <v>304</v>
      </c>
      <c r="C292" s="98"/>
      <c r="D292" s="98" t="s">
        <v>62</v>
      </c>
      <c r="E292" s="48"/>
      <c r="F292" s="37" t="e">
        <f>AVERAGEIF(ENTRADAS!$C$7:C492,$B292,ENTRADAS!$F$7:F492)</f>
        <v>#DIV/0!</v>
      </c>
      <c r="G292" s="42">
        <f>VLOOKUP(PROD!$B292,ENTRADAS!$C$7:$H$323,5,0)</f>
        <v>0</v>
      </c>
      <c r="H292" s="43"/>
    </row>
    <row r="293" spans="2:8" ht="15.75" customHeight="1">
      <c r="B293" s="97" t="s">
        <v>305</v>
      </c>
      <c r="C293" s="98"/>
      <c r="D293" s="98" t="s">
        <v>62</v>
      </c>
      <c r="E293" s="48"/>
      <c r="F293" s="37" t="e">
        <f>AVERAGEIF(ENTRADAS!$C$7:C493,$B293,ENTRADAS!$F$7:F493)</f>
        <v>#DIV/0!</v>
      </c>
      <c r="G293" s="42">
        <f>VLOOKUP(PROD!$B293,ENTRADAS!$C$7:$H$323,5,0)</f>
        <v>0</v>
      </c>
      <c r="H293" s="43"/>
    </row>
    <row r="294" spans="2:8" ht="15.75" customHeight="1">
      <c r="B294" s="106" t="s">
        <v>340</v>
      </c>
      <c r="C294" s="98"/>
      <c r="D294" s="98"/>
      <c r="E294" s="48"/>
      <c r="F294" s="37" t="e">
        <f>AVERAGEIF(ENTRADAS!$C$7:C494,$B294,ENTRADAS!$F$7:F494)</f>
        <v>#DIV/0!</v>
      </c>
      <c r="G294" s="42" t="e">
        <f>VLOOKUP(PROD!$B294,ENTRADAS!$C$7:$H$323,5,0)</f>
        <v>#N/A</v>
      </c>
      <c r="H294" s="43"/>
    </row>
    <row r="295" spans="2:8" ht="15.75" customHeight="1">
      <c r="B295" s="97" t="s">
        <v>341</v>
      </c>
      <c r="C295" s="98"/>
      <c r="D295" s="98"/>
      <c r="E295" s="48"/>
      <c r="F295" s="37" t="e">
        <f>AVERAGEIF(ENTRADAS!$C$7:C495,$B295,ENTRADAS!$F$7:F495)</f>
        <v>#DIV/0!</v>
      </c>
      <c r="G295" s="42" t="e">
        <f>VLOOKUP(PROD!$B295,ENTRADAS!$C$7:$H$323,5,0)</f>
        <v>#N/A</v>
      </c>
      <c r="H295" s="43"/>
    </row>
    <row r="296" spans="2:8" ht="15.75" customHeight="1">
      <c r="B296" s="97"/>
      <c r="C296" s="98"/>
      <c r="D296" s="98"/>
      <c r="E296" s="48"/>
      <c r="F296" s="37" t="e">
        <f>AVERAGEIF(ENTRADAS!$C$7:C496,$B296,ENTRADAS!$F$7:F496)</f>
        <v>#DIV/0!</v>
      </c>
      <c r="G296" s="42" t="e">
        <f>VLOOKUP(PROD!$B296,ENTRADAS!$C$7:$H$323,5,0)</f>
        <v>#N/A</v>
      </c>
      <c r="H296" s="43"/>
    </row>
    <row r="297" spans="2:8" ht="15.75" customHeight="1">
      <c r="B297" s="97"/>
      <c r="C297" s="98"/>
      <c r="D297" s="98"/>
      <c r="E297" s="48"/>
      <c r="F297" s="37" t="e">
        <f>AVERAGEIF(ENTRADAS!$C$7:C497,$B297,ENTRADAS!$F$7:F497)</f>
        <v>#DIV/0!</v>
      </c>
      <c r="G297" s="42" t="e">
        <f>VLOOKUP(PROD!$B297,ENTRADAS!$C$7:$H$323,5,0)</f>
        <v>#N/A</v>
      </c>
      <c r="H297" s="43"/>
    </row>
    <row r="298" spans="2:8" ht="15.75" customHeight="1">
      <c r="B298" s="97"/>
      <c r="C298" s="98"/>
      <c r="D298" s="98"/>
      <c r="E298" s="48"/>
      <c r="F298" s="37" t="e">
        <f>AVERAGEIF(ENTRADAS!$C$7:C498,$B298,ENTRADAS!$F$7:F498)</f>
        <v>#DIV/0!</v>
      </c>
      <c r="G298" s="42" t="e">
        <f>VLOOKUP(PROD!$B298,ENTRADAS!$C$7:$H$323,5,0)</f>
        <v>#N/A</v>
      </c>
      <c r="H298" s="43"/>
    </row>
    <row r="299" spans="2:8" ht="15.75" customHeight="1">
      <c r="B299" s="97"/>
      <c r="C299" s="98"/>
      <c r="D299" s="98"/>
      <c r="E299" s="48"/>
      <c r="F299" s="37" t="e">
        <f>AVERAGEIF(ENTRADAS!$C$7:C499,$B299,ENTRADAS!$F$7:F499)</f>
        <v>#DIV/0!</v>
      </c>
      <c r="G299" s="42" t="e">
        <f>VLOOKUP(PROD!$B299,ENTRADAS!$C$7:$H$323,5,0)</f>
        <v>#N/A</v>
      </c>
      <c r="H299" s="43"/>
    </row>
    <row r="300" spans="2:8" ht="15.75" customHeight="1">
      <c r="B300" s="97"/>
      <c r="C300" s="98"/>
      <c r="D300" s="98"/>
      <c r="E300" s="48"/>
      <c r="F300" s="37" t="e">
        <f>AVERAGEIF(ENTRADAS!$C$7:C500,$B300,ENTRADAS!$F$7:F500)</f>
        <v>#DIV/0!</v>
      </c>
      <c r="G300" s="42" t="e">
        <f>VLOOKUP(PROD!$B300,ENTRADAS!$C$7:$H$323,5,0)</f>
        <v>#N/A</v>
      </c>
      <c r="H300" s="43"/>
    </row>
    <row r="301" spans="2:8" ht="15.75" customHeight="1">
      <c r="B301" s="97"/>
      <c r="C301" s="98"/>
      <c r="D301" s="98"/>
      <c r="E301" s="48"/>
      <c r="F301" s="37" t="e">
        <f>AVERAGEIF(ENTRADAS!$C$7:C501,$B301,ENTRADAS!$F$7:F501)</f>
        <v>#DIV/0!</v>
      </c>
      <c r="G301" s="42" t="e">
        <f>VLOOKUP(PROD!$B301,ENTRADAS!$C$7:$H$323,5,0)</f>
        <v>#N/A</v>
      </c>
      <c r="H301" s="43"/>
    </row>
    <row r="302" spans="2:8" ht="15.75" customHeight="1">
      <c r="B302" s="97"/>
      <c r="C302" s="98"/>
      <c r="D302" s="98"/>
      <c r="E302" s="48"/>
      <c r="F302" s="37" t="e">
        <f>AVERAGEIF(ENTRADAS!$C$7:C502,$B302,ENTRADAS!$F$7:F502)</f>
        <v>#DIV/0!</v>
      </c>
      <c r="G302" s="42" t="e">
        <f>VLOOKUP(PROD!$B302,ENTRADAS!$C$7:$H$323,5,0)</f>
        <v>#N/A</v>
      </c>
      <c r="H302" s="43"/>
    </row>
    <row r="303" spans="2:8" ht="15.75" customHeight="1">
      <c r="B303" s="97"/>
      <c r="C303" s="98"/>
      <c r="D303" s="98"/>
      <c r="E303" s="48"/>
      <c r="F303" s="37" t="e">
        <f>AVERAGEIF(ENTRADAS!$C$7:C503,$B303,ENTRADAS!$F$7:F503)</f>
        <v>#DIV/0!</v>
      </c>
      <c r="G303" s="42" t="e">
        <f>VLOOKUP(PROD!$B303,ENTRADAS!$C$7:$H$323,5,0)</f>
        <v>#N/A</v>
      </c>
      <c r="H303" s="43"/>
    </row>
    <row r="304" spans="2:8" ht="15.75" customHeight="1">
      <c r="B304" s="97"/>
      <c r="C304" s="98"/>
      <c r="D304" s="98"/>
      <c r="E304" s="48"/>
      <c r="F304" s="37" t="e">
        <f>AVERAGEIF(ENTRADAS!$C$7:C504,$B304,ENTRADAS!$F$7:F504)</f>
        <v>#DIV/0!</v>
      </c>
      <c r="G304" s="42" t="e">
        <f>VLOOKUP(PROD!$B304,ENTRADAS!$C$7:$H$323,5,0)</f>
        <v>#N/A</v>
      </c>
      <c r="H304" s="43"/>
    </row>
    <row r="305" spans="2:8" ht="15.75" customHeight="1">
      <c r="B305" s="97"/>
      <c r="C305" s="98"/>
      <c r="D305" s="98"/>
      <c r="E305" s="48"/>
      <c r="F305" s="37" t="e">
        <f>AVERAGEIF(ENTRADAS!$C$7:C505,$B305,ENTRADAS!$F$7:F505)</f>
        <v>#DIV/0!</v>
      </c>
      <c r="G305" s="42" t="e">
        <f>VLOOKUP(PROD!$B305,ENTRADAS!$C$7:$H$323,5,0)</f>
        <v>#N/A</v>
      </c>
      <c r="H305" s="43"/>
    </row>
    <row r="306" spans="2:8" ht="15.75" customHeight="1">
      <c r="B306" s="97"/>
      <c r="C306" s="98"/>
      <c r="D306" s="98"/>
      <c r="E306" s="48"/>
      <c r="F306" s="37" t="e">
        <f>AVERAGEIF(ENTRADAS!$C$7:C506,$B306,ENTRADAS!$F$7:F506)</f>
        <v>#DIV/0!</v>
      </c>
      <c r="G306" s="42" t="e">
        <f>VLOOKUP(PROD!$B306,ENTRADAS!$C$7:$H$323,5,0)</f>
        <v>#N/A</v>
      </c>
      <c r="H306" s="43"/>
    </row>
    <row r="307" spans="2:8" ht="15.75" customHeight="1">
      <c r="B307" s="97"/>
      <c r="C307" s="98"/>
      <c r="D307" s="98"/>
      <c r="E307" s="48"/>
      <c r="F307" s="37" t="e">
        <f>AVERAGEIF(ENTRADAS!$C$7:C507,$B307,ENTRADAS!$F$7:F507)</f>
        <v>#DIV/0!</v>
      </c>
      <c r="G307" s="42" t="e">
        <f>VLOOKUP(PROD!$B307,ENTRADAS!$C$7:$H$323,5,0)</f>
        <v>#N/A</v>
      </c>
      <c r="H307" s="43"/>
    </row>
    <row r="308" spans="2:8" ht="15.75" customHeight="1">
      <c r="B308" s="97"/>
      <c r="C308" s="98"/>
      <c r="D308" s="98"/>
      <c r="E308" s="48"/>
      <c r="F308" s="37" t="e">
        <f>AVERAGEIF(ENTRADAS!$C$7:C508,$B308,ENTRADAS!$F$7:F508)</f>
        <v>#DIV/0!</v>
      </c>
      <c r="G308" s="42" t="e">
        <f>VLOOKUP(PROD!$B308,ENTRADAS!$C$7:$H$323,5,0)</f>
        <v>#N/A</v>
      </c>
      <c r="H308" s="43"/>
    </row>
    <row r="309" spans="2:8" ht="15.75" customHeight="1">
      <c r="B309" s="97"/>
      <c r="C309" s="98"/>
      <c r="D309" s="98"/>
      <c r="E309" s="48"/>
      <c r="F309" s="37" t="e">
        <f>AVERAGEIF(ENTRADAS!$C$7:C509,$B309,ENTRADAS!$F$7:F509)</f>
        <v>#DIV/0!</v>
      </c>
      <c r="G309" s="42" t="e">
        <f>VLOOKUP(PROD!$B309,ENTRADAS!$C$7:$H$323,5,0)</f>
        <v>#N/A</v>
      </c>
      <c r="H309" s="43"/>
    </row>
    <row r="310" spans="2:8" ht="15.75" customHeight="1">
      <c r="B310" s="97"/>
      <c r="C310" s="98"/>
      <c r="D310" s="98"/>
      <c r="E310" s="48"/>
      <c r="F310" s="37" t="e">
        <f>AVERAGEIF(ENTRADAS!$C$7:C510,$B310,ENTRADAS!$F$7:F510)</f>
        <v>#DIV/0!</v>
      </c>
      <c r="G310" s="42" t="e">
        <f>VLOOKUP(PROD!$B310,ENTRADAS!$C$7:$H$323,5,0)</f>
        <v>#N/A</v>
      </c>
      <c r="H310" s="43"/>
    </row>
    <row r="311" spans="2:8" ht="15.75" customHeight="1">
      <c r="B311" s="97"/>
      <c r="C311" s="98"/>
      <c r="D311" s="98"/>
      <c r="E311" s="48"/>
      <c r="F311" s="37" t="e">
        <f>AVERAGEIF(ENTRADAS!$C$7:C511,$B311,ENTRADAS!$F$7:F511)</f>
        <v>#DIV/0!</v>
      </c>
      <c r="G311" s="42" t="e">
        <f>VLOOKUP(PROD!$B311,ENTRADAS!$C$7:$H$323,5,0)</f>
        <v>#N/A</v>
      </c>
      <c r="H311" s="43"/>
    </row>
    <row r="312" spans="2:8" ht="15.75" customHeight="1">
      <c r="B312" s="97"/>
      <c r="C312" s="98"/>
      <c r="D312" s="98"/>
      <c r="E312" s="48"/>
      <c r="F312" s="37" t="e">
        <f>AVERAGEIF(ENTRADAS!$C$7:C512,$B312,ENTRADAS!$F$7:F512)</f>
        <v>#DIV/0!</v>
      </c>
      <c r="G312" s="42" t="e">
        <f>VLOOKUP(PROD!$B312,ENTRADAS!$C$7:$H$323,5,0)</f>
        <v>#N/A</v>
      </c>
      <c r="H312" s="43"/>
    </row>
    <row r="313" spans="2:8" ht="15.75" customHeight="1">
      <c r="B313" s="97"/>
      <c r="C313" s="98"/>
      <c r="D313" s="98"/>
      <c r="E313" s="48"/>
      <c r="F313" s="37" t="e">
        <f>AVERAGEIF(ENTRADAS!$C$7:C513,$B313,ENTRADAS!$F$7:F513)</f>
        <v>#DIV/0!</v>
      </c>
      <c r="G313" s="42" t="e">
        <f>VLOOKUP(PROD!$B313,ENTRADAS!$C$7:$H$323,5,0)</f>
        <v>#N/A</v>
      </c>
      <c r="H313" s="43"/>
    </row>
    <row r="314" spans="2:8" ht="15.75" customHeight="1">
      <c r="B314" s="97"/>
      <c r="C314" s="98"/>
      <c r="D314" s="98"/>
      <c r="E314" s="48"/>
      <c r="F314" s="37" t="e">
        <f>AVERAGEIF(ENTRADAS!$C$7:C514,$B314,ENTRADAS!$F$7:F514)</f>
        <v>#DIV/0!</v>
      </c>
      <c r="G314" s="42" t="e">
        <f>VLOOKUP(PROD!$B314,ENTRADAS!$C$7:$H$323,5,0)</f>
        <v>#N/A</v>
      </c>
      <c r="H314" s="43"/>
    </row>
    <row r="315" spans="2:8" ht="15.75" customHeight="1">
      <c r="B315" s="97"/>
      <c r="C315" s="98"/>
      <c r="D315" s="98"/>
      <c r="E315" s="48"/>
      <c r="F315" s="37" t="e">
        <f>AVERAGEIF(ENTRADAS!$C$7:C515,$B315,ENTRADAS!$F$7:F515)</f>
        <v>#DIV/0!</v>
      </c>
      <c r="G315" s="42" t="e">
        <f>VLOOKUP(PROD!$B315,ENTRADAS!$C$7:$H$323,5,0)</f>
        <v>#N/A</v>
      </c>
      <c r="H315" s="43"/>
    </row>
    <row r="316" spans="2:8" ht="15.75" customHeight="1">
      <c r="B316" s="97"/>
      <c r="C316" s="98"/>
      <c r="D316" s="98"/>
      <c r="E316" s="48"/>
      <c r="F316" s="37" t="e">
        <f>AVERAGEIF(ENTRADAS!$C$7:C516,$B316,ENTRADAS!$F$7:F516)</f>
        <v>#DIV/0!</v>
      </c>
      <c r="G316" s="42" t="e">
        <f>VLOOKUP(PROD!$B316,ENTRADAS!$C$7:$H$323,5,0)</f>
        <v>#N/A</v>
      </c>
      <c r="H316" s="43"/>
    </row>
    <row r="317" spans="2:8" ht="15.75" customHeight="1">
      <c r="B317" s="97"/>
      <c r="C317" s="98"/>
      <c r="D317" s="98"/>
      <c r="E317" s="48"/>
      <c r="F317" s="37" t="e">
        <f>AVERAGEIF(ENTRADAS!$C$7:C517,$B317,ENTRADAS!$F$7:F517)</f>
        <v>#DIV/0!</v>
      </c>
      <c r="G317" s="42" t="e">
        <f>VLOOKUP(PROD!$B317,ENTRADAS!$C$7:$H$323,5,0)</f>
        <v>#N/A</v>
      </c>
      <c r="H317" s="43"/>
    </row>
    <row r="318" spans="2:8" ht="15.75" customHeight="1">
      <c r="B318" s="97"/>
      <c r="C318" s="98"/>
      <c r="D318" s="98"/>
      <c r="E318" s="48"/>
      <c r="F318" s="37" t="e">
        <f>AVERAGEIF(ENTRADAS!$C$7:C518,$B318,ENTRADAS!$F$7:F518)</f>
        <v>#DIV/0!</v>
      </c>
      <c r="G318" s="42" t="e">
        <f>VLOOKUP(PROD!$B318,ENTRADAS!$C$7:$H$323,5,0)</f>
        <v>#N/A</v>
      </c>
      <c r="H318" s="43"/>
    </row>
    <row r="319" spans="2:8" ht="15.75" customHeight="1">
      <c r="B319" s="97"/>
      <c r="C319" s="98"/>
      <c r="D319" s="98"/>
      <c r="E319" s="48"/>
      <c r="F319" s="37" t="e">
        <f>AVERAGEIF(ENTRADAS!$C$7:C519,$B319,ENTRADAS!$F$7:F519)</f>
        <v>#DIV/0!</v>
      </c>
      <c r="G319" s="42" t="e">
        <f>VLOOKUP(PROD!$B319,ENTRADAS!$C$7:$H$323,5,0)</f>
        <v>#N/A</v>
      </c>
      <c r="H319" s="43"/>
    </row>
    <row r="320" spans="2:8" ht="15.75" customHeight="1">
      <c r="B320" s="97"/>
      <c r="C320" s="98"/>
      <c r="D320" s="98"/>
      <c r="E320" s="48"/>
      <c r="F320" s="37" t="e">
        <f>AVERAGEIF(ENTRADAS!$C$7:C520,$B320,ENTRADAS!$F$7:F520)</f>
        <v>#DIV/0!</v>
      </c>
      <c r="G320" s="42" t="e">
        <f>VLOOKUP(PROD!$B320,ENTRADAS!$C$7:$H$323,5,0)</f>
        <v>#N/A</v>
      </c>
      <c r="H320" s="43"/>
    </row>
    <row r="321" spans="2:8" ht="15.75" customHeight="1">
      <c r="B321" s="97"/>
      <c r="C321" s="98"/>
      <c r="D321" s="98"/>
      <c r="E321" s="48"/>
      <c r="F321" s="37" t="e">
        <f>AVERAGEIF(ENTRADAS!$C$7:C521,$B321,ENTRADAS!$F$7:F521)</f>
        <v>#DIV/0!</v>
      </c>
      <c r="G321" s="42" t="e">
        <f>VLOOKUP(PROD!$B321,ENTRADAS!$C$7:$H$323,5,0)</f>
        <v>#N/A</v>
      </c>
      <c r="H321" s="43"/>
    </row>
    <row r="322" spans="2:8" ht="15.75" customHeight="1">
      <c r="B322" s="46"/>
      <c r="C322" s="47"/>
      <c r="D322" s="47"/>
      <c r="E322" s="48"/>
      <c r="F322" s="37" t="e">
        <f>AVERAGEIF(ENTRADAS!$C$7:C522,$B322,ENTRADAS!$F$7:F522)</f>
        <v>#DIV/0!</v>
      </c>
      <c r="G322" s="42" t="e">
        <f>VLOOKUP(PROD!$B322,ENTRADAS!$C$7:$H$323,5,0)</f>
        <v>#N/A</v>
      </c>
      <c r="H322" s="43"/>
    </row>
    <row r="323" spans="2:8" ht="15.75" customHeight="1">
      <c r="B323" s="46"/>
      <c r="C323" s="47"/>
      <c r="D323" s="47"/>
      <c r="E323" s="48"/>
      <c r="F323" s="37" t="e">
        <f>AVERAGEIF(ENTRADAS!$C$7:C523,$B323,ENTRADAS!$F$7:F523)</f>
        <v>#DIV/0!</v>
      </c>
      <c r="G323" s="42" t="e">
        <f>VLOOKUP(PROD!$B323,ENTRADAS!$C$7:$H$323,5,0)</f>
        <v>#N/A</v>
      </c>
      <c r="H323" s="43"/>
    </row>
    <row r="324" spans="2:8" ht="15.75" customHeight="1">
      <c r="B324" s="46"/>
      <c r="C324" s="47"/>
      <c r="D324" s="47"/>
      <c r="E324" s="48"/>
      <c r="F324" s="37" t="e">
        <f>AVERAGEIF(ENTRADAS!$C$7:C524,$B324,ENTRADAS!$F$7:F524)</f>
        <v>#DIV/0!</v>
      </c>
      <c r="G324" s="42" t="e">
        <f>VLOOKUP(PROD!$B324,ENTRADAS!$C$7:$H$323,5,0)</f>
        <v>#N/A</v>
      </c>
      <c r="H324" s="43"/>
    </row>
    <row r="325" spans="2:8" ht="15.75" customHeight="1">
      <c r="B325" s="46"/>
      <c r="C325" s="47"/>
      <c r="D325" s="47"/>
      <c r="E325" s="48"/>
      <c r="F325" s="37" t="e">
        <f>AVERAGEIF(ENTRADAS!$C$7:C525,$B325,ENTRADAS!$F$7:F525)</f>
        <v>#DIV/0!</v>
      </c>
      <c r="G325" s="42" t="e">
        <f>VLOOKUP(PROD!$B325,ENTRADAS!$C$7:$H$323,5,0)</f>
        <v>#N/A</v>
      </c>
      <c r="H325" s="43"/>
    </row>
    <row r="326" spans="2:8" ht="15.75" customHeight="1">
      <c r="B326" s="46"/>
      <c r="C326" s="47"/>
      <c r="D326" s="47"/>
      <c r="E326" s="48"/>
      <c r="F326" s="37" t="e">
        <f>AVERAGEIF(ENTRADAS!$C$7:C526,$B326,ENTRADAS!$F$7:F526)</f>
        <v>#DIV/0!</v>
      </c>
      <c r="G326" s="42" t="e">
        <f>VLOOKUP(PROD!$B326,ENTRADAS!$C$7:$H$323,5,0)</f>
        <v>#N/A</v>
      </c>
      <c r="H326" s="43"/>
    </row>
    <row r="327" spans="2:8" ht="15.75" customHeight="1">
      <c r="B327" s="46"/>
      <c r="C327" s="47"/>
      <c r="D327" s="47"/>
      <c r="E327" s="48"/>
      <c r="F327" s="37" t="e">
        <f>AVERAGEIF(ENTRADAS!$C$7:C527,$B327,ENTRADAS!$F$7:F527)</f>
        <v>#DIV/0!</v>
      </c>
      <c r="G327" s="42" t="e">
        <f>VLOOKUP(PROD!$B327,ENTRADAS!$C$7:$H$323,5,0)</f>
        <v>#N/A</v>
      </c>
      <c r="H327" s="43"/>
    </row>
    <row r="328" spans="2:8" ht="15.75" customHeight="1">
      <c r="B328" s="46"/>
      <c r="C328" s="47"/>
      <c r="D328" s="47"/>
      <c r="E328" s="48"/>
      <c r="F328" s="37" t="e">
        <f>AVERAGEIF(ENTRADAS!$C$7:C528,$B328,ENTRADAS!$F$7:F528)</f>
        <v>#DIV/0!</v>
      </c>
      <c r="G328" s="42" t="e">
        <f>VLOOKUP(PROD!$B328,ENTRADAS!$C$7:$H$323,5,0)</f>
        <v>#N/A</v>
      </c>
      <c r="H328" s="43"/>
    </row>
    <row r="329" spans="2:8" ht="15.75" customHeight="1">
      <c r="B329" s="46"/>
      <c r="C329" s="47"/>
      <c r="D329" s="47"/>
      <c r="E329" s="48"/>
      <c r="F329" s="37" t="e">
        <f>AVERAGEIF(ENTRADAS!$C$7:C529,$B329,ENTRADAS!$F$7:F529)</f>
        <v>#DIV/0!</v>
      </c>
      <c r="G329" s="42" t="e">
        <f>VLOOKUP(PROD!$B329,ENTRADAS!$C$7:$H$323,5,0)</f>
        <v>#N/A</v>
      </c>
      <c r="H329" s="43"/>
    </row>
    <row r="330" spans="2:8" ht="15.75" customHeight="1">
      <c r="B330" s="46"/>
      <c r="C330" s="47"/>
      <c r="D330" s="47"/>
      <c r="E330" s="48"/>
      <c r="F330" s="37" t="e">
        <f>AVERAGEIF(ENTRADAS!$C$7:C530,$B330,ENTRADAS!$F$7:F530)</f>
        <v>#DIV/0!</v>
      </c>
      <c r="G330" s="42" t="e">
        <f>VLOOKUP(PROD!$B330,ENTRADAS!$C$7:$H$323,5,0)</f>
        <v>#N/A</v>
      </c>
      <c r="H330" s="43"/>
    </row>
    <row r="331" spans="2:8" ht="15.75" customHeight="1">
      <c r="B331" s="46"/>
      <c r="C331" s="47"/>
      <c r="D331" s="47"/>
      <c r="E331" s="48"/>
      <c r="F331" s="37" t="e">
        <f>AVERAGEIF(ENTRADAS!$C$7:C531,$B331,ENTRADAS!$F$7:F531)</f>
        <v>#DIV/0!</v>
      </c>
      <c r="G331" s="42" t="e">
        <f>VLOOKUP(PROD!$B331,ENTRADAS!$C$7:$H$323,5,0)</f>
        <v>#N/A</v>
      </c>
      <c r="H331" s="43"/>
    </row>
    <row r="332" spans="2:8" ht="15.75" customHeight="1">
      <c r="B332" s="46"/>
      <c r="C332" s="47"/>
      <c r="D332" s="47"/>
      <c r="E332" s="48"/>
      <c r="F332" s="37" t="e">
        <f>AVERAGEIF(ENTRADAS!$C$7:C532,$B332,ENTRADAS!$F$7:F532)</f>
        <v>#DIV/0!</v>
      </c>
      <c r="G332" s="42" t="e">
        <f>VLOOKUP(PROD!$B332,ENTRADAS!$C$7:$H$323,5,0)</f>
        <v>#N/A</v>
      </c>
      <c r="H332" s="43"/>
    </row>
    <row r="333" spans="2:8" ht="15.75" customHeight="1">
      <c r="B333" s="46"/>
      <c r="C333" s="47"/>
      <c r="D333" s="47"/>
      <c r="E333" s="48"/>
      <c r="F333" s="37" t="e">
        <f>AVERAGEIF(ENTRADAS!$C$7:C533,$B333,ENTRADAS!$F$7:F533)</f>
        <v>#DIV/0!</v>
      </c>
      <c r="G333" s="42" t="e">
        <f>VLOOKUP(PROD!$B333,ENTRADAS!$C$7:$H$323,5,0)</f>
        <v>#N/A</v>
      </c>
      <c r="H333" s="43"/>
    </row>
    <row r="334" spans="2:8" ht="15.75" customHeight="1">
      <c r="B334" s="46"/>
      <c r="C334" s="47"/>
      <c r="D334" s="47"/>
      <c r="E334" s="48"/>
      <c r="F334" s="37" t="e">
        <f>AVERAGEIF(ENTRADAS!$C$7:C534,$B334,ENTRADAS!$F$7:F534)</f>
        <v>#DIV/0!</v>
      </c>
      <c r="G334" s="42" t="e">
        <f>VLOOKUP(PROD!$B334,ENTRADAS!$C$7:$H$323,5,0)</f>
        <v>#N/A</v>
      </c>
      <c r="H334" s="43"/>
    </row>
    <row r="335" spans="2:8" ht="15.75" customHeight="1">
      <c r="B335" s="46"/>
      <c r="C335" s="47"/>
      <c r="D335" s="47"/>
      <c r="E335" s="48"/>
      <c r="F335" s="37" t="e">
        <f>AVERAGEIF(ENTRADAS!$C$7:C535,$B335,ENTRADAS!$F$7:F535)</f>
        <v>#DIV/0!</v>
      </c>
      <c r="G335" s="42" t="e">
        <f>VLOOKUP(PROD!$B335,ENTRADAS!$C$7:$H$323,5,0)</f>
        <v>#N/A</v>
      </c>
      <c r="H335" s="43"/>
    </row>
    <row r="336" spans="2:8" ht="15.75" customHeight="1">
      <c r="B336" s="46"/>
      <c r="C336" s="47"/>
      <c r="D336" s="47"/>
      <c r="E336" s="48"/>
      <c r="F336" s="37" t="e">
        <f>AVERAGEIF(ENTRADAS!$C$7:C536,$B336,ENTRADAS!$F$7:F536)</f>
        <v>#DIV/0!</v>
      </c>
      <c r="G336" s="42" t="e">
        <f>VLOOKUP(PROD!$B336,ENTRADAS!$C$7:$H$323,5,0)</f>
        <v>#N/A</v>
      </c>
      <c r="H336" s="43"/>
    </row>
    <row r="337" spans="2:8" ht="15.75" customHeight="1">
      <c r="B337" s="46"/>
      <c r="C337" s="47"/>
      <c r="D337" s="47"/>
      <c r="E337" s="48"/>
      <c r="F337" s="37" t="e">
        <f>AVERAGEIF(ENTRADAS!$C$7:C537,$B337,ENTRADAS!$F$7:F537)</f>
        <v>#DIV/0!</v>
      </c>
      <c r="G337" s="42" t="e">
        <f>VLOOKUP(PROD!$B337,ENTRADAS!$C$7:$H$323,5,0)</f>
        <v>#N/A</v>
      </c>
      <c r="H337" s="43"/>
    </row>
    <row r="338" spans="2:8" ht="15.75" customHeight="1">
      <c r="B338" s="46"/>
      <c r="C338" s="47"/>
      <c r="D338" s="47"/>
      <c r="E338" s="48"/>
      <c r="F338" s="37" t="e">
        <f>AVERAGEIF(ENTRADAS!$C$7:C538,$B338,ENTRADAS!$F$7:F538)</f>
        <v>#DIV/0!</v>
      </c>
      <c r="G338" s="42" t="e">
        <f>VLOOKUP(PROD!$B338,ENTRADAS!$C$7:$H$323,5,0)</f>
        <v>#N/A</v>
      </c>
      <c r="H338" s="43"/>
    </row>
    <row r="339" spans="2:8" ht="15.75" customHeight="1">
      <c r="B339" s="46"/>
      <c r="C339" s="47"/>
      <c r="D339" s="47"/>
      <c r="E339" s="48"/>
      <c r="F339" s="37" t="e">
        <f>AVERAGEIF(ENTRADAS!$C$7:C539,$B339,ENTRADAS!$F$7:F539)</f>
        <v>#DIV/0!</v>
      </c>
      <c r="G339" s="42" t="e">
        <f>VLOOKUP(PROD!$B339,ENTRADAS!$C$7:$H$323,5,0)</f>
        <v>#N/A</v>
      </c>
      <c r="H339" s="43"/>
    </row>
    <row r="340" spans="2:8" ht="15.75" customHeight="1">
      <c r="B340" s="46"/>
      <c r="C340" s="47"/>
      <c r="D340" s="47"/>
      <c r="E340" s="48"/>
      <c r="F340" s="37" t="e">
        <f>AVERAGEIF(ENTRADAS!$C$7:C540,$B340,ENTRADAS!$F$7:F540)</f>
        <v>#DIV/0!</v>
      </c>
      <c r="G340" s="42" t="e">
        <f>VLOOKUP(PROD!$B340,ENTRADAS!$C$7:$H$323,5,0)</f>
        <v>#N/A</v>
      </c>
      <c r="H340" s="43"/>
    </row>
    <row r="341" spans="2:8" ht="15.75" customHeight="1">
      <c r="B341" s="46"/>
      <c r="C341" s="47"/>
      <c r="D341" s="47"/>
      <c r="E341" s="48"/>
      <c r="F341" s="37" t="e">
        <f>AVERAGEIF(ENTRADAS!$C$7:C541,$B341,ENTRADAS!$F$7:F541)</f>
        <v>#DIV/0!</v>
      </c>
      <c r="G341" s="42" t="e">
        <f>VLOOKUP(PROD!$B341,ENTRADAS!$C$7:$H$323,5,0)</f>
        <v>#N/A</v>
      </c>
      <c r="H341" s="43"/>
    </row>
    <row r="342" spans="2:8" ht="15.75" customHeight="1">
      <c r="B342" s="46"/>
      <c r="C342" s="47"/>
      <c r="D342" s="47"/>
      <c r="E342" s="48"/>
      <c r="F342" s="37" t="e">
        <f>AVERAGEIF(ENTRADAS!$C$7:C542,$B342,ENTRADAS!$F$7:F542)</f>
        <v>#DIV/0!</v>
      </c>
      <c r="G342" s="42" t="e">
        <f>VLOOKUP(PROD!$B342,ENTRADAS!$C$7:$H$323,5,0)</f>
        <v>#N/A</v>
      </c>
      <c r="H342" s="43"/>
    </row>
    <row r="343" spans="2:8" ht="15.75" customHeight="1">
      <c r="B343" s="46"/>
      <c r="C343" s="47"/>
      <c r="D343" s="47"/>
      <c r="E343" s="48"/>
      <c r="F343" s="37" t="e">
        <f>AVERAGEIF(ENTRADAS!$C$7:C543,$B343,ENTRADAS!$F$7:F543)</f>
        <v>#DIV/0!</v>
      </c>
      <c r="G343" s="42" t="e">
        <f>VLOOKUP(PROD!$B343,ENTRADAS!$C$7:$H$323,5,0)</f>
        <v>#N/A</v>
      </c>
      <c r="H343" s="43"/>
    </row>
    <row r="344" spans="2:8" ht="15.75" customHeight="1">
      <c r="B344" s="46"/>
      <c r="C344" s="47"/>
      <c r="D344" s="47"/>
      <c r="E344" s="48"/>
      <c r="F344" s="37" t="e">
        <f>AVERAGEIF(ENTRADAS!$C$7:C544,$B344,ENTRADAS!$F$7:F544)</f>
        <v>#DIV/0!</v>
      </c>
      <c r="G344" s="42" t="e">
        <f>VLOOKUP(PROD!$B344,ENTRADAS!$C$7:$H$323,5,0)</f>
        <v>#N/A</v>
      </c>
      <c r="H344" s="43"/>
    </row>
    <row r="345" spans="2:8" ht="15.75" customHeight="1">
      <c r="B345" s="46"/>
      <c r="C345" s="47"/>
      <c r="D345" s="47"/>
      <c r="E345" s="48"/>
      <c r="F345" s="37" t="e">
        <f>AVERAGEIF(ENTRADAS!$C$7:C545,$B345,ENTRADAS!$F$7:F545)</f>
        <v>#DIV/0!</v>
      </c>
      <c r="G345" s="42" t="e">
        <f>VLOOKUP(PROD!$B345,ENTRADAS!$C$7:$H$323,5,0)</f>
        <v>#N/A</v>
      </c>
      <c r="H345" s="43"/>
    </row>
    <row r="346" spans="2:8" ht="15.75" customHeight="1">
      <c r="B346" s="46"/>
      <c r="C346" s="47"/>
      <c r="D346" s="47"/>
      <c r="E346" s="48"/>
      <c r="F346" s="37" t="e">
        <f>AVERAGEIF(ENTRADAS!$C$7:C546,$B346,ENTRADAS!$F$7:F546)</f>
        <v>#DIV/0!</v>
      </c>
      <c r="G346" s="42" t="e">
        <f>VLOOKUP(PROD!$B346,ENTRADAS!$C$7:$H$323,5,0)</f>
        <v>#N/A</v>
      </c>
      <c r="H346" s="43"/>
    </row>
    <row r="347" spans="2:8" ht="15.75" customHeight="1">
      <c r="B347" s="46"/>
      <c r="C347" s="47"/>
      <c r="D347" s="47"/>
      <c r="E347" s="48"/>
      <c r="F347" s="37" t="e">
        <f>AVERAGEIF(ENTRADAS!$C$7:C547,$B347,ENTRADAS!$F$7:F547)</f>
        <v>#DIV/0!</v>
      </c>
      <c r="G347" s="42" t="e">
        <f>VLOOKUP(PROD!$B347,ENTRADAS!$C$7:$H$323,5,0)</f>
        <v>#N/A</v>
      </c>
      <c r="H347" s="43"/>
    </row>
    <row r="348" spans="2:8" ht="15.75" customHeight="1">
      <c r="B348" s="46"/>
      <c r="C348" s="47"/>
      <c r="D348" s="47"/>
      <c r="E348" s="48"/>
      <c r="F348" s="37" t="e">
        <f>AVERAGEIF(ENTRADAS!$C$7:C548,$B348,ENTRADAS!$F$7:F548)</f>
        <v>#DIV/0!</v>
      </c>
      <c r="G348" s="42" t="e">
        <f>VLOOKUP(PROD!$B348,ENTRADAS!$C$7:$H$323,5,0)</f>
        <v>#N/A</v>
      </c>
      <c r="H348" s="43"/>
    </row>
    <row r="349" spans="2:8" ht="15.75" customHeight="1">
      <c r="B349" s="46"/>
      <c r="C349" s="47"/>
      <c r="D349" s="47"/>
      <c r="E349" s="48"/>
      <c r="F349" s="37" t="e">
        <f>AVERAGEIF(ENTRADAS!$C$7:C549,$B349,ENTRADAS!$F$7:F549)</f>
        <v>#DIV/0!</v>
      </c>
      <c r="G349" s="42" t="e">
        <f>VLOOKUP(PROD!$B349,ENTRADAS!$C$7:$H$323,5,0)</f>
        <v>#N/A</v>
      </c>
      <c r="H349" s="43"/>
    </row>
    <row r="350" spans="2:8" ht="15.75" customHeight="1">
      <c r="B350" s="46"/>
      <c r="C350" s="47"/>
      <c r="D350" s="47"/>
      <c r="E350" s="48"/>
      <c r="F350" s="37" t="e">
        <f>AVERAGEIF(ENTRADAS!$C$7:C550,$B350,ENTRADAS!$F$7:F550)</f>
        <v>#DIV/0!</v>
      </c>
      <c r="G350" s="42" t="e">
        <f>VLOOKUP(PROD!$B350,ENTRADAS!$C$7:$H$323,5,0)</f>
        <v>#N/A</v>
      </c>
      <c r="H350" s="43"/>
    </row>
    <row r="351" spans="2:8" ht="15.75" customHeight="1">
      <c r="B351" s="46"/>
      <c r="C351" s="47"/>
      <c r="D351" s="47"/>
      <c r="E351" s="48"/>
      <c r="F351" s="37" t="e">
        <f>AVERAGEIF(ENTRADAS!$C$7:C551,$B351,ENTRADAS!$F$7:F551)</f>
        <v>#DIV/0!</v>
      </c>
      <c r="G351" s="42" t="e">
        <f>VLOOKUP(PROD!$B351,ENTRADAS!$C$7:$H$323,5,0)</f>
        <v>#N/A</v>
      </c>
      <c r="H351" s="43"/>
    </row>
    <row r="352" spans="2:8" ht="15.75" customHeight="1">
      <c r="B352" s="46"/>
      <c r="C352" s="47"/>
      <c r="D352" s="47"/>
      <c r="E352" s="48"/>
      <c r="F352" s="37" t="e">
        <f>AVERAGEIF(ENTRADAS!$C$7:C552,$B352,ENTRADAS!$F$7:F552)</f>
        <v>#DIV/0!</v>
      </c>
      <c r="G352" s="42" t="e">
        <f>VLOOKUP(PROD!$B352,ENTRADAS!$C$7:$H$323,5,0)</f>
        <v>#N/A</v>
      </c>
      <c r="H352" s="43"/>
    </row>
    <row r="353" spans="2:8" ht="15.75" customHeight="1">
      <c r="B353" s="46"/>
      <c r="C353" s="47"/>
      <c r="D353" s="47"/>
      <c r="E353" s="48"/>
      <c r="F353" s="37" t="e">
        <f>AVERAGEIF(ENTRADAS!$C$7:C553,$B353,ENTRADAS!$F$7:F553)</f>
        <v>#DIV/0!</v>
      </c>
      <c r="G353" s="42" t="e">
        <f>VLOOKUP(PROD!$B353,ENTRADAS!$C$7:$H$323,5,0)</f>
        <v>#N/A</v>
      </c>
      <c r="H353" s="43"/>
    </row>
    <row r="354" spans="2:8" ht="15.75" customHeight="1">
      <c r="B354" s="46"/>
      <c r="C354" s="47"/>
      <c r="D354" s="47"/>
      <c r="E354" s="48"/>
      <c r="F354" s="37" t="e">
        <f>AVERAGEIF(ENTRADAS!$C$7:C554,$B354,ENTRADAS!$F$7:F554)</f>
        <v>#DIV/0!</v>
      </c>
      <c r="G354" s="42" t="e">
        <f>VLOOKUP(PROD!$B354,ENTRADAS!$C$7:$H$323,5,0)</f>
        <v>#N/A</v>
      </c>
      <c r="H354" s="43"/>
    </row>
    <row r="355" spans="2:8" ht="15.75" customHeight="1">
      <c r="B355" s="46"/>
      <c r="C355" s="47"/>
      <c r="D355" s="47"/>
      <c r="E355" s="48"/>
      <c r="F355" s="37" t="e">
        <f>AVERAGEIF(ENTRADAS!$C$7:C555,$B355,ENTRADAS!$F$7:F555)</f>
        <v>#DIV/0!</v>
      </c>
      <c r="G355" s="42" t="e">
        <f>VLOOKUP(PROD!$B355,ENTRADAS!$C$7:$H$323,5,0)</f>
        <v>#N/A</v>
      </c>
      <c r="H355" s="43"/>
    </row>
    <row r="356" spans="2:8" ht="15.75" customHeight="1">
      <c r="B356" s="46"/>
      <c r="C356" s="47"/>
      <c r="D356" s="47"/>
      <c r="E356" s="48"/>
      <c r="F356" s="37" t="e">
        <f>AVERAGEIF(ENTRADAS!$C$7:C556,$B356,ENTRADAS!$F$7:F556)</f>
        <v>#DIV/0!</v>
      </c>
      <c r="G356" s="42" t="e">
        <f>VLOOKUP(PROD!$B356,ENTRADAS!$C$7:$H$323,5,0)</f>
        <v>#N/A</v>
      </c>
      <c r="H356" s="43"/>
    </row>
    <row r="357" spans="2:8" ht="15.75" customHeight="1">
      <c r="B357" s="46"/>
      <c r="C357" s="47"/>
      <c r="D357" s="47"/>
      <c r="E357" s="48"/>
      <c r="F357" s="37" t="e">
        <f>AVERAGEIF(ENTRADAS!$C$7:C557,$B357,ENTRADAS!$F$7:F557)</f>
        <v>#DIV/0!</v>
      </c>
      <c r="G357" s="42" t="e">
        <f>VLOOKUP(PROD!$B357,ENTRADAS!$C$7:$H$323,5,0)</f>
        <v>#N/A</v>
      </c>
      <c r="H357" s="43"/>
    </row>
    <row r="358" spans="2:8" ht="15.75" customHeight="1">
      <c r="B358" s="46"/>
      <c r="C358" s="47"/>
      <c r="D358" s="47"/>
      <c r="E358" s="48"/>
      <c r="F358" s="37" t="e">
        <f>AVERAGEIF(ENTRADAS!$C$7:C558,$B358,ENTRADAS!$F$7:F558)</f>
        <v>#DIV/0!</v>
      </c>
      <c r="G358" s="42" t="e">
        <f>VLOOKUP(PROD!$B358,ENTRADAS!$C$7:$H$323,5,0)</f>
        <v>#N/A</v>
      </c>
      <c r="H358" s="43"/>
    </row>
    <row r="359" spans="2:8" ht="15.75" customHeight="1">
      <c r="B359" s="46"/>
      <c r="C359" s="47"/>
      <c r="D359" s="47"/>
      <c r="E359" s="48"/>
      <c r="F359" s="37" t="e">
        <f>AVERAGEIF(ENTRADAS!$C$7:C559,$B359,ENTRADAS!$F$7:F559)</f>
        <v>#DIV/0!</v>
      </c>
      <c r="G359" s="42" t="e">
        <f>VLOOKUP(PROD!$B359,ENTRADAS!$C$7:$H$323,5,0)</f>
        <v>#N/A</v>
      </c>
      <c r="H359" s="43"/>
    </row>
    <row r="360" spans="2:8" ht="15.75" customHeight="1">
      <c r="B360" s="46"/>
      <c r="C360" s="47"/>
      <c r="D360" s="47"/>
      <c r="E360" s="48"/>
      <c r="F360" s="37" t="e">
        <f>AVERAGEIF(ENTRADAS!$C$7:C560,$B360,ENTRADAS!$F$7:F560)</f>
        <v>#DIV/0!</v>
      </c>
      <c r="G360" s="42" t="e">
        <f>VLOOKUP(PROD!$B360,ENTRADAS!$C$7:$H$323,5,0)</f>
        <v>#N/A</v>
      </c>
      <c r="H360" s="43"/>
    </row>
    <row r="361" spans="2:8" ht="15.75" customHeight="1">
      <c r="B361" s="46"/>
      <c r="C361" s="47"/>
      <c r="D361" s="47"/>
      <c r="E361" s="48"/>
      <c r="F361" s="37" t="e">
        <f>AVERAGEIF(ENTRADAS!$C$7:C561,$B361,ENTRADAS!$F$7:F561)</f>
        <v>#DIV/0!</v>
      </c>
      <c r="G361" s="42" t="e">
        <f>VLOOKUP(PROD!$B361,ENTRADAS!$C$7:$H$323,5,0)</f>
        <v>#N/A</v>
      </c>
      <c r="H361" s="43"/>
    </row>
    <row r="362" spans="2:8" ht="15.75" customHeight="1">
      <c r="B362" s="46"/>
      <c r="C362" s="47"/>
      <c r="D362" s="47"/>
      <c r="E362" s="48"/>
      <c r="F362" s="37" t="e">
        <f>AVERAGEIF(ENTRADAS!$C$7:C562,$B362,ENTRADAS!$F$7:F562)</f>
        <v>#DIV/0!</v>
      </c>
      <c r="G362" s="42" t="e">
        <f>VLOOKUP(PROD!$B362,ENTRADAS!$C$7:$H$323,5,0)</f>
        <v>#N/A</v>
      </c>
      <c r="H362" s="43"/>
    </row>
    <row r="363" spans="2:8" ht="15.75" customHeight="1">
      <c r="B363" s="46"/>
      <c r="C363" s="47"/>
      <c r="D363" s="47"/>
      <c r="E363" s="48"/>
      <c r="F363" s="37" t="e">
        <f>AVERAGEIF(ENTRADAS!$C$7:C563,$B363,ENTRADAS!$F$7:F563)</f>
        <v>#DIV/0!</v>
      </c>
      <c r="G363" s="42" t="e">
        <f>VLOOKUP(PROD!$B363,ENTRADAS!$C$7:$H$323,5,0)</f>
        <v>#N/A</v>
      </c>
      <c r="H363" s="43"/>
    </row>
    <row r="364" spans="2:8" ht="15.75" customHeight="1">
      <c r="B364" s="46"/>
      <c r="C364" s="47"/>
      <c r="D364" s="47"/>
      <c r="E364" s="48"/>
      <c r="F364" s="37" t="e">
        <f>AVERAGEIF(ENTRADAS!$C$7:C564,$B364,ENTRADAS!$F$7:F564)</f>
        <v>#DIV/0!</v>
      </c>
      <c r="G364" s="42" t="e">
        <f>VLOOKUP(PROD!$B364,ENTRADAS!$C$7:$H$323,5,0)</f>
        <v>#N/A</v>
      </c>
      <c r="H364" s="43"/>
    </row>
    <row r="365" spans="2:8" ht="15.75" customHeight="1">
      <c r="B365" s="46"/>
      <c r="C365" s="47"/>
      <c r="D365" s="47"/>
      <c r="E365" s="48"/>
      <c r="F365" s="37" t="e">
        <f>AVERAGEIF(ENTRADAS!$C$7:C565,$B365,ENTRADAS!$F$7:F565)</f>
        <v>#DIV/0!</v>
      </c>
      <c r="G365" s="42" t="e">
        <f>VLOOKUP(PROD!$B365,ENTRADAS!$C$7:$H$323,5,0)</f>
        <v>#N/A</v>
      </c>
      <c r="H365" s="43"/>
    </row>
    <row r="366" spans="2:8" ht="15.75" customHeight="1">
      <c r="B366" s="46"/>
      <c r="C366" s="47"/>
      <c r="D366" s="47"/>
      <c r="E366" s="48"/>
      <c r="F366" s="37" t="e">
        <f>AVERAGEIF(ENTRADAS!$C$7:C566,$B366,ENTRADAS!$F$7:F566)</f>
        <v>#DIV/0!</v>
      </c>
      <c r="G366" s="42" t="e">
        <f>VLOOKUP(PROD!$B366,ENTRADAS!$C$7:$H$323,5,0)</f>
        <v>#N/A</v>
      </c>
      <c r="H366" s="43"/>
    </row>
    <row r="367" spans="2:8" ht="15.75" customHeight="1">
      <c r="B367" s="46"/>
      <c r="C367" s="47"/>
      <c r="D367" s="47"/>
      <c r="E367" s="48"/>
      <c r="F367" s="37" t="e">
        <f>AVERAGEIF(ENTRADAS!$C$7:C567,$B367,ENTRADAS!$F$7:F567)</f>
        <v>#DIV/0!</v>
      </c>
      <c r="G367" s="42" t="e">
        <f>VLOOKUP(PROD!$B367,ENTRADAS!$C$7:$H$323,5,0)</f>
        <v>#N/A</v>
      </c>
      <c r="H367" s="43"/>
    </row>
    <row r="368" spans="2:8" ht="15.75" customHeight="1">
      <c r="B368" s="46"/>
      <c r="C368" s="47"/>
      <c r="D368" s="47"/>
      <c r="E368" s="48"/>
      <c r="F368" s="37" t="e">
        <f>AVERAGEIF(ENTRADAS!$C$7:C568,$B368,ENTRADAS!$F$7:F568)</f>
        <v>#DIV/0!</v>
      </c>
      <c r="G368" s="42" t="e">
        <f>VLOOKUP(PROD!$B368,ENTRADAS!$C$7:$H$323,5,0)</f>
        <v>#N/A</v>
      </c>
      <c r="H368" s="43"/>
    </row>
    <row r="369" spans="2:8" ht="15.75" customHeight="1">
      <c r="B369" s="46"/>
      <c r="C369" s="47"/>
      <c r="D369" s="47"/>
      <c r="E369" s="48"/>
      <c r="F369" s="37" t="e">
        <f>AVERAGEIF(ENTRADAS!$C$7:C569,$B369,ENTRADAS!$F$7:F569)</f>
        <v>#DIV/0!</v>
      </c>
      <c r="G369" s="42" t="e">
        <f>VLOOKUP(PROD!$B369,ENTRADAS!$C$7:$H$323,5,0)</f>
        <v>#N/A</v>
      </c>
      <c r="H369" s="43"/>
    </row>
    <row r="370" spans="2:8" ht="15.75" customHeight="1">
      <c r="B370" s="46"/>
      <c r="C370" s="47"/>
      <c r="D370" s="47"/>
      <c r="E370" s="48"/>
      <c r="F370" s="37" t="e">
        <f>AVERAGEIF(ENTRADAS!$C$7:C570,$B370,ENTRADAS!$F$7:F570)</f>
        <v>#DIV/0!</v>
      </c>
      <c r="G370" s="42" t="e">
        <f>VLOOKUP(PROD!$B370,ENTRADAS!$C$7:$H$323,5,0)</f>
        <v>#N/A</v>
      </c>
      <c r="H370" s="43"/>
    </row>
    <row r="371" spans="2:8" ht="15.75" customHeight="1">
      <c r="B371" s="46"/>
      <c r="C371" s="47"/>
      <c r="D371" s="47"/>
      <c r="E371" s="48"/>
      <c r="F371" s="37" t="e">
        <f>AVERAGEIF(ENTRADAS!$C$7:C571,$B371,ENTRADAS!$F$7:F571)</f>
        <v>#DIV/0!</v>
      </c>
      <c r="G371" s="42" t="e">
        <f>VLOOKUP(PROD!$B371,ENTRADAS!$C$7:$H$323,5,0)</f>
        <v>#N/A</v>
      </c>
      <c r="H371" s="43"/>
    </row>
    <row r="372" spans="2:8" ht="15.75" customHeight="1">
      <c r="B372" s="46"/>
      <c r="C372" s="47"/>
      <c r="D372" s="47"/>
      <c r="E372" s="48"/>
      <c r="F372" s="37" t="e">
        <f>AVERAGEIF(ENTRADAS!$C$7:C572,$B372,ENTRADAS!$F$7:F572)</f>
        <v>#DIV/0!</v>
      </c>
      <c r="G372" s="42" t="e">
        <f>VLOOKUP(PROD!$B372,ENTRADAS!$C$7:$H$323,5,0)</f>
        <v>#N/A</v>
      </c>
      <c r="H372" s="43"/>
    </row>
    <row r="373" spans="2:8" ht="15.75" customHeight="1">
      <c r="B373" s="46"/>
      <c r="C373" s="47"/>
      <c r="D373" s="47"/>
      <c r="E373" s="48"/>
      <c r="F373" s="37" t="e">
        <f>AVERAGEIF(ENTRADAS!$C$7:C573,$B373,ENTRADAS!$F$7:F573)</f>
        <v>#DIV/0!</v>
      </c>
      <c r="G373" s="42" t="e">
        <f>VLOOKUP(PROD!$B373,ENTRADAS!$C$7:$H$323,5,0)</f>
        <v>#N/A</v>
      </c>
      <c r="H373" s="43"/>
    </row>
    <row r="374" spans="2:8" ht="15.75" customHeight="1">
      <c r="B374" s="46"/>
      <c r="C374" s="47"/>
      <c r="D374" s="47"/>
      <c r="E374" s="48"/>
      <c r="F374" s="37" t="e">
        <f>AVERAGEIF(ENTRADAS!$C$7:C574,$B374,ENTRADAS!$F$7:F574)</f>
        <v>#DIV/0!</v>
      </c>
      <c r="G374" s="42" t="e">
        <f>VLOOKUP(PROD!$B374,ENTRADAS!$C$7:$H$323,5,0)</f>
        <v>#N/A</v>
      </c>
      <c r="H374" s="43"/>
    </row>
    <row r="375" spans="2:8" ht="15.75" customHeight="1">
      <c r="B375" s="46"/>
      <c r="C375" s="47"/>
      <c r="D375" s="47"/>
      <c r="E375" s="48"/>
      <c r="F375" s="37" t="e">
        <f>AVERAGEIF(ENTRADAS!$C$7:C575,$B375,ENTRADAS!$F$7:F575)</f>
        <v>#DIV/0!</v>
      </c>
      <c r="G375" s="42" t="e">
        <f>VLOOKUP(PROD!$B375,ENTRADAS!$C$7:$H$323,5,0)</f>
        <v>#N/A</v>
      </c>
      <c r="H375" s="43"/>
    </row>
    <row r="376" spans="2:8" ht="15.75" customHeight="1">
      <c r="B376" s="46"/>
      <c r="C376" s="47"/>
      <c r="D376" s="47"/>
      <c r="E376" s="48"/>
      <c r="F376" s="37" t="e">
        <f>AVERAGEIF(ENTRADAS!$C$7:C576,$B376,ENTRADAS!$F$7:F576)</f>
        <v>#DIV/0!</v>
      </c>
      <c r="G376" s="42" t="e">
        <f>VLOOKUP(PROD!$B376,ENTRADAS!$C$7:$H$323,5,0)</f>
        <v>#N/A</v>
      </c>
      <c r="H376" s="43"/>
    </row>
    <row r="377" spans="2:8" ht="15.75" customHeight="1">
      <c r="B377" s="46"/>
      <c r="C377" s="47"/>
      <c r="D377" s="47"/>
      <c r="E377" s="48"/>
      <c r="F377" s="37" t="e">
        <f>AVERAGEIF(ENTRADAS!$C$7:C577,$B377,ENTRADAS!$F$7:F577)</f>
        <v>#DIV/0!</v>
      </c>
      <c r="G377" s="42" t="e">
        <f>VLOOKUP(PROD!$B377,ENTRADAS!$C$7:$H$323,5,0)</f>
        <v>#N/A</v>
      </c>
      <c r="H377" s="43"/>
    </row>
    <row r="378" spans="2:8" ht="15.75" customHeight="1">
      <c r="B378" s="46"/>
      <c r="C378" s="47"/>
      <c r="D378" s="47"/>
      <c r="E378" s="48"/>
      <c r="F378" s="37" t="e">
        <f>AVERAGEIF(ENTRADAS!$C$7:C578,$B378,ENTRADAS!$F$7:F578)</f>
        <v>#DIV/0!</v>
      </c>
      <c r="G378" s="42" t="e">
        <f>VLOOKUP(PROD!$B378,ENTRADAS!$C$7:$H$323,5,0)</f>
        <v>#N/A</v>
      </c>
      <c r="H378" s="43"/>
    </row>
    <row r="379" spans="2:8" ht="15.75" customHeight="1">
      <c r="B379" s="46"/>
      <c r="C379" s="47"/>
      <c r="D379" s="47"/>
      <c r="E379" s="48"/>
      <c r="F379" s="37" t="e">
        <f>AVERAGEIF(ENTRADAS!$C$7:C579,$B379,ENTRADAS!$F$7:F579)</f>
        <v>#DIV/0!</v>
      </c>
      <c r="G379" s="42" t="e">
        <f>VLOOKUP(PROD!$B379,ENTRADAS!$C$7:$H$323,5,0)</f>
        <v>#N/A</v>
      </c>
      <c r="H379" s="43"/>
    </row>
    <row r="380" spans="2:8" ht="15.75" customHeight="1">
      <c r="B380" s="46"/>
      <c r="C380" s="47"/>
      <c r="D380" s="47"/>
      <c r="E380" s="48"/>
      <c r="F380" s="37" t="e">
        <f>AVERAGEIF(ENTRADAS!$C$7:C580,$B380,ENTRADAS!$F$7:F580)</f>
        <v>#DIV/0!</v>
      </c>
      <c r="G380" s="42" t="e">
        <f>VLOOKUP(PROD!$B380,ENTRADAS!$C$7:$H$323,5,0)</f>
        <v>#N/A</v>
      </c>
      <c r="H380" s="43"/>
    </row>
    <row r="381" spans="2:8" ht="15.75" customHeight="1">
      <c r="B381" s="46"/>
      <c r="C381" s="47"/>
      <c r="D381" s="47"/>
      <c r="E381" s="48"/>
      <c r="F381" s="37" t="e">
        <f>AVERAGEIF(ENTRADAS!$C$7:C581,$B381,ENTRADAS!$F$7:F581)</f>
        <v>#DIV/0!</v>
      </c>
      <c r="G381" s="42" t="e">
        <f>VLOOKUP(PROD!$B381,ENTRADAS!$C$7:$H$323,5,0)</f>
        <v>#N/A</v>
      </c>
      <c r="H381" s="43"/>
    </row>
    <row r="382" spans="2:8" ht="15.75" customHeight="1">
      <c r="B382" s="46"/>
      <c r="C382" s="47"/>
      <c r="D382" s="47"/>
      <c r="E382" s="48"/>
      <c r="F382" s="37" t="e">
        <f>AVERAGEIF(ENTRADAS!$C$7:C582,$B382,ENTRADAS!$F$7:F582)</f>
        <v>#DIV/0!</v>
      </c>
      <c r="G382" s="42" t="e">
        <f>VLOOKUP(PROD!$B382,ENTRADAS!$C$7:$H$323,5,0)</f>
        <v>#N/A</v>
      </c>
      <c r="H382" s="43"/>
    </row>
    <row r="383" spans="2:8" ht="15.75" customHeight="1">
      <c r="B383" s="46"/>
      <c r="C383" s="47"/>
      <c r="D383" s="47"/>
      <c r="E383" s="48"/>
      <c r="F383" s="37" t="e">
        <f>AVERAGEIF(ENTRADAS!$C$7:C583,$B383,ENTRADAS!$F$7:F583)</f>
        <v>#DIV/0!</v>
      </c>
      <c r="G383" s="42" t="e">
        <f>VLOOKUP(PROD!$B383,ENTRADAS!$C$7:$H$323,5,0)</f>
        <v>#N/A</v>
      </c>
      <c r="H383" s="43"/>
    </row>
    <row r="384" spans="2:8" ht="15.75" customHeight="1">
      <c r="B384" s="46"/>
      <c r="C384" s="47"/>
      <c r="D384" s="47"/>
      <c r="E384" s="48"/>
      <c r="F384" s="37" t="e">
        <f>AVERAGEIF(ENTRADAS!$C$7:C584,$B384,ENTRADAS!$F$7:F584)</f>
        <v>#DIV/0!</v>
      </c>
      <c r="G384" s="42" t="e">
        <f>VLOOKUP(PROD!$B384,ENTRADAS!$C$7:$H$323,5,0)</f>
        <v>#N/A</v>
      </c>
      <c r="H384" s="43"/>
    </row>
    <row r="385" spans="2:8" ht="15.75" customHeight="1">
      <c r="B385" s="46"/>
      <c r="C385" s="47"/>
      <c r="D385" s="47"/>
      <c r="E385" s="48"/>
      <c r="F385" s="37" t="e">
        <f>AVERAGEIF(ENTRADAS!$C$7:C585,$B385,ENTRADAS!$F$7:F585)</f>
        <v>#DIV/0!</v>
      </c>
      <c r="G385" s="42" t="e">
        <f>VLOOKUP(PROD!$B385,ENTRADAS!$C$7:$H$323,5,0)</f>
        <v>#N/A</v>
      </c>
      <c r="H385" s="43"/>
    </row>
    <row r="386" spans="2:8" ht="15.75" customHeight="1">
      <c r="B386" s="46"/>
      <c r="C386" s="47"/>
      <c r="D386" s="47"/>
      <c r="E386" s="48"/>
      <c r="F386" s="37" t="e">
        <f>AVERAGEIF(ENTRADAS!$C$7:C586,$B386,ENTRADAS!$F$7:F586)</f>
        <v>#DIV/0!</v>
      </c>
      <c r="G386" s="42" t="e">
        <f>VLOOKUP(PROD!$B386,ENTRADAS!$C$7:$H$323,5,0)</f>
        <v>#N/A</v>
      </c>
      <c r="H386" s="43"/>
    </row>
    <row r="387" spans="2:8" ht="15.75" customHeight="1">
      <c r="B387" s="46"/>
      <c r="C387" s="47"/>
      <c r="D387" s="47"/>
      <c r="E387" s="48"/>
      <c r="F387" s="37" t="e">
        <f>AVERAGEIF(ENTRADAS!$C$7:C587,$B387,ENTRADAS!$F$7:F587)</f>
        <v>#DIV/0!</v>
      </c>
      <c r="G387" s="42" t="e">
        <f>VLOOKUP(PROD!$B387,ENTRADAS!$C$7:$H$323,5,0)</f>
        <v>#N/A</v>
      </c>
      <c r="H387" s="43"/>
    </row>
    <row r="388" spans="2:8" ht="15.75" customHeight="1">
      <c r="B388" s="46"/>
      <c r="C388" s="47"/>
      <c r="D388" s="47"/>
      <c r="E388" s="48"/>
      <c r="F388" s="37" t="e">
        <f>AVERAGEIF(ENTRADAS!$C$7:C588,$B388,ENTRADAS!$F$7:F588)</f>
        <v>#DIV/0!</v>
      </c>
      <c r="G388" s="42" t="e">
        <f>VLOOKUP(PROD!$B388,ENTRADAS!$C$7:$H$323,5,0)</f>
        <v>#N/A</v>
      </c>
      <c r="H388" s="43"/>
    </row>
    <row r="389" spans="2:8" ht="15.75" customHeight="1">
      <c r="B389" s="46"/>
      <c r="C389" s="47"/>
      <c r="D389" s="47"/>
      <c r="E389" s="48"/>
      <c r="F389" s="37" t="e">
        <f>AVERAGEIF(ENTRADAS!$C$7:C589,$B389,ENTRADAS!$F$7:F589)</f>
        <v>#DIV/0!</v>
      </c>
      <c r="G389" s="42" t="e">
        <f>VLOOKUP(PROD!$B389,ENTRADAS!$C$7:$H$323,5,0)</f>
        <v>#N/A</v>
      </c>
      <c r="H389" s="43"/>
    </row>
    <row r="390" spans="2:8" ht="15.75" customHeight="1">
      <c r="B390" s="46"/>
      <c r="C390" s="47"/>
      <c r="D390" s="47"/>
      <c r="E390" s="48"/>
      <c r="F390" s="37" t="e">
        <f>AVERAGEIF(ENTRADAS!$C$7:C590,$B390,ENTRADAS!$F$7:F590)</f>
        <v>#DIV/0!</v>
      </c>
      <c r="G390" s="42" t="e">
        <f>VLOOKUP(PROD!$B390,ENTRADAS!$C$7:$H$323,5,0)</f>
        <v>#N/A</v>
      </c>
      <c r="H390" s="43"/>
    </row>
    <row r="391" spans="2:8" ht="15.75" customHeight="1">
      <c r="B391" s="46"/>
      <c r="C391" s="47"/>
      <c r="D391" s="47"/>
      <c r="E391" s="48"/>
      <c r="F391" s="37" t="e">
        <f>AVERAGEIF(ENTRADAS!$C$7:C591,$B391,ENTRADAS!$F$7:F591)</f>
        <v>#DIV/0!</v>
      </c>
      <c r="G391" s="42" t="e">
        <f>VLOOKUP(PROD!$B391,ENTRADAS!$C$7:$H$323,5,0)</f>
        <v>#N/A</v>
      </c>
      <c r="H391" s="43"/>
    </row>
    <row r="392" spans="2:8" ht="15.75" customHeight="1">
      <c r="B392" s="46"/>
      <c r="C392" s="47"/>
      <c r="D392" s="47"/>
      <c r="E392" s="48"/>
      <c r="F392" s="37" t="e">
        <f>AVERAGEIF(ENTRADAS!$C$7:C592,$B392,ENTRADAS!$F$7:F592)</f>
        <v>#DIV/0!</v>
      </c>
      <c r="G392" s="42" t="e">
        <f>VLOOKUP(PROD!$B392,ENTRADAS!$C$7:$H$323,5,0)</f>
        <v>#N/A</v>
      </c>
      <c r="H392" s="43"/>
    </row>
    <row r="393" spans="2:8" ht="15.75" customHeight="1">
      <c r="B393" s="46"/>
      <c r="C393" s="47"/>
      <c r="D393" s="47"/>
      <c r="E393" s="48"/>
      <c r="F393" s="37" t="e">
        <f>AVERAGEIF(ENTRADAS!$C$7:C593,$B393,ENTRADAS!$F$7:F593)</f>
        <v>#DIV/0!</v>
      </c>
      <c r="G393" s="42" t="e">
        <f>VLOOKUP(PROD!$B393,ENTRADAS!$C$7:$H$323,5,0)</f>
        <v>#N/A</v>
      </c>
      <c r="H393" s="43"/>
    </row>
    <row r="394" spans="2:8" ht="15.75" customHeight="1">
      <c r="B394" s="46"/>
      <c r="C394" s="47"/>
      <c r="D394" s="47"/>
      <c r="E394" s="48"/>
      <c r="F394" s="37" t="e">
        <f>AVERAGEIF(ENTRADAS!$C$7:C594,$B394,ENTRADAS!$F$7:F594)</f>
        <v>#DIV/0!</v>
      </c>
      <c r="G394" s="42" t="e">
        <f>VLOOKUP(PROD!$B394,ENTRADAS!$C$7:$H$323,5,0)</f>
        <v>#N/A</v>
      </c>
      <c r="H394" s="43"/>
    </row>
    <row r="395" spans="2:8" ht="15.75" customHeight="1" thickBot="1">
      <c r="B395" s="49"/>
      <c r="C395" s="50"/>
      <c r="D395" s="50"/>
      <c r="E395" s="51"/>
      <c r="F395" s="37" t="e">
        <f>AVERAGEIF(ENTRADAS!$C$7:C595,$B395,ENTRADAS!$F$7:F595)</f>
        <v>#DIV/0!</v>
      </c>
      <c r="G395" s="52" t="e">
        <f>VLOOKUP(PROD!$B395,ENTRADAS!$C$7:$H$323,5,0)</f>
        <v>#N/A</v>
      </c>
      <c r="H395" s="43"/>
    </row>
    <row r="396" spans="2:8" s="148" customFormat="1" ht="15.75" customHeight="1" thickBot="1">
      <c r="B396" s="49"/>
      <c r="C396" s="50"/>
      <c r="D396" s="50"/>
      <c r="E396" s="51"/>
      <c r="F396" s="37" t="e">
        <f>AVERAGEIF(ENTRADAS!$C$7:C596,$B396,ENTRADAS!$F$7:F596)</f>
        <v>#DIV/0!</v>
      </c>
      <c r="G396" s="52" t="e">
        <f>VLOOKUP(PROD!$B396,ENTRADAS!$C$7:$H$323,5,0)</f>
        <v>#N/A</v>
      </c>
      <c r="H396" s="43"/>
    </row>
    <row r="397" spans="2:8" s="148" customFormat="1" ht="15.75" customHeight="1" thickBot="1">
      <c r="B397" s="49"/>
      <c r="C397" s="50"/>
      <c r="D397" s="50"/>
      <c r="E397" s="51"/>
      <c r="F397" s="37" t="e">
        <f>AVERAGEIF(ENTRADAS!$C$7:C597,$B397,ENTRADAS!$F$7:F597)</f>
        <v>#DIV/0!</v>
      </c>
      <c r="G397" s="52" t="e">
        <f>VLOOKUP(PROD!$B397,ENTRADAS!$C$7:$H$323,5,0)</f>
        <v>#N/A</v>
      </c>
      <c r="H397" s="43"/>
    </row>
    <row r="398" spans="2:8" s="148" customFormat="1" ht="15.75" customHeight="1" thickBot="1">
      <c r="B398" s="49"/>
      <c r="C398" s="50"/>
      <c r="D398" s="50"/>
      <c r="E398" s="51"/>
      <c r="F398" s="37" t="e">
        <f>AVERAGEIF(ENTRADAS!$C$7:C598,$B398,ENTRADAS!$F$7:F598)</f>
        <v>#DIV/0!</v>
      </c>
      <c r="G398" s="52" t="e">
        <f>VLOOKUP(PROD!$B398,ENTRADAS!$C$7:$H$323,5,0)</f>
        <v>#N/A</v>
      </c>
      <c r="H398" s="43"/>
    </row>
    <row r="399" spans="2:8" s="148" customFormat="1" ht="15.75" customHeight="1" thickBot="1">
      <c r="B399" s="49"/>
      <c r="C399" s="50"/>
      <c r="D399" s="50"/>
      <c r="E399" s="51"/>
      <c r="F399" s="37" t="e">
        <f>AVERAGEIF(ENTRADAS!$C$7:C599,$B399,ENTRADAS!$F$7:F599)</f>
        <v>#DIV/0!</v>
      </c>
      <c r="G399" s="52" t="e">
        <f>VLOOKUP(PROD!$B399,ENTRADAS!$C$7:$H$323,5,0)</f>
        <v>#N/A</v>
      </c>
      <c r="H399" s="43"/>
    </row>
    <row r="400" spans="2:8" s="148" customFormat="1" ht="15.75" customHeight="1" thickBot="1">
      <c r="B400" s="49"/>
      <c r="C400" s="50"/>
      <c r="D400" s="50"/>
      <c r="E400" s="51"/>
      <c r="F400" s="37" t="e">
        <f>AVERAGEIF(ENTRADAS!$C$7:C600,$B400,ENTRADAS!$F$7:F600)</f>
        <v>#DIV/0!</v>
      </c>
      <c r="G400" s="52" t="e">
        <f>VLOOKUP(PROD!$B400,ENTRADAS!$C$7:$H$323,5,0)</f>
        <v>#N/A</v>
      </c>
      <c r="H400" s="43"/>
    </row>
    <row r="401" spans="2:8" s="148" customFormat="1" ht="15.75" customHeight="1" thickBot="1">
      <c r="B401" s="49"/>
      <c r="C401" s="50"/>
      <c r="D401" s="50"/>
      <c r="E401" s="51"/>
      <c r="F401" s="37" t="e">
        <f>AVERAGEIF(ENTRADAS!$C$7:C601,$B401,ENTRADAS!$F$7:F601)</f>
        <v>#DIV/0!</v>
      </c>
      <c r="G401" s="52" t="e">
        <f>VLOOKUP(PROD!$B401,ENTRADAS!$C$7:$H$323,5,0)</f>
        <v>#N/A</v>
      </c>
      <c r="H401" s="43"/>
    </row>
    <row r="402" spans="2:8" s="148" customFormat="1" ht="15.75" customHeight="1" thickBot="1">
      <c r="B402" s="49"/>
      <c r="C402" s="50"/>
      <c r="D402" s="50"/>
      <c r="E402" s="51"/>
      <c r="F402" s="37" t="e">
        <f>AVERAGEIF(ENTRADAS!$C$7:C602,$B402,ENTRADAS!$F$7:F602)</f>
        <v>#DIV/0!</v>
      </c>
      <c r="G402" s="52" t="e">
        <f>VLOOKUP(PROD!$B402,ENTRADAS!$C$7:$H$323,5,0)</f>
        <v>#N/A</v>
      </c>
      <c r="H402" s="43"/>
    </row>
    <row r="403" spans="2:8" s="148" customFormat="1" ht="15.75" customHeight="1" thickBot="1">
      <c r="B403" s="49"/>
      <c r="C403" s="50"/>
      <c r="D403" s="50"/>
      <c r="E403" s="51"/>
      <c r="F403" s="37" t="e">
        <f>AVERAGEIF(ENTRADAS!$C$7:C603,$B403,ENTRADAS!$F$7:F603)</f>
        <v>#DIV/0!</v>
      </c>
      <c r="G403" s="52" t="e">
        <f>VLOOKUP(PROD!$B403,ENTRADAS!$C$7:$H$323,5,0)</f>
        <v>#N/A</v>
      </c>
      <c r="H403" s="43"/>
    </row>
    <row r="404" spans="2:8" s="148" customFormat="1" ht="15.75" customHeight="1" thickBot="1">
      <c r="B404" s="49"/>
      <c r="C404" s="50"/>
      <c r="D404" s="50"/>
      <c r="E404" s="51"/>
      <c r="F404" s="37" t="e">
        <f>AVERAGEIF(ENTRADAS!$C$7:C604,$B404,ENTRADAS!$F$7:F604)</f>
        <v>#DIV/0!</v>
      </c>
      <c r="G404" s="52" t="e">
        <f>VLOOKUP(PROD!$B404,ENTRADAS!$C$7:$H$323,5,0)</f>
        <v>#N/A</v>
      </c>
      <c r="H404" s="43"/>
    </row>
    <row r="405" spans="2:8" s="148" customFormat="1" ht="15.75" customHeight="1" thickBot="1">
      <c r="B405" s="49"/>
      <c r="C405" s="50"/>
      <c r="D405" s="50"/>
      <c r="E405" s="51"/>
      <c r="F405" s="37" t="e">
        <f>AVERAGEIF(ENTRADAS!$C$7:C605,$B405,ENTRADAS!$F$7:F605)</f>
        <v>#DIV/0!</v>
      </c>
      <c r="G405" s="52" t="e">
        <f>VLOOKUP(PROD!$B405,ENTRADAS!$C$7:$H$323,5,0)</f>
        <v>#N/A</v>
      </c>
      <c r="H405" s="43"/>
    </row>
    <row r="406" spans="2:8" s="148" customFormat="1" ht="15.75" customHeight="1" thickBot="1">
      <c r="B406" s="49"/>
      <c r="C406" s="50"/>
      <c r="D406" s="50"/>
      <c r="E406" s="51"/>
      <c r="F406" s="37" t="e">
        <f>AVERAGEIF(ENTRADAS!$C$7:C606,$B406,ENTRADAS!$F$7:F606)</f>
        <v>#DIV/0!</v>
      </c>
      <c r="G406" s="52" t="e">
        <f>VLOOKUP(PROD!$B406,ENTRADAS!$C$7:$H$323,5,0)</f>
        <v>#N/A</v>
      </c>
      <c r="H406" s="43"/>
    </row>
    <row r="407" spans="2:8" s="148" customFormat="1" ht="15.75" customHeight="1" thickBot="1">
      <c r="B407" s="49"/>
      <c r="C407" s="50"/>
      <c r="D407" s="50"/>
      <c r="E407" s="51"/>
      <c r="F407" s="37" t="e">
        <f>AVERAGEIF(ENTRADAS!$C$7:C607,$B407,ENTRADAS!$F$7:F607)</f>
        <v>#DIV/0!</v>
      </c>
      <c r="G407" s="52" t="e">
        <f>VLOOKUP(PROD!$B407,ENTRADAS!$C$7:$H$323,5,0)</f>
        <v>#N/A</v>
      </c>
      <c r="H407" s="43"/>
    </row>
    <row r="408" spans="2:8" s="148" customFormat="1" ht="15.75" customHeight="1" thickBot="1">
      <c r="B408" s="49"/>
      <c r="C408" s="50"/>
      <c r="D408" s="50"/>
      <c r="E408" s="51"/>
      <c r="F408" s="37" t="e">
        <f>AVERAGEIF(ENTRADAS!$C$7:C608,$B408,ENTRADAS!$F$7:F608)</f>
        <v>#DIV/0!</v>
      </c>
      <c r="G408" s="52" t="e">
        <f>VLOOKUP(PROD!$B408,ENTRADAS!$C$7:$H$323,5,0)</f>
        <v>#N/A</v>
      </c>
      <c r="H408" s="43"/>
    </row>
    <row r="409" spans="2:8" s="148" customFormat="1" ht="15.75" customHeight="1" thickBot="1">
      <c r="B409" s="49"/>
      <c r="C409" s="50"/>
      <c r="D409" s="50"/>
      <c r="E409" s="51"/>
      <c r="F409" s="37" t="e">
        <f>AVERAGEIF(ENTRADAS!$C$7:C609,$B409,ENTRADAS!$F$7:F609)</f>
        <v>#DIV/0!</v>
      </c>
      <c r="G409" s="52" t="e">
        <f>VLOOKUP(PROD!$B409,ENTRADAS!$C$7:$H$323,5,0)</f>
        <v>#N/A</v>
      </c>
      <c r="H409" s="43"/>
    </row>
    <row r="410" spans="2:8" s="148" customFormat="1" ht="15.75" customHeight="1" thickBot="1">
      <c r="B410" s="49"/>
      <c r="C410" s="50"/>
      <c r="D410" s="50"/>
      <c r="E410" s="51"/>
      <c r="F410" s="37" t="e">
        <f>AVERAGEIF(ENTRADAS!$C$7:C610,$B410,ENTRADAS!$F$7:F610)</f>
        <v>#DIV/0!</v>
      </c>
      <c r="G410" s="52" t="e">
        <f>VLOOKUP(PROD!$B410,ENTRADAS!$C$7:$H$323,5,0)</f>
        <v>#N/A</v>
      </c>
      <c r="H410" s="43"/>
    </row>
    <row r="411" spans="2:8" s="148" customFormat="1" ht="15.75" customHeight="1" thickBot="1">
      <c r="B411" s="49"/>
      <c r="C411" s="50"/>
      <c r="D411" s="50"/>
      <c r="E411" s="51"/>
      <c r="F411" s="37" t="e">
        <f>AVERAGEIF(ENTRADAS!$C$7:C611,$B411,ENTRADAS!$F$7:F611)</f>
        <v>#DIV/0!</v>
      </c>
      <c r="G411" s="52" t="e">
        <f>VLOOKUP(PROD!$B411,ENTRADAS!$C$7:$H$323,5,0)</f>
        <v>#N/A</v>
      </c>
      <c r="H411" s="43"/>
    </row>
    <row r="412" spans="2:8" s="148" customFormat="1" ht="15.75" customHeight="1" thickBot="1">
      <c r="B412" s="49"/>
      <c r="C412" s="50"/>
      <c r="D412" s="50"/>
      <c r="E412" s="51"/>
      <c r="F412" s="37" t="e">
        <f>AVERAGEIF(ENTRADAS!$C$7:C612,$B412,ENTRADAS!$F$7:F612)</f>
        <v>#DIV/0!</v>
      </c>
      <c r="G412" s="52" t="e">
        <f>VLOOKUP(PROD!$B412,ENTRADAS!$C$7:$H$323,5,0)</f>
        <v>#N/A</v>
      </c>
      <c r="H412" s="43"/>
    </row>
    <row r="413" spans="2:8" s="148" customFormat="1" ht="15.75" customHeight="1" thickBot="1">
      <c r="B413" s="49"/>
      <c r="C413" s="50"/>
      <c r="D413" s="50"/>
      <c r="E413" s="51"/>
      <c r="F413" s="37" t="e">
        <f>AVERAGEIF(ENTRADAS!$C$7:C613,$B413,ENTRADAS!$F$7:F613)</f>
        <v>#DIV/0!</v>
      </c>
      <c r="G413" s="52" t="e">
        <f>VLOOKUP(PROD!$B413,ENTRADAS!$C$7:$H$323,5,0)</f>
        <v>#N/A</v>
      </c>
      <c r="H413" s="43"/>
    </row>
    <row r="414" spans="2:8" s="148" customFormat="1" ht="15.75" customHeight="1" thickBot="1">
      <c r="B414" s="49"/>
      <c r="C414" s="50"/>
      <c r="D414" s="50"/>
      <c r="E414" s="51"/>
      <c r="F414" s="37" t="e">
        <f>AVERAGEIF(ENTRADAS!$C$7:C614,$B414,ENTRADAS!$F$7:F614)</f>
        <v>#DIV/0!</v>
      </c>
      <c r="G414" s="52" t="e">
        <f>VLOOKUP(PROD!$B414,ENTRADAS!$C$7:$H$323,5,0)</f>
        <v>#N/A</v>
      </c>
      <c r="H414" s="43"/>
    </row>
    <row r="415" spans="2:8" s="148" customFormat="1" ht="15.75" customHeight="1" thickBot="1">
      <c r="B415" s="49"/>
      <c r="C415" s="50"/>
      <c r="D415" s="50"/>
      <c r="E415" s="51"/>
      <c r="F415" s="37" t="e">
        <f>AVERAGEIF(ENTRADAS!$C$7:C615,$B415,ENTRADAS!$F$7:F615)</f>
        <v>#DIV/0!</v>
      </c>
      <c r="G415" s="52" t="e">
        <f>VLOOKUP(PROD!$B415,ENTRADAS!$C$7:$H$323,5,0)</f>
        <v>#N/A</v>
      </c>
      <c r="H415" s="43"/>
    </row>
    <row r="416" spans="2:8" s="148" customFormat="1" ht="15.75" customHeight="1" thickBot="1">
      <c r="B416" s="49"/>
      <c r="C416" s="50"/>
      <c r="D416" s="50"/>
      <c r="E416" s="51"/>
      <c r="F416" s="37" t="e">
        <f>AVERAGEIF(ENTRADAS!$C$7:C616,$B416,ENTRADAS!$F$7:F616)</f>
        <v>#DIV/0!</v>
      </c>
      <c r="G416" s="52" t="e">
        <f>VLOOKUP(PROD!$B416,ENTRADAS!$C$7:$H$323,5,0)</f>
        <v>#N/A</v>
      </c>
      <c r="H416" s="43"/>
    </row>
    <row r="417" spans="2:8" s="148" customFormat="1" ht="15.75" customHeight="1" thickBot="1">
      <c r="B417" s="49"/>
      <c r="C417" s="50"/>
      <c r="D417" s="50"/>
      <c r="E417" s="51"/>
      <c r="F417" s="37" t="e">
        <f>AVERAGEIF(ENTRADAS!$C$7:C617,$B417,ENTRADAS!$F$7:F617)</f>
        <v>#DIV/0!</v>
      </c>
      <c r="G417" s="52" t="e">
        <f>VLOOKUP(PROD!$B417,ENTRADAS!$C$7:$H$323,5,0)</f>
        <v>#N/A</v>
      </c>
      <c r="H417" s="43"/>
    </row>
    <row r="418" spans="2:8" s="148" customFormat="1" ht="15.75" customHeight="1" thickBot="1">
      <c r="B418" s="49"/>
      <c r="C418" s="50"/>
      <c r="D418" s="50"/>
      <c r="E418" s="51"/>
      <c r="F418" s="37" t="e">
        <f>AVERAGEIF(ENTRADAS!$C$7:C618,$B418,ENTRADAS!$F$7:F618)</f>
        <v>#DIV/0!</v>
      </c>
      <c r="G418" s="52" t="e">
        <f>VLOOKUP(PROD!$B418,ENTRADAS!$C$7:$H$323,5,0)</f>
        <v>#N/A</v>
      </c>
      <c r="H418" s="43"/>
    </row>
    <row r="419" spans="2:8" s="148" customFormat="1" ht="15.75" customHeight="1" thickBot="1">
      <c r="B419" s="49"/>
      <c r="C419" s="50"/>
      <c r="D419" s="50"/>
      <c r="E419" s="51"/>
      <c r="F419" s="37" t="e">
        <f>AVERAGEIF(ENTRADAS!$C$7:C619,$B419,ENTRADAS!$F$7:F619)</f>
        <v>#DIV/0!</v>
      </c>
      <c r="G419" s="52" t="e">
        <f>VLOOKUP(PROD!$B419,ENTRADAS!$C$7:$H$323,5,0)</f>
        <v>#N/A</v>
      </c>
      <c r="H419" s="43"/>
    </row>
    <row r="420" spans="2:8" s="148" customFormat="1" ht="15.75" customHeight="1" thickBot="1">
      <c r="B420" s="49"/>
      <c r="C420" s="50"/>
      <c r="D420" s="50"/>
      <c r="E420" s="51"/>
      <c r="F420" s="37" t="e">
        <f>AVERAGEIF(ENTRADAS!$C$7:C620,$B420,ENTRADAS!$F$7:F620)</f>
        <v>#DIV/0!</v>
      </c>
      <c r="G420" s="52" t="e">
        <f>VLOOKUP(PROD!$B420,ENTRADAS!$C$7:$H$323,5,0)</f>
        <v>#N/A</v>
      </c>
      <c r="H420" s="43"/>
    </row>
    <row r="421" spans="2:8" s="148" customFormat="1" ht="15.75" customHeight="1" thickBot="1">
      <c r="B421" s="49"/>
      <c r="C421" s="50"/>
      <c r="D421" s="50"/>
      <c r="E421" s="51"/>
      <c r="F421" s="37" t="e">
        <f>AVERAGEIF(ENTRADAS!$C$7:C621,$B421,ENTRADAS!$F$7:F621)</f>
        <v>#DIV/0!</v>
      </c>
      <c r="G421" s="52" t="e">
        <f>VLOOKUP(PROD!$B421,ENTRADAS!$C$7:$H$323,5,0)</f>
        <v>#N/A</v>
      </c>
      <c r="H421" s="43"/>
    </row>
    <row r="422" spans="2:8" s="148" customFormat="1" ht="15.75" customHeight="1" thickBot="1">
      <c r="B422" s="49"/>
      <c r="C422" s="50"/>
      <c r="D422" s="50"/>
      <c r="E422" s="51"/>
      <c r="F422" s="37" t="e">
        <f>AVERAGEIF(ENTRADAS!$C$7:C622,$B422,ENTRADAS!$F$7:F622)</f>
        <v>#DIV/0!</v>
      </c>
      <c r="G422" s="52" t="e">
        <f>VLOOKUP(PROD!$B422,ENTRADAS!$C$7:$H$323,5,0)</f>
        <v>#N/A</v>
      </c>
      <c r="H422" s="43"/>
    </row>
    <row r="423" spans="2:8" s="148" customFormat="1" ht="15.75" customHeight="1" thickBot="1">
      <c r="B423" s="49"/>
      <c r="C423" s="50"/>
      <c r="D423" s="50"/>
      <c r="E423" s="51"/>
      <c r="F423" s="37" t="e">
        <f>AVERAGEIF(ENTRADAS!$C$7:C623,$B423,ENTRADAS!$F$7:F623)</f>
        <v>#DIV/0!</v>
      </c>
      <c r="G423" s="52" t="e">
        <f>VLOOKUP(PROD!$B423,ENTRADAS!$C$7:$H$323,5,0)</f>
        <v>#N/A</v>
      </c>
      <c r="H423" s="43"/>
    </row>
    <row r="424" spans="2:8" s="148" customFormat="1" ht="15.75" customHeight="1" thickBot="1">
      <c r="B424" s="49"/>
      <c r="C424" s="50"/>
      <c r="D424" s="50"/>
      <c r="E424" s="51"/>
      <c r="F424" s="37" t="e">
        <f>AVERAGEIF(ENTRADAS!$C$7:C624,$B424,ENTRADAS!$F$7:F624)</f>
        <v>#DIV/0!</v>
      </c>
      <c r="G424" s="52" t="e">
        <f>VLOOKUP(PROD!$B424,ENTRADAS!$C$7:$H$323,5,0)</f>
        <v>#N/A</v>
      </c>
      <c r="H424" s="43"/>
    </row>
    <row r="425" spans="2:8" s="148" customFormat="1" ht="15.75" customHeight="1" thickBot="1">
      <c r="B425" s="49"/>
      <c r="C425" s="50"/>
      <c r="D425" s="50"/>
      <c r="E425" s="51"/>
      <c r="F425" s="37" t="e">
        <f>AVERAGEIF(ENTRADAS!$C$7:C625,$B425,ENTRADAS!$F$7:F625)</f>
        <v>#DIV/0!</v>
      </c>
      <c r="G425" s="52" t="e">
        <f>VLOOKUP(PROD!$B425,ENTRADAS!$C$7:$H$323,5,0)</f>
        <v>#N/A</v>
      </c>
      <c r="H425" s="43"/>
    </row>
    <row r="426" spans="2:8" s="148" customFormat="1" ht="15.75" customHeight="1" thickBot="1">
      <c r="B426" s="49"/>
      <c r="C426" s="50"/>
      <c r="D426" s="50"/>
      <c r="E426" s="51"/>
      <c r="F426" s="37" t="e">
        <f>AVERAGEIF(ENTRADAS!$C$7:C626,$B426,ENTRADAS!$F$7:F626)</f>
        <v>#DIV/0!</v>
      </c>
      <c r="G426" s="52" t="e">
        <f>VLOOKUP(PROD!$B426,ENTRADAS!$C$7:$H$323,5,0)</f>
        <v>#N/A</v>
      </c>
      <c r="H426" s="43"/>
    </row>
    <row r="427" spans="2:8" s="148" customFormat="1" ht="15.75" customHeight="1" thickBot="1">
      <c r="B427" s="49"/>
      <c r="C427" s="50"/>
      <c r="D427" s="50"/>
      <c r="E427" s="51"/>
      <c r="F427" s="37" t="e">
        <f>AVERAGEIF(ENTRADAS!$C$7:C627,$B427,ENTRADAS!$F$7:F627)</f>
        <v>#DIV/0!</v>
      </c>
      <c r="G427" s="52" t="e">
        <f>VLOOKUP(PROD!$B427,ENTRADAS!$C$7:$H$323,5,0)</f>
        <v>#N/A</v>
      </c>
      <c r="H427" s="43"/>
    </row>
    <row r="428" spans="2:8" s="148" customFormat="1" ht="15.75" customHeight="1" thickBot="1">
      <c r="B428" s="49"/>
      <c r="C428" s="50"/>
      <c r="D428" s="50"/>
      <c r="E428" s="51"/>
      <c r="F428" s="37" t="e">
        <f>AVERAGEIF(ENTRADAS!$C$7:C628,$B428,ENTRADAS!$F$7:F628)</f>
        <v>#DIV/0!</v>
      </c>
      <c r="G428" s="52" t="e">
        <f>VLOOKUP(PROD!$B428,ENTRADAS!$C$7:$H$323,5,0)</f>
        <v>#N/A</v>
      </c>
      <c r="H428" s="43"/>
    </row>
    <row r="429" spans="2:8" s="148" customFormat="1" ht="15.75" customHeight="1" thickBot="1">
      <c r="B429" s="49"/>
      <c r="C429" s="50"/>
      <c r="D429" s="50"/>
      <c r="E429" s="51"/>
      <c r="F429" s="37" t="e">
        <f>AVERAGEIF(ENTRADAS!$C$7:C629,$B429,ENTRADAS!$F$7:F629)</f>
        <v>#DIV/0!</v>
      </c>
      <c r="G429" s="52" t="e">
        <f>VLOOKUP(PROD!$B429,ENTRADAS!$C$7:$H$323,5,0)</f>
        <v>#N/A</v>
      </c>
      <c r="H429" s="43"/>
    </row>
    <row r="430" spans="2:8" s="148" customFormat="1" ht="15.75" customHeight="1" thickBot="1">
      <c r="B430" s="49"/>
      <c r="C430" s="50"/>
      <c r="D430" s="50"/>
      <c r="E430" s="51"/>
      <c r="F430" s="37" t="e">
        <f>AVERAGEIF(ENTRADAS!$C$7:C630,$B430,ENTRADAS!$F$7:F630)</f>
        <v>#DIV/0!</v>
      </c>
      <c r="G430" s="52" t="e">
        <f>VLOOKUP(PROD!$B430,ENTRADAS!$C$7:$H$323,5,0)</f>
        <v>#N/A</v>
      </c>
      <c r="H430" s="43"/>
    </row>
    <row r="431" spans="2:8" s="148" customFormat="1" ht="15.75" customHeight="1" thickBot="1">
      <c r="B431" s="49"/>
      <c r="C431" s="50"/>
      <c r="D431" s="50"/>
      <c r="E431" s="51"/>
      <c r="F431" s="37" t="e">
        <f>AVERAGEIF(ENTRADAS!$C$7:C631,$B431,ENTRADAS!$F$7:F631)</f>
        <v>#DIV/0!</v>
      </c>
      <c r="G431" s="52" t="e">
        <f>VLOOKUP(PROD!$B431,ENTRADAS!$C$7:$H$323,5,0)</f>
        <v>#N/A</v>
      </c>
      <c r="H431" s="43"/>
    </row>
    <row r="432" spans="2:8" s="148" customFormat="1" ht="15.75" customHeight="1" thickBot="1">
      <c r="B432" s="49"/>
      <c r="C432" s="50"/>
      <c r="D432" s="50"/>
      <c r="E432" s="51"/>
      <c r="F432" s="37" t="e">
        <f>AVERAGEIF(ENTRADAS!$C$7:C632,$B432,ENTRADAS!$F$7:F632)</f>
        <v>#DIV/0!</v>
      </c>
      <c r="G432" s="52" t="e">
        <f>VLOOKUP(PROD!$B432,ENTRADAS!$C$7:$H$323,5,0)</f>
        <v>#N/A</v>
      </c>
      <c r="H432" s="43"/>
    </row>
    <row r="433" spans="2:8" s="148" customFormat="1" ht="15.75" customHeight="1" thickBot="1">
      <c r="B433" s="49"/>
      <c r="C433" s="50"/>
      <c r="D433" s="50"/>
      <c r="E433" s="51"/>
      <c r="F433" s="37" t="e">
        <f>AVERAGEIF(ENTRADAS!$C$7:C633,$B433,ENTRADAS!$F$7:F633)</f>
        <v>#DIV/0!</v>
      </c>
      <c r="G433" s="52" t="e">
        <f>VLOOKUP(PROD!$B433,ENTRADAS!$C$7:$H$323,5,0)</f>
        <v>#N/A</v>
      </c>
      <c r="H433" s="43"/>
    </row>
    <row r="434" spans="2:8" s="148" customFormat="1" ht="15.75" customHeight="1" thickBot="1">
      <c r="B434" s="49"/>
      <c r="C434" s="50"/>
      <c r="D434" s="50"/>
      <c r="E434" s="51"/>
      <c r="F434" s="37" t="e">
        <f>AVERAGEIF(ENTRADAS!$C$7:C634,$B434,ENTRADAS!$F$7:F634)</f>
        <v>#DIV/0!</v>
      </c>
      <c r="G434" s="52" t="e">
        <f>VLOOKUP(PROD!$B434,ENTRADAS!$C$7:$H$323,5,0)</f>
        <v>#N/A</v>
      </c>
      <c r="H434" s="43"/>
    </row>
    <row r="435" spans="2:8" s="148" customFormat="1" ht="15.75" customHeight="1" thickBot="1">
      <c r="B435" s="49"/>
      <c r="C435" s="50"/>
      <c r="D435" s="50"/>
      <c r="E435" s="51"/>
      <c r="F435" s="37" t="e">
        <f>AVERAGEIF(ENTRADAS!$C$7:C635,$B435,ENTRADAS!$F$7:F635)</f>
        <v>#DIV/0!</v>
      </c>
      <c r="G435" s="52" t="e">
        <f>VLOOKUP(PROD!$B435,ENTRADAS!$C$7:$H$323,5,0)</f>
        <v>#N/A</v>
      </c>
      <c r="H435" s="43"/>
    </row>
    <row r="436" spans="2:8" s="148" customFormat="1" ht="15.75" customHeight="1" thickBot="1">
      <c r="B436" s="49"/>
      <c r="C436" s="50"/>
      <c r="D436" s="50"/>
      <c r="E436" s="51"/>
      <c r="F436" s="37" t="e">
        <f>AVERAGEIF(ENTRADAS!$C$7:C636,$B436,ENTRADAS!$F$7:F636)</f>
        <v>#DIV/0!</v>
      </c>
      <c r="G436" s="52" t="e">
        <f>VLOOKUP(PROD!$B436,ENTRADAS!$C$7:$H$323,5,0)</f>
        <v>#N/A</v>
      </c>
      <c r="H436" s="43"/>
    </row>
    <row r="437" spans="2:8" s="148" customFormat="1" ht="15.75" customHeight="1" thickBot="1">
      <c r="B437" s="49"/>
      <c r="C437" s="50"/>
      <c r="D437" s="50"/>
      <c r="E437" s="51"/>
      <c r="F437" s="37" t="e">
        <f>AVERAGEIF(ENTRADAS!$C$7:C637,$B437,ENTRADAS!$F$7:F637)</f>
        <v>#DIV/0!</v>
      </c>
      <c r="G437" s="52" t="e">
        <f>VLOOKUP(PROD!$B437,ENTRADAS!$C$7:$H$323,5,0)</f>
        <v>#N/A</v>
      </c>
      <c r="H437" s="43"/>
    </row>
    <row r="438" spans="2:8" s="148" customFormat="1" ht="15.75" customHeight="1" thickBot="1">
      <c r="B438" s="49"/>
      <c r="C438" s="50"/>
      <c r="D438" s="50"/>
      <c r="E438" s="51"/>
      <c r="F438" s="37" t="e">
        <f>AVERAGEIF(ENTRADAS!$C$7:C638,$B438,ENTRADAS!$F$7:F638)</f>
        <v>#DIV/0!</v>
      </c>
      <c r="G438" s="52" t="e">
        <f>VLOOKUP(PROD!$B438,ENTRADAS!$C$7:$H$323,5,0)</f>
        <v>#N/A</v>
      </c>
      <c r="H438" s="43"/>
    </row>
    <row r="439" spans="2:8" s="148" customFormat="1" ht="15.75" customHeight="1" thickBot="1">
      <c r="B439" s="49"/>
      <c r="C439" s="50"/>
      <c r="D439" s="50"/>
      <c r="E439" s="51"/>
      <c r="F439" s="37" t="e">
        <f>AVERAGEIF(ENTRADAS!$C$7:C639,$B439,ENTRADAS!$F$7:F639)</f>
        <v>#DIV/0!</v>
      </c>
      <c r="G439" s="52" t="e">
        <f>VLOOKUP(PROD!$B439,ENTRADAS!$C$7:$H$323,5,0)</f>
        <v>#N/A</v>
      </c>
      <c r="H439" s="43"/>
    </row>
    <row r="440" spans="2:8" s="148" customFormat="1" ht="15.75" customHeight="1" thickBot="1">
      <c r="B440" s="49"/>
      <c r="C440" s="50"/>
      <c r="D440" s="50"/>
      <c r="E440" s="51"/>
      <c r="F440" s="37" t="e">
        <f>AVERAGEIF(ENTRADAS!$C$7:C640,$B440,ENTRADAS!$F$7:F640)</f>
        <v>#DIV/0!</v>
      </c>
      <c r="G440" s="52" t="e">
        <f>VLOOKUP(PROD!$B440,ENTRADAS!$C$7:$H$323,5,0)</f>
        <v>#N/A</v>
      </c>
      <c r="H440" s="43"/>
    </row>
    <row r="441" spans="2:8" s="148" customFormat="1" ht="15.75" customHeight="1" thickBot="1">
      <c r="B441" s="49"/>
      <c r="C441" s="50"/>
      <c r="D441" s="50"/>
      <c r="E441" s="51"/>
      <c r="F441" s="37" t="e">
        <f>AVERAGEIF(ENTRADAS!$C$7:C641,$B441,ENTRADAS!$F$7:F641)</f>
        <v>#DIV/0!</v>
      </c>
      <c r="G441" s="52" t="e">
        <f>VLOOKUP(PROD!$B441,ENTRADAS!$C$7:$H$323,5,0)</f>
        <v>#N/A</v>
      </c>
      <c r="H441" s="43"/>
    </row>
    <row r="442" spans="2:8" s="148" customFormat="1" ht="15.75" customHeight="1" thickBot="1">
      <c r="B442" s="49"/>
      <c r="C442" s="50"/>
      <c r="D442" s="50"/>
      <c r="E442" s="51"/>
      <c r="F442" s="37" t="e">
        <f>AVERAGEIF(ENTRADAS!$C$7:C642,$B442,ENTRADAS!$F$7:F642)</f>
        <v>#DIV/0!</v>
      </c>
      <c r="G442" s="52" t="e">
        <f>VLOOKUP(PROD!$B442,ENTRADAS!$C$7:$H$323,5,0)</f>
        <v>#N/A</v>
      </c>
      <c r="H442" s="43"/>
    </row>
    <row r="443" spans="2:8" s="148" customFormat="1" ht="15.75" customHeight="1" thickBot="1">
      <c r="B443" s="49"/>
      <c r="C443" s="50"/>
      <c r="D443" s="50"/>
      <c r="E443" s="51"/>
      <c r="F443" s="37" t="e">
        <f>AVERAGEIF(ENTRADAS!$C$7:C643,$B443,ENTRADAS!$F$7:F643)</f>
        <v>#DIV/0!</v>
      </c>
      <c r="G443" s="52" t="e">
        <f>VLOOKUP(PROD!$B443,ENTRADAS!$C$7:$H$323,5,0)</f>
        <v>#N/A</v>
      </c>
      <c r="H443" s="43"/>
    </row>
    <row r="444" spans="2:8" s="148" customFormat="1" ht="15.75" customHeight="1" thickBot="1">
      <c r="B444" s="49"/>
      <c r="C444" s="50"/>
      <c r="D444" s="50"/>
      <c r="E444" s="51"/>
      <c r="F444" s="37" t="e">
        <f>AVERAGEIF(ENTRADAS!$C$7:C644,$B444,ENTRADAS!$F$7:F644)</f>
        <v>#DIV/0!</v>
      </c>
      <c r="G444" s="52" t="e">
        <f>VLOOKUP(PROD!$B444,ENTRADAS!$C$7:$H$323,5,0)</f>
        <v>#N/A</v>
      </c>
      <c r="H444" s="43"/>
    </row>
    <row r="445" spans="2:8" s="148" customFormat="1" ht="15.75" customHeight="1" thickBot="1">
      <c r="B445" s="49"/>
      <c r="C445" s="50"/>
      <c r="D445" s="50"/>
      <c r="E445" s="51"/>
      <c r="F445" s="37" t="e">
        <f>AVERAGEIF(ENTRADAS!$C$7:C645,$B445,ENTRADAS!$F$7:F645)</f>
        <v>#DIV/0!</v>
      </c>
      <c r="G445" s="52" t="e">
        <f>VLOOKUP(PROD!$B445,ENTRADAS!$C$7:$H$323,5,0)</f>
        <v>#N/A</v>
      </c>
      <c r="H445" s="43"/>
    </row>
    <row r="446" spans="2:8" s="148" customFormat="1" ht="15.75" customHeight="1" thickBot="1">
      <c r="B446" s="49"/>
      <c r="C446" s="50"/>
      <c r="D446" s="50"/>
      <c r="E446" s="51"/>
      <c r="F446" s="37" t="e">
        <f>AVERAGEIF(ENTRADAS!$C$7:C646,$B446,ENTRADAS!$F$7:F646)</f>
        <v>#DIV/0!</v>
      </c>
      <c r="G446" s="52" t="e">
        <f>VLOOKUP(PROD!$B446,ENTRADAS!$C$7:$H$323,5,0)</f>
        <v>#N/A</v>
      </c>
      <c r="H446" s="43"/>
    </row>
    <row r="447" spans="2:8" s="148" customFormat="1" ht="15.75" customHeight="1" thickBot="1">
      <c r="B447" s="49"/>
      <c r="C447" s="50"/>
      <c r="D447" s="50"/>
      <c r="E447" s="51"/>
      <c r="F447" s="37" t="e">
        <f>AVERAGEIF(ENTRADAS!$C$7:C647,$B447,ENTRADAS!$F$7:F647)</f>
        <v>#DIV/0!</v>
      </c>
      <c r="G447" s="52" t="e">
        <f>VLOOKUP(PROD!$B447,ENTRADAS!$C$7:$H$323,5,0)</f>
        <v>#N/A</v>
      </c>
      <c r="H447" s="43"/>
    </row>
    <row r="448" spans="2:8" s="148" customFormat="1" ht="15.75" customHeight="1" thickBot="1">
      <c r="B448" s="49"/>
      <c r="C448" s="50"/>
      <c r="D448" s="50"/>
      <c r="E448" s="51"/>
      <c r="F448" s="37" t="e">
        <f>AVERAGEIF(ENTRADAS!$C$7:C648,$B448,ENTRADAS!$F$7:F648)</f>
        <v>#DIV/0!</v>
      </c>
      <c r="G448" s="52" t="e">
        <f>VLOOKUP(PROD!$B448,ENTRADAS!$C$7:$H$323,5,0)</f>
        <v>#N/A</v>
      </c>
      <c r="H448" s="43"/>
    </row>
    <row r="449" spans="2:8" s="148" customFormat="1" ht="15.75" customHeight="1" thickBot="1">
      <c r="B449" s="49"/>
      <c r="C449" s="50"/>
      <c r="D449" s="50"/>
      <c r="E449" s="51"/>
      <c r="F449" s="37" t="e">
        <f>AVERAGEIF(ENTRADAS!$C$7:C649,$B449,ENTRADAS!$F$7:F649)</f>
        <v>#DIV/0!</v>
      </c>
      <c r="G449" s="52" t="e">
        <f>VLOOKUP(PROD!$B449,ENTRADAS!$C$7:$H$323,5,0)</f>
        <v>#N/A</v>
      </c>
      <c r="H449" s="43"/>
    </row>
    <row r="450" spans="2:8" s="148" customFormat="1" ht="15.75" customHeight="1" thickBot="1">
      <c r="B450" s="49"/>
      <c r="C450" s="50"/>
      <c r="D450" s="50"/>
      <c r="E450" s="51"/>
      <c r="F450" s="37" t="e">
        <f>AVERAGEIF(ENTRADAS!$C$7:C650,$B450,ENTRADAS!$F$7:F650)</f>
        <v>#DIV/0!</v>
      </c>
      <c r="G450" s="52" t="e">
        <f>VLOOKUP(PROD!$B450,ENTRADAS!$C$7:$H$323,5,0)</f>
        <v>#N/A</v>
      </c>
      <c r="H450" s="43"/>
    </row>
    <row r="451" spans="2:8" s="148" customFormat="1" ht="15.75" customHeight="1" thickBot="1">
      <c r="B451" s="49"/>
      <c r="C451" s="50"/>
      <c r="D451" s="50"/>
      <c r="E451" s="51"/>
      <c r="F451" s="37" t="e">
        <f>AVERAGEIF(ENTRADAS!$C$7:C651,$B451,ENTRADAS!$F$7:F651)</f>
        <v>#DIV/0!</v>
      </c>
      <c r="G451" s="52" t="e">
        <f>VLOOKUP(PROD!$B451,ENTRADAS!$C$7:$H$323,5,0)</f>
        <v>#N/A</v>
      </c>
      <c r="H451" s="43"/>
    </row>
    <row r="452" spans="2:8" s="148" customFormat="1" ht="15.75" customHeight="1" thickBot="1">
      <c r="B452" s="49"/>
      <c r="C452" s="50"/>
      <c r="D452" s="50"/>
      <c r="E452" s="51"/>
      <c r="F452" s="37" t="e">
        <f>AVERAGEIF(ENTRADAS!$C$7:C652,$B452,ENTRADAS!$F$7:F652)</f>
        <v>#DIV/0!</v>
      </c>
      <c r="G452" s="52" t="e">
        <f>VLOOKUP(PROD!$B452,ENTRADAS!$C$7:$H$323,5,0)</f>
        <v>#N/A</v>
      </c>
      <c r="H452" s="43"/>
    </row>
    <row r="453" spans="2:8" s="148" customFormat="1" ht="15.75" customHeight="1" thickBot="1">
      <c r="B453" s="49"/>
      <c r="C453" s="50"/>
      <c r="D453" s="50"/>
      <c r="E453" s="51"/>
      <c r="F453" s="37" t="e">
        <f>AVERAGEIF(ENTRADAS!$C$7:C653,$B453,ENTRADAS!$F$7:F653)</f>
        <v>#DIV/0!</v>
      </c>
      <c r="G453" s="52" t="e">
        <f>VLOOKUP(PROD!$B453,ENTRADAS!$C$7:$H$323,5,0)</f>
        <v>#N/A</v>
      </c>
      <c r="H453" s="43"/>
    </row>
    <row r="454" spans="2:8" s="148" customFormat="1" ht="15.75" customHeight="1" thickBot="1">
      <c r="B454" s="49"/>
      <c r="C454" s="50"/>
      <c r="D454" s="50"/>
      <c r="E454" s="51"/>
      <c r="F454" s="37" t="e">
        <f>AVERAGEIF(ENTRADAS!$C$7:C654,$B454,ENTRADAS!$F$7:F654)</f>
        <v>#DIV/0!</v>
      </c>
      <c r="G454" s="52" t="e">
        <f>VLOOKUP(PROD!$B454,ENTRADAS!$C$7:$H$323,5,0)</f>
        <v>#N/A</v>
      </c>
      <c r="H454" s="43"/>
    </row>
    <row r="455" spans="2:8" s="148" customFormat="1" ht="15.75" customHeight="1" thickBot="1">
      <c r="B455" s="49"/>
      <c r="C455" s="50"/>
      <c r="D455" s="50"/>
      <c r="E455" s="51"/>
      <c r="F455" s="37" t="e">
        <f>AVERAGEIF(ENTRADAS!$C$7:C655,$B455,ENTRADAS!$F$7:F655)</f>
        <v>#DIV/0!</v>
      </c>
      <c r="G455" s="52" t="e">
        <f>VLOOKUP(PROD!$B455,ENTRADAS!$C$7:$H$323,5,0)</f>
        <v>#N/A</v>
      </c>
      <c r="H455" s="43"/>
    </row>
    <row r="456" spans="2:8" s="148" customFormat="1" ht="15.75" customHeight="1" thickBot="1">
      <c r="B456" s="49"/>
      <c r="C456" s="50"/>
      <c r="D456" s="50"/>
      <c r="E456" s="51"/>
      <c r="F456" s="37" t="e">
        <f>AVERAGEIF(ENTRADAS!$C$7:C656,$B456,ENTRADAS!$F$7:F656)</f>
        <v>#DIV/0!</v>
      </c>
      <c r="G456" s="52" t="e">
        <f>VLOOKUP(PROD!$B456,ENTRADAS!$C$7:$H$323,5,0)</f>
        <v>#N/A</v>
      </c>
      <c r="H456" s="43"/>
    </row>
    <row r="457" spans="2:8" s="148" customFormat="1" ht="15.75" customHeight="1" thickBot="1">
      <c r="B457" s="49"/>
      <c r="C457" s="50"/>
      <c r="D457" s="50"/>
      <c r="E457" s="51"/>
      <c r="F457" s="37" t="e">
        <f>AVERAGEIF(ENTRADAS!$C$7:C657,$B457,ENTRADAS!$F$7:F657)</f>
        <v>#DIV/0!</v>
      </c>
      <c r="G457" s="52" t="e">
        <f>VLOOKUP(PROD!$B457,ENTRADAS!$C$7:$H$323,5,0)</f>
        <v>#N/A</v>
      </c>
      <c r="H457" s="43"/>
    </row>
    <row r="458" spans="2:8" s="148" customFormat="1" ht="15.75" customHeight="1" thickBot="1">
      <c r="B458" s="49"/>
      <c r="C458" s="50"/>
      <c r="D458" s="50"/>
      <c r="E458" s="51"/>
      <c r="F458" s="37" t="e">
        <f>AVERAGEIF(ENTRADAS!$C$7:C658,$B458,ENTRADAS!$F$7:F658)</f>
        <v>#DIV/0!</v>
      </c>
      <c r="G458" s="52" t="e">
        <f>VLOOKUP(PROD!$B458,ENTRADAS!$C$7:$H$323,5,0)</f>
        <v>#N/A</v>
      </c>
      <c r="H458" s="43"/>
    </row>
    <row r="459" spans="2:8" s="148" customFormat="1" ht="15.75" customHeight="1" thickBot="1">
      <c r="B459" s="49"/>
      <c r="C459" s="50"/>
      <c r="D459" s="50"/>
      <c r="E459" s="51"/>
      <c r="F459" s="37" t="e">
        <f>AVERAGEIF(ENTRADAS!$C$7:C659,$B459,ENTRADAS!$F$7:F659)</f>
        <v>#DIV/0!</v>
      </c>
      <c r="G459" s="52" t="e">
        <f>VLOOKUP(PROD!$B459,ENTRADAS!$C$7:$H$323,5,0)</f>
        <v>#N/A</v>
      </c>
      <c r="H459" s="43"/>
    </row>
    <row r="460" spans="2:8" s="148" customFormat="1" ht="15.75" customHeight="1" thickBot="1">
      <c r="B460" s="49"/>
      <c r="C460" s="50"/>
      <c r="D460" s="50"/>
      <c r="E460" s="51"/>
      <c r="F460" s="37" t="e">
        <f>AVERAGEIF(ENTRADAS!$C$7:C660,$B460,ENTRADAS!$F$7:F660)</f>
        <v>#DIV/0!</v>
      </c>
      <c r="G460" s="52" t="e">
        <f>VLOOKUP(PROD!$B460,ENTRADAS!$C$7:$H$323,5,0)</f>
        <v>#N/A</v>
      </c>
      <c r="H460" s="43"/>
    </row>
    <row r="461" spans="2:8" s="148" customFormat="1" ht="15.75" customHeight="1" thickBot="1">
      <c r="B461" s="49"/>
      <c r="C461" s="50"/>
      <c r="D461" s="50"/>
      <c r="E461" s="51"/>
      <c r="F461" s="37" t="e">
        <f>AVERAGEIF(ENTRADAS!$C$7:C661,$B461,ENTRADAS!$F$7:F661)</f>
        <v>#DIV/0!</v>
      </c>
      <c r="G461" s="52" t="e">
        <f>VLOOKUP(PROD!$B461,ENTRADAS!$C$7:$H$323,5,0)</f>
        <v>#N/A</v>
      </c>
      <c r="H461" s="43"/>
    </row>
    <row r="462" spans="2:8" s="148" customFormat="1" ht="15.75" customHeight="1" thickBot="1">
      <c r="B462" s="49"/>
      <c r="C462" s="50"/>
      <c r="D462" s="50"/>
      <c r="E462" s="51"/>
      <c r="F462" s="37" t="e">
        <f>AVERAGEIF(ENTRADAS!$C$7:C662,$B462,ENTRADAS!$F$7:F662)</f>
        <v>#DIV/0!</v>
      </c>
      <c r="G462" s="52" t="e">
        <f>VLOOKUP(PROD!$B462,ENTRADAS!$C$7:$H$323,5,0)</f>
        <v>#N/A</v>
      </c>
      <c r="H462" s="43"/>
    </row>
    <row r="463" spans="2:8" s="148" customFormat="1" ht="15.75" customHeight="1" thickBot="1">
      <c r="B463" s="49"/>
      <c r="C463" s="50"/>
      <c r="D463" s="50"/>
      <c r="E463" s="51"/>
      <c r="F463" s="37" t="e">
        <f>AVERAGEIF(ENTRADAS!$C$7:C663,$B463,ENTRADAS!$F$7:F663)</f>
        <v>#DIV/0!</v>
      </c>
      <c r="G463" s="52" t="e">
        <f>VLOOKUP(PROD!$B463,ENTRADAS!$C$7:$H$323,5,0)</f>
        <v>#N/A</v>
      </c>
      <c r="H463" s="43"/>
    </row>
    <row r="464" spans="2:8" s="148" customFormat="1" ht="15.75" customHeight="1" thickBot="1">
      <c r="B464" s="49"/>
      <c r="C464" s="50"/>
      <c r="D464" s="50"/>
      <c r="E464" s="51"/>
      <c r="F464" s="37" t="e">
        <f>AVERAGEIF(ENTRADAS!$C$7:C664,$B464,ENTRADAS!$F$7:F664)</f>
        <v>#DIV/0!</v>
      </c>
      <c r="G464" s="52" t="e">
        <f>VLOOKUP(PROD!$B464,ENTRADAS!$C$7:$H$323,5,0)</f>
        <v>#N/A</v>
      </c>
      <c r="H464" s="43"/>
    </row>
    <row r="465" spans="2:8" s="148" customFormat="1" ht="15.75" customHeight="1" thickBot="1">
      <c r="B465" s="49"/>
      <c r="C465" s="50"/>
      <c r="D465" s="50"/>
      <c r="E465" s="51"/>
      <c r="F465" s="37" t="e">
        <f>AVERAGEIF(ENTRADAS!$C$7:C665,$B465,ENTRADAS!$F$7:F665)</f>
        <v>#DIV/0!</v>
      </c>
      <c r="G465" s="52" t="e">
        <f>VLOOKUP(PROD!$B465,ENTRADAS!$C$7:$H$323,5,0)</f>
        <v>#N/A</v>
      </c>
      <c r="H465" s="43"/>
    </row>
    <row r="466" spans="2:8" s="148" customFormat="1" ht="15.75" customHeight="1" thickBot="1">
      <c r="B466" s="49"/>
      <c r="C466" s="50"/>
      <c r="D466" s="50"/>
      <c r="E466" s="51"/>
      <c r="F466" s="37" t="e">
        <f>AVERAGEIF(ENTRADAS!$C$7:C666,$B466,ENTRADAS!$F$7:F666)</f>
        <v>#DIV/0!</v>
      </c>
      <c r="G466" s="52" t="e">
        <f>VLOOKUP(PROD!$B466,ENTRADAS!$C$7:$H$323,5,0)</f>
        <v>#N/A</v>
      </c>
      <c r="H466" s="43"/>
    </row>
    <row r="467" spans="2:8" s="148" customFormat="1" ht="15.75" customHeight="1" thickBot="1">
      <c r="B467" s="49"/>
      <c r="C467" s="50"/>
      <c r="D467" s="50"/>
      <c r="E467" s="51"/>
      <c r="F467" s="37" t="e">
        <f>AVERAGEIF(ENTRADAS!$C$7:C667,$B467,ENTRADAS!$F$7:F667)</f>
        <v>#DIV/0!</v>
      </c>
      <c r="G467" s="52" t="e">
        <f>VLOOKUP(PROD!$B467,ENTRADAS!$C$7:$H$323,5,0)</f>
        <v>#N/A</v>
      </c>
      <c r="H467" s="43"/>
    </row>
    <row r="468" spans="2:8" s="148" customFormat="1" ht="15.75" customHeight="1" thickBot="1">
      <c r="B468" s="49"/>
      <c r="C468" s="50"/>
      <c r="D468" s="50"/>
      <c r="E468" s="51"/>
      <c r="F468" s="37" t="e">
        <f>AVERAGEIF(ENTRADAS!$C$7:C668,$B468,ENTRADAS!$F$7:F668)</f>
        <v>#DIV/0!</v>
      </c>
      <c r="G468" s="52" t="e">
        <f>VLOOKUP(PROD!$B468,ENTRADAS!$C$7:$H$323,5,0)</f>
        <v>#N/A</v>
      </c>
      <c r="H468" s="43"/>
    </row>
    <row r="469" spans="2:8" s="148" customFormat="1" ht="15.75" customHeight="1" thickBot="1">
      <c r="B469" s="49"/>
      <c r="C469" s="50"/>
      <c r="D469" s="50"/>
      <c r="E469" s="51"/>
      <c r="F469" s="37" t="e">
        <f>AVERAGEIF(ENTRADAS!$C$7:C669,$B469,ENTRADAS!$F$7:F669)</f>
        <v>#DIV/0!</v>
      </c>
      <c r="G469" s="52" t="e">
        <f>VLOOKUP(PROD!$B469,ENTRADAS!$C$7:$H$323,5,0)</f>
        <v>#N/A</v>
      </c>
      <c r="H469" s="43"/>
    </row>
    <row r="470" spans="2:8" s="148" customFormat="1" ht="15.75" customHeight="1" thickBot="1">
      <c r="B470" s="49"/>
      <c r="C470" s="50"/>
      <c r="D470" s="50"/>
      <c r="E470" s="51"/>
      <c r="F470" s="37" t="e">
        <f>AVERAGEIF(ENTRADAS!$C$7:C670,$B470,ENTRADAS!$F$7:F670)</f>
        <v>#DIV/0!</v>
      </c>
      <c r="G470" s="52" t="e">
        <f>VLOOKUP(PROD!$B470,ENTRADAS!$C$7:$H$323,5,0)</f>
        <v>#N/A</v>
      </c>
      <c r="H470" s="43"/>
    </row>
    <row r="471" spans="2:8" s="148" customFormat="1" ht="15.75" customHeight="1" thickBot="1">
      <c r="B471" s="49"/>
      <c r="C471" s="50"/>
      <c r="D471" s="50"/>
      <c r="E471" s="51"/>
      <c r="F471" s="37" t="e">
        <f>AVERAGEIF(ENTRADAS!$C$7:C671,$B471,ENTRADAS!$F$7:F671)</f>
        <v>#DIV/0!</v>
      </c>
      <c r="G471" s="52" t="e">
        <f>VLOOKUP(PROD!$B471,ENTRADAS!$C$7:$H$323,5,0)</f>
        <v>#N/A</v>
      </c>
      <c r="H471" s="43"/>
    </row>
    <row r="472" spans="2:8" s="148" customFormat="1" ht="15.75" customHeight="1" thickBot="1">
      <c r="B472" s="49"/>
      <c r="C472" s="50"/>
      <c r="D472" s="50"/>
      <c r="E472" s="51"/>
      <c r="F472" s="37" t="e">
        <f>AVERAGEIF(ENTRADAS!$C$7:C672,$B472,ENTRADAS!$F$7:F672)</f>
        <v>#DIV/0!</v>
      </c>
      <c r="G472" s="52" t="e">
        <f>VLOOKUP(PROD!$B472,ENTRADAS!$C$7:$H$323,5,0)</f>
        <v>#N/A</v>
      </c>
      <c r="H472" s="43"/>
    </row>
    <row r="473" spans="2:8" s="148" customFormat="1" ht="15.75" customHeight="1" thickBot="1">
      <c r="B473" s="49"/>
      <c r="C473" s="50"/>
      <c r="D473" s="50"/>
      <c r="E473" s="51"/>
      <c r="F473" s="37" t="e">
        <f>AVERAGEIF(ENTRADAS!$C$7:C673,$B473,ENTRADAS!$F$7:F673)</f>
        <v>#DIV/0!</v>
      </c>
      <c r="G473" s="52" t="e">
        <f>VLOOKUP(PROD!$B473,ENTRADAS!$C$7:$H$323,5,0)</f>
        <v>#N/A</v>
      </c>
      <c r="H473" s="43"/>
    </row>
    <row r="474" spans="2:8" s="148" customFormat="1" ht="15.75" customHeight="1" thickBot="1">
      <c r="B474" s="49"/>
      <c r="C474" s="50"/>
      <c r="D474" s="50"/>
      <c r="E474" s="51"/>
      <c r="F474" s="37" t="e">
        <f>AVERAGEIF(ENTRADAS!$C$7:C674,$B474,ENTRADAS!$F$7:F674)</f>
        <v>#DIV/0!</v>
      </c>
      <c r="G474" s="52" t="e">
        <f>VLOOKUP(PROD!$B474,ENTRADAS!$C$7:$H$323,5,0)</f>
        <v>#N/A</v>
      </c>
      <c r="H474" s="43"/>
    </row>
    <row r="475" spans="2:8" s="148" customFormat="1" ht="15.75" customHeight="1" thickBot="1">
      <c r="B475" s="49"/>
      <c r="C475" s="50"/>
      <c r="D475" s="50"/>
      <c r="E475" s="51"/>
      <c r="F475" s="37" t="e">
        <f>AVERAGEIF(ENTRADAS!$C$7:C675,$B475,ENTRADAS!$F$7:F675)</f>
        <v>#DIV/0!</v>
      </c>
      <c r="G475" s="52" t="e">
        <f>VLOOKUP(PROD!$B475,ENTRADAS!$C$7:$H$323,5,0)</f>
        <v>#N/A</v>
      </c>
      <c r="H475" s="43"/>
    </row>
    <row r="476" spans="2:8" s="148" customFormat="1" ht="15.75" customHeight="1" thickBot="1">
      <c r="B476" s="49"/>
      <c r="C476" s="50"/>
      <c r="D476" s="50"/>
      <c r="E476" s="51"/>
      <c r="F476" s="37" t="e">
        <f>AVERAGEIF(ENTRADAS!$C$7:C676,$B476,ENTRADAS!$F$7:F676)</f>
        <v>#DIV/0!</v>
      </c>
      <c r="G476" s="52" t="e">
        <f>VLOOKUP(PROD!$B476,ENTRADAS!$C$7:$H$323,5,0)</f>
        <v>#N/A</v>
      </c>
      <c r="H476" s="43"/>
    </row>
    <row r="477" spans="2:8" s="148" customFormat="1" ht="15.75" customHeight="1" thickBot="1">
      <c r="B477" s="49"/>
      <c r="C477" s="50"/>
      <c r="D477" s="50"/>
      <c r="E477" s="51"/>
      <c r="F477" s="37" t="e">
        <f>AVERAGEIF(ENTRADAS!$C$7:C677,$B477,ENTRADAS!$F$7:F677)</f>
        <v>#DIV/0!</v>
      </c>
      <c r="G477" s="52" t="e">
        <f>VLOOKUP(PROD!$B477,ENTRADAS!$C$7:$H$323,5,0)</f>
        <v>#N/A</v>
      </c>
      <c r="H477" s="43"/>
    </row>
    <row r="478" spans="2:8" s="148" customFormat="1" ht="15.75" customHeight="1" thickBot="1">
      <c r="B478" s="49"/>
      <c r="C478" s="50"/>
      <c r="D478" s="50"/>
      <c r="E478" s="51"/>
      <c r="F478" s="37" t="e">
        <f>AVERAGEIF(ENTRADAS!$C$7:C678,$B478,ENTRADAS!$F$7:F678)</f>
        <v>#DIV/0!</v>
      </c>
      <c r="G478" s="52" t="e">
        <f>VLOOKUP(PROD!$B478,ENTRADAS!$C$7:$H$323,5,0)</f>
        <v>#N/A</v>
      </c>
      <c r="H478" s="43"/>
    </row>
    <row r="479" spans="2:8" s="148" customFormat="1" ht="15.75" customHeight="1" thickBot="1">
      <c r="B479" s="49"/>
      <c r="C479" s="50"/>
      <c r="D479" s="50"/>
      <c r="E479" s="51"/>
      <c r="F479" s="37" t="e">
        <f>AVERAGEIF(ENTRADAS!$C$7:C679,$B479,ENTRADAS!$F$7:F679)</f>
        <v>#DIV/0!</v>
      </c>
      <c r="G479" s="52" t="e">
        <f>VLOOKUP(PROD!$B479,ENTRADAS!$C$7:$H$323,5,0)</f>
        <v>#N/A</v>
      </c>
      <c r="H479" s="43"/>
    </row>
    <row r="480" spans="2:8" s="148" customFormat="1" ht="15.75" customHeight="1" thickBot="1">
      <c r="B480" s="49"/>
      <c r="C480" s="50"/>
      <c r="D480" s="50"/>
      <c r="E480" s="51"/>
      <c r="F480" s="37" t="e">
        <f>AVERAGEIF(ENTRADAS!$C$7:C680,$B480,ENTRADAS!$F$7:F680)</f>
        <v>#DIV/0!</v>
      </c>
      <c r="G480" s="52" t="e">
        <f>VLOOKUP(PROD!$B480,ENTRADAS!$C$7:$H$323,5,0)</f>
        <v>#N/A</v>
      </c>
      <c r="H480" s="43"/>
    </row>
    <row r="481" spans="2:8" s="148" customFormat="1" ht="15.75" customHeight="1" thickBot="1">
      <c r="B481" s="49"/>
      <c r="C481" s="50"/>
      <c r="D481" s="50"/>
      <c r="E481" s="51"/>
      <c r="F481" s="37" t="e">
        <f>AVERAGEIF(ENTRADAS!$C$7:C681,$B481,ENTRADAS!$F$7:F681)</f>
        <v>#DIV/0!</v>
      </c>
      <c r="G481" s="52" t="e">
        <f>VLOOKUP(PROD!$B481,ENTRADAS!$C$7:$H$323,5,0)</f>
        <v>#N/A</v>
      </c>
      <c r="H481" s="43"/>
    </row>
    <row r="482" spans="2:8" s="148" customFormat="1" ht="15.75" customHeight="1" thickBot="1">
      <c r="B482" s="49"/>
      <c r="C482" s="50"/>
      <c r="D482" s="50"/>
      <c r="E482" s="51"/>
      <c r="F482" s="37" t="e">
        <f>AVERAGEIF(ENTRADAS!$C$7:C682,$B482,ENTRADAS!$F$7:F682)</f>
        <v>#DIV/0!</v>
      </c>
      <c r="G482" s="52" t="e">
        <f>VLOOKUP(PROD!$B482,ENTRADAS!$C$7:$H$323,5,0)</f>
        <v>#N/A</v>
      </c>
      <c r="H482" s="43"/>
    </row>
    <row r="483" spans="2:8" s="148" customFormat="1" ht="15.75" customHeight="1" thickBot="1">
      <c r="B483" s="49"/>
      <c r="C483" s="50"/>
      <c r="D483" s="50"/>
      <c r="E483" s="51"/>
      <c r="F483" s="37" t="e">
        <f>AVERAGEIF(ENTRADAS!$C$7:C683,$B483,ENTRADAS!$F$7:F683)</f>
        <v>#DIV/0!</v>
      </c>
      <c r="G483" s="52" t="e">
        <f>VLOOKUP(PROD!$B483,ENTRADAS!$C$7:$H$323,5,0)</f>
        <v>#N/A</v>
      </c>
      <c r="H483" s="43"/>
    </row>
    <row r="484" spans="2:8" s="148" customFormat="1" ht="15.75" customHeight="1" thickBot="1">
      <c r="B484" s="49"/>
      <c r="C484" s="50"/>
      <c r="D484" s="50"/>
      <c r="E484" s="51"/>
      <c r="F484" s="37" t="e">
        <f>AVERAGEIF(ENTRADAS!$C$7:C684,$B484,ENTRADAS!$F$7:F684)</f>
        <v>#DIV/0!</v>
      </c>
      <c r="G484" s="52" t="e">
        <f>VLOOKUP(PROD!$B484,ENTRADAS!$C$7:$H$323,5,0)</f>
        <v>#N/A</v>
      </c>
      <c r="H484" s="43"/>
    </row>
    <row r="485" spans="2:8" s="148" customFormat="1" ht="15.75" customHeight="1" thickBot="1">
      <c r="B485" s="49"/>
      <c r="C485" s="50"/>
      <c r="D485" s="50"/>
      <c r="E485" s="51"/>
      <c r="F485" s="37" t="e">
        <f>AVERAGEIF(ENTRADAS!$C$7:C685,$B485,ENTRADAS!$F$7:F685)</f>
        <v>#DIV/0!</v>
      </c>
      <c r="G485" s="52" t="e">
        <f>VLOOKUP(PROD!$B485,ENTRADAS!$C$7:$H$323,5,0)</f>
        <v>#N/A</v>
      </c>
      <c r="H485" s="43"/>
    </row>
    <row r="486" spans="2:8" s="148" customFormat="1" ht="15.75" customHeight="1" thickBot="1">
      <c r="B486" s="49"/>
      <c r="C486" s="50"/>
      <c r="D486" s="50"/>
      <c r="E486" s="51"/>
      <c r="F486" s="37" t="e">
        <f>AVERAGEIF(ENTRADAS!$C$7:C686,$B486,ENTRADAS!$F$7:F686)</f>
        <v>#DIV/0!</v>
      </c>
      <c r="G486" s="52" t="e">
        <f>VLOOKUP(PROD!$B486,ENTRADAS!$C$7:$H$323,5,0)</f>
        <v>#N/A</v>
      </c>
      <c r="H486" s="43"/>
    </row>
    <row r="487" spans="2:8" s="148" customFormat="1" ht="15.75" customHeight="1" thickBot="1">
      <c r="B487" s="49"/>
      <c r="C487" s="50"/>
      <c r="D487" s="50"/>
      <c r="E487" s="51"/>
      <c r="F487" s="37" t="e">
        <f>AVERAGEIF(ENTRADAS!$C$7:C687,$B487,ENTRADAS!$F$7:F687)</f>
        <v>#DIV/0!</v>
      </c>
      <c r="G487" s="52" t="e">
        <f>VLOOKUP(PROD!$B487,ENTRADAS!$C$7:$H$323,5,0)</f>
        <v>#N/A</v>
      </c>
      <c r="H487" s="43"/>
    </row>
    <row r="488" spans="2:8" s="148" customFormat="1" ht="15.75" customHeight="1" thickBot="1">
      <c r="B488" s="49"/>
      <c r="C488" s="50"/>
      <c r="D488" s="50"/>
      <c r="E488" s="51"/>
      <c r="F488" s="37" t="e">
        <f>AVERAGEIF(ENTRADAS!$C$7:C688,$B488,ENTRADAS!$F$7:F688)</f>
        <v>#DIV/0!</v>
      </c>
      <c r="G488" s="52" t="e">
        <f>VLOOKUP(PROD!$B488,ENTRADAS!$C$7:$H$323,5,0)</f>
        <v>#N/A</v>
      </c>
      <c r="H488" s="43"/>
    </row>
    <row r="489" spans="2:8" s="148" customFormat="1" ht="15.75" customHeight="1" thickBot="1">
      <c r="B489" s="49"/>
      <c r="C489" s="50"/>
      <c r="D489" s="50"/>
      <c r="E489" s="51"/>
      <c r="F489" s="37" t="e">
        <f>AVERAGEIF(ENTRADAS!$C$7:C689,$B489,ENTRADAS!$F$7:F689)</f>
        <v>#DIV/0!</v>
      </c>
      <c r="G489" s="52" t="e">
        <f>VLOOKUP(PROD!$B489,ENTRADAS!$C$7:$H$323,5,0)</f>
        <v>#N/A</v>
      </c>
      <c r="H489" s="43"/>
    </row>
    <row r="490" spans="2:8" s="148" customFormat="1" ht="15.75" customHeight="1" thickBot="1">
      <c r="B490" s="49"/>
      <c r="C490" s="50"/>
      <c r="D490" s="50"/>
      <c r="E490" s="51"/>
      <c r="F490" s="37" t="e">
        <f>AVERAGEIF(ENTRADAS!$C$7:C690,$B490,ENTRADAS!$F$7:F690)</f>
        <v>#DIV/0!</v>
      </c>
      <c r="G490" s="52" t="e">
        <f>VLOOKUP(PROD!$B490,ENTRADAS!$C$7:$H$323,5,0)</f>
        <v>#N/A</v>
      </c>
      <c r="H490" s="43"/>
    </row>
    <row r="491" spans="2:8" s="148" customFormat="1" ht="15.75" customHeight="1" thickBot="1">
      <c r="B491" s="49"/>
      <c r="C491" s="50"/>
      <c r="D491" s="50"/>
      <c r="E491" s="51"/>
      <c r="F491" s="37" t="e">
        <f>AVERAGEIF(ENTRADAS!$C$7:C691,$B491,ENTRADAS!$F$7:F691)</f>
        <v>#DIV/0!</v>
      </c>
      <c r="G491" s="52" t="e">
        <f>VLOOKUP(PROD!$B491,ENTRADAS!$C$7:$H$323,5,0)</f>
        <v>#N/A</v>
      </c>
      <c r="H491" s="43"/>
    </row>
    <row r="492" spans="2:8" s="148" customFormat="1" ht="15.75" customHeight="1" thickBot="1">
      <c r="B492" s="49"/>
      <c r="C492" s="50"/>
      <c r="D492" s="50"/>
      <c r="E492" s="51"/>
      <c r="F492" s="37" t="e">
        <f>AVERAGEIF(ENTRADAS!$C$7:C692,$B492,ENTRADAS!$F$7:F692)</f>
        <v>#DIV/0!</v>
      </c>
      <c r="G492" s="52" t="e">
        <f>VLOOKUP(PROD!$B492,ENTRADAS!$C$7:$H$323,5,0)</f>
        <v>#N/A</v>
      </c>
      <c r="H492" s="43"/>
    </row>
    <row r="493" spans="2:8" s="148" customFormat="1" ht="15.75" customHeight="1" thickBot="1">
      <c r="B493" s="49"/>
      <c r="C493" s="50"/>
      <c r="D493" s="50"/>
      <c r="E493" s="51"/>
      <c r="F493" s="37" t="e">
        <f>AVERAGEIF(ENTRADAS!$C$7:C693,$B493,ENTRADAS!$F$7:F693)</f>
        <v>#DIV/0!</v>
      </c>
      <c r="G493" s="52" t="e">
        <f>VLOOKUP(PROD!$B493,ENTRADAS!$C$7:$H$323,5,0)</f>
        <v>#N/A</v>
      </c>
      <c r="H493" s="43"/>
    </row>
    <row r="494" spans="2:8" s="148" customFormat="1" ht="15.75" customHeight="1" thickBot="1">
      <c r="B494" s="49"/>
      <c r="C494" s="50"/>
      <c r="D494" s="50"/>
      <c r="E494" s="51"/>
      <c r="F494" s="37" t="e">
        <f>AVERAGEIF(ENTRADAS!$C$7:C694,$B494,ENTRADAS!$F$7:F694)</f>
        <v>#DIV/0!</v>
      </c>
      <c r="G494" s="52" t="e">
        <f>VLOOKUP(PROD!$B494,ENTRADAS!$C$7:$H$323,5,0)</f>
        <v>#N/A</v>
      </c>
      <c r="H494" s="43"/>
    </row>
    <row r="495" spans="2:8" s="148" customFormat="1" ht="15.75" customHeight="1" thickBot="1">
      <c r="B495" s="49"/>
      <c r="C495" s="50"/>
      <c r="D495" s="50"/>
      <c r="E495" s="51"/>
      <c r="F495" s="37" t="e">
        <f>AVERAGEIF(ENTRADAS!$C$7:C695,$B495,ENTRADAS!$F$7:F695)</f>
        <v>#DIV/0!</v>
      </c>
      <c r="G495" s="52" t="e">
        <f>VLOOKUP(PROD!$B495,ENTRADAS!$C$7:$H$323,5,0)</f>
        <v>#N/A</v>
      </c>
      <c r="H495" s="43"/>
    </row>
    <row r="496" spans="2:8" ht="15.75" customHeight="1">
      <c r="G496" s="54"/>
    </row>
    <row r="497" spans="7:7" ht="15.75" customHeight="1">
      <c r="G497" s="54"/>
    </row>
    <row r="498" spans="7:7" ht="15.75" customHeight="1">
      <c r="G498" s="54"/>
    </row>
    <row r="499" spans="7:7" ht="15.75" customHeight="1">
      <c r="G499" s="54"/>
    </row>
    <row r="500" spans="7:7" ht="15.75" customHeight="1">
      <c r="G500" s="54"/>
    </row>
    <row r="501" spans="7:7" ht="15.75" customHeight="1">
      <c r="G501" s="54"/>
    </row>
    <row r="502" spans="7:7" ht="15.75" customHeight="1">
      <c r="G502" s="54"/>
    </row>
    <row r="503" spans="7:7" ht="15.75" customHeight="1">
      <c r="G503" s="54"/>
    </row>
    <row r="504" spans="7:7" ht="15.75" customHeight="1">
      <c r="G504" s="54"/>
    </row>
    <row r="505" spans="7:7" ht="15.75" customHeight="1">
      <c r="G505" s="54"/>
    </row>
    <row r="506" spans="7:7" ht="15.75" customHeight="1">
      <c r="G506" s="54"/>
    </row>
    <row r="507" spans="7:7" ht="15.75" customHeight="1">
      <c r="G507" s="54"/>
    </row>
    <row r="508" spans="7:7" ht="15.75" customHeight="1">
      <c r="G508" s="54"/>
    </row>
    <row r="509" spans="7:7" ht="15.75" customHeight="1">
      <c r="G509" s="54"/>
    </row>
    <row r="510" spans="7:7" ht="15.75" customHeight="1">
      <c r="G510" s="54"/>
    </row>
    <row r="511" spans="7:7" ht="15.75" customHeight="1">
      <c r="G511" s="54"/>
    </row>
    <row r="512" spans="7:7" ht="15.75" customHeight="1">
      <c r="G512" s="54"/>
    </row>
    <row r="513" spans="7:7" ht="15.75" customHeight="1">
      <c r="G513" s="54"/>
    </row>
    <row r="514" spans="7:7" ht="15.75" customHeight="1">
      <c r="G514" s="54"/>
    </row>
    <row r="515" spans="7:7" ht="15.75" customHeight="1">
      <c r="G515" s="54"/>
    </row>
    <row r="516" spans="7:7" ht="15.75" customHeight="1">
      <c r="G516" s="54"/>
    </row>
    <row r="517" spans="7:7" ht="15.75" customHeight="1">
      <c r="G517" s="54"/>
    </row>
    <row r="518" spans="7:7" ht="15.75" customHeight="1">
      <c r="G518" s="54"/>
    </row>
    <row r="519" spans="7:7" ht="15.75" customHeight="1">
      <c r="G519" s="54"/>
    </row>
    <row r="520" spans="7:7" ht="15.75" customHeight="1">
      <c r="G520" s="54"/>
    </row>
    <row r="521" spans="7:7" ht="15.75" customHeight="1">
      <c r="G521" s="54"/>
    </row>
    <row r="522" spans="7:7" ht="15.75" customHeight="1">
      <c r="G522" s="54"/>
    </row>
    <row r="523" spans="7:7" ht="15.75" customHeight="1">
      <c r="G523" s="54"/>
    </row>
    <row r="524" spans="7:7" ht="15.75" customHeight="1">
      <c r="G524" s="54"/>
    </row>
    <row r="525" spans="7:7" ht="15.75" customHeight="1">
      <c r="G525" s="54"/>
    </row>
    <row r="526" spans="7:7" ht="15.75" customHeight="1">
      <c r="G526" s="54"/>
    </row>
    <row r="527" spans="7:7" ht="15.75" customHeight="1">
      <c r="G527" s="54"/>
    </row>
    <row r="528" spans="7:7" ht="15.75" customHeight="1">
      <c r="G528" s="54"/>
    </row>
    <row r="529" spans="7:7" ht="15.75" customHeight="1">
      <c r="G529" s="54"/>
    </row>
    <row r="530" spans="7:7" ht="15.75" customHeight="1">
      <c r="G530" s="54"/>
    </row>
    <row r="531" spans="7:7" ht="15.75" customHeight="1">
      <c r="G531" s="54"/>
    </row>
    <row r="532" spans="7:7" ht="15.75" customHeight="1">
      <c r="G532" s="54"/>
    </row>
    <row r="533" spans="7:7" ht="15.75" customHeight="1">
      <c r="G533" s="54"/>
    </row>
    <row r="534" spans="7:7" ht="15.75" customHeight="1">
      <c r="G534" s="54"/>
    </row>
    <row r="535" spans="7:7" ht="15.75" customHeight="1">
      <c r="G535" s="54"/>
    </row>
    <row r="536" spans="7:7" ht="15.75" customHeight="1">
      <c r="G536" s="54"/>
    </row>
    <row r="537" spans="7:7" ht="15.75" customHeight="1">
      <c r="G537" s="54"/>
    </row>
    <row r="538" spans="7:7" ht="15.75" customHeight="1">
      <c r="G538" s="54"/>
    </row>
    <row r="539" spans="7:7" ht="15.75" customHeight="1">
      <c r="G539" s="54"/>
    </row>
    <row r="540" spans="7:7" ht="15.75" customHeight="1">
      <c r="G540" s="54"/>
    </row>
    <row r="541" spans="7:7" ht="15.75" customHeight="1">
      <c r="G541" s="54"/>
    </row>
    <row r="542" spans="7:7" ht="15.75" customHeight="1">
      <c r="G542" s="54"/>
    </row>
    <row r="543" spans="7:7" ht="15.75" customHeight="1">
      <c r="G543" s="54"/>
    </row>
    <row r="544" spans="7:7" ht="15.75" customHeight="1">
      <c r="G544" s="54"/>
    </row>
    <row r="545" spans="7:7" ht="15.75" customHeight="1">
      <c r="G545" s="54"/>
    </row>
    <row r="546" spans="7:7" ht="15.75" customHeight="1">
      <c r="G546" s="54"/>
    </row>
    <row r="547" spans="7:7" ht="15.75" customHeight="1">
      <c r="G547" s="54"/>
    </row>
    <row r="548" spans="7:7" ht="15.75" customHeight="1">
      <c r="G548" s="54"/>
    </row>
    <row r="549" spans="7:7" ht="15.75" customHeight="1">
      <c r="G549" s="54"/>
    </row>
    <row r="550" spans="7:7" ht="15.75" customHeight="1">
      <c r="G550" s="54"/>
    </row>
    <row r="551" spans="7:7" ht="15.75" customHeight="1">
      <c r="G551" s="54"/>
    </row>
    <row r="552" spans="7:7" ht="15.75" customHeight="1">
      <c r="G552" s="54"/>
    </row>
    <row r="553" spans="7:7" ht="15.75" customHeight="1">
      <c r="G553" s="54"/>
    </row>
    <row r="554" spans="7:7" ht="15.75" customHeight="1">
      <c r="G554" s="54"/>
    </row>
    <row r="555" spans="7:7" ht="15.75" customHeight="1">
      <c r="G555" s="54"/>
    </row>
    <row r="556" spans="7:7" ht="15.75" customHeight="1">
      <c r="G556" s="54"/>
    </row>
    <row r="557" spans="7:7" ht="15.75" customHeight="1">
      <c r="G557" s="54"/>
    </row>
    <row r="558" spans="7:7" ht="15.75" customHeight="1">
      <c r="G558" s="54"/>
    </row>
    <row r="559" spans="7:7" ht="15.75" customHeight="1">
      <c r="G559" s="54"/>
    </row>
    <row r="560" spans="7:7" ht="15.75" customHeight="1">
      <c r="G560" s="54"/>
    </row>
    <row r="561" spans="7:7" ht="15.75" customHeight="1">
      <c r="G561" s="54"/>
    </row>
    <row r="562" spans="7:7" ht="15.75" customHeight="1">
      <c r="G562" s="54"/>
    </row>
    <row r="563" spans="7:7" ht="15.75" customHeight="1">
      <c r="G563" s="54"/>
    </row>
    <row r="564" spans="7:7" ht="15.75" customHeight="1">
      <c r="G564" s="54"/>
    </row>
    <row r="565" spans="7:7" ht="15.75" customHeight="1">
      <c r="G565" s="54"/>
    </row>
    <row r="566" spans="7:7" ht="15.75" customHeight="1">
      <c r="G566" s="54"/>
    </row>
    <row r="567" spans="7:7" ht="15.75" customHeight="1">
      <c r="G567" s="54"/>
    </row>
    <row r="568" spans="7:7" ht="15.75" customHeight="1">
      <c r="G568" s="54"/>
    </row>
    <row r="569" spans="7:7" ht="15.75" customHeight="1">
      <c r="G569" s="54"/>
    </row>
    <row r="570" spans="7:7" ht="15.75" customHeight="1">
      <c r="G570" s="54"/>
    </row>
    <row r="571" spans="7:7" ht="15.75" customHeight="1">
      <c r="G571" s="54"/>
    </row>
    <row r="572" spans="7:7" ht="15.75" customHeight="1">
      <c r="G572" s="54"/>
    </row>
    <row r="573" spans="7:7" ht="15.75" customHeight="1">
      <c r="G573" s="54"/>
    </row>
    <row r="574" spans="7:7" ht="15.75" customHeight="1">
      <c r="G574" s="54"/>
    </row>
    <row r="575" spans="7:7" ht="15.75" customHeight="1">
      <c r="G575" s="54"/>
    </row>
    <row r="576" spans="7:7" ht="15.75" customHeight="1">
      <c r="G576" s="54"/>
    </row>
    <row r="577" spans="7:7" ht="15.75" customHeight="1">
      <c r="G577" s="54"/>
    </row>
    <row r="578" spans="7:7" ht="15.75" customHeight="1">
      <c r="G578" s="54"/>
    </row>
    <row r="579" spans="7:7" ht="15.75" customHeight="1">
      <c r="G579" s="54"/>
    </row>
    <row r="580" spans="7:7" ht="15.75" customHeight="1">
      <c r="G580" s="54"/>
    </row>
    <row r="581" spans="7:7" ht="15.75" customHeight="1">
      <c r="G581" s="54"/>
    </row>
    <row r="582" spans="7:7" ht="15.75" customHeight="1">
      <c r="G582" s="54"/>
    </row>
    <row r="583" spans="7:7" ht="15.75" customHeight="1">
      <c r="G583" s="54"/>
    </row>
    <row r="584" spans="7:7" ht="15.75" customHeight="1">
      <c r="G584" s="54"/>
    </row>
    <row r="585" spans="7:7" ht="15.75" customHeight="1">
      <c r="G585" s="54"/>
    </row>
    <row r="586" spans="7:7" ht="15.75" customHeight="1">
      <c r="G586" s="54"/>
    </row>
    <row r="587" spans="7:7" ht="15.75" customHeight="1">
      <c r="G587" s="54"/>
    </row>
    <row r="588" spans="7:7" ht="15.75" customHeight="1">
      <c r="G588" s="54"/>
    </row>
    <row r="589" spans="7:7" ht="15.75" customHeight="1">
      <c r="G589" s="54"/>
    </row>
    <row r="590" spans="7:7" ht="15.75" customHeight="1">
      <c r="G590" s="54"/>
    </row>
    <row r="591" spans="7:7" ht="15.75" customHeight="1">
      <c r="G591" s="54"/>
    </row>
    <row r="592" spans="7:7" ht="15.75" customHeight="1">
      <c r="G592" s="54"/>
    </row>
    <row r="593" spans="7:7" ht="15.75" customHeight="1">
      <c r="G593" s="54"/>
    </row>
    <row r="594" spans="7:7" ht="15.75" customHeight="1">
      <c r="G594" s="54"/>
    </row>
    <row r="595" spans="7:7" ht="15.75" customHeight="1">
      <c r="G595" s="54"/>
    </row>
    <row r="596" spans="7:7" ht="15.75" customHeight="1">
      <c r="G596" s="54"/>
    </row>
    <row r="597" spans="7:7" ht="15.75" customHeight="1">
      <c r="G597" s="54"/>
    </row>
    <row r="598" spans="7:7" ht="15.75" customHeight="1">
      <c r="G598" s="54"/>
    </row>
    <row r="599" spans="7:7" ht="15.75" customHeight="1">
      <c r="G599" s="54"/>
    </row>
    <row r="600" spans="7:7" ht="15.75" customHeight="1">
      <c r="G600" s="54"/>
    </row>
    <row r="601" spans="7:7" ht="15.75" customHeight="1">
      <c r="G601" s="54"/>
    </row>
    <row r="602" spans="7:7" ht="15.75" customHeight="1">
      <c r="G602" s="54"/>
    </row>
    <row r="603" spans="7:7" ht="15.75" customHeight="1">
      <c r="G603" s="54"/>
    </row>
    <row r="604" spans="7:7" ht="15.75" customHeight="1">
      <c r="G604" s="54"/>
    </row>
    <row r="605" spans="7:7" ht="15.75" customHeight="1">
      <c r="G605" s="54"/>
    </row>
    <row r="606" spans="7:7" ht="15.75" customHeight="1">
      <c r="G606" s="54"/>
    </row>
    <row r="607" spans="7:7" ht="15.75" customHeight="1">
      <c r="G607" s="54"/>
    </row>
    <row r="608" spans="7:7" ht="15.75" customHeight="1">
      <c r="G608" s="54"/>
    </row>
    <row r="609" spans="7:7" ht="15.75" customHeight="1">
      <c r="G609" s="54"/>
    </row>
    <row r="610" spans="7:7" ht="15.75" customHeight="1">
      <c r="G610" s="54"/>
    </row>
    <row r="611" spans="7:7" ht="15.75" customHeight="1">
      <c r="G611" s="54"/>
    </row>
    <row r="612" spans="7:7" ht="15.75" customHeight="1">
      <c r="G612" s="54"/>
    </row>
    <row r="613" spans="7:7" ht="15.75" customHeight="1">
      <c r="G613" s="54"/>
    </row>
    <row r="614" spans="7:7" ht="15.75" customHeight="1">
      <c r="G614" s="54"/>
    </row>
    <row r="615" spans="7:7" ht="15.75" customHeight="1">
      <c r="G615" s="54"/>
    </row>
    <row r="616" spans="7:7" ht="15.75" customHeight="1">
      <c r="G616" s="54"/>
    </row>
    <row r="617" spans="7:7" ht="15.75" customHeight="1">
      <c r="G617" s="54"/>
    </row>
    <row r="618" spans="7:7" ht="15.75" customHeight="1">
      <c r="G618" s="54"/>
    </row>
    <row r="619" spans="7:7" ht="15.75" customHeight="1">
      <c r="G619" s="54"/>
    </row>
    <row r="620" spans="7:7" ht="15.75" customHeight="1">
      <c r="G620" s="54"/>
    </row>
    <row r="621" spans="7:7" ht="15.75" customHeight="1">
      <c r="G621" s="54"/>
    </row>
    <row r="622" spans="7:7" ht="15.75" customHeight="1">
      <c r="G622" s="54"/>
    </row>
    <row r="623" spans="7:7" ht="15.75" customHeight="1">
      <c r="G623" s="54"/>
    </row>
    <row r="624" spans="7:7" ht="15.75" customHeight="1">
      <c r="G624" s="54"/>
    </row>
    <row r="625" spans="7:7" ht="15.75" customHeight="1">
      <c r="G625" s="54"/>
    </row>
    <row r="626" spans="7:7" ht="15.75" customHeight="1">
      <c r="G626" s="54"/>
    </row>
    <row r="627" spans="7:7" ht="15.75" customHeight="1">
      <c r="G627" s="54"/>
    </row>
    <row r="628" spans="7:7" ht="15.75" customHeight="1">
      <c r="G628" s="54"/>
    </row>
    <row r="629" spans="7:7" ht="15.75" customHeight="1">
      <c r="G629" s="54"/>
    </row>
    <row r="630" spans="7:7" ht="15.75" customHeight="1">
      <c r="G630" s="54"/>
    </row>
    <row r="631" spans="7:7" ht="15.75" customHeight="1">
      <c r="G631" s="54"/>
    </row>
    <row r="632" spans="7:7" ht="15.75" customHeight="1">
      <c r="G632" s="54"/>
    </row>
    <row r="633" spans="7:7" ht="15.75" customHeight="1">
      <c r="G633" s="54"/>
    </row>
    <row r="634" spans="7:7" ht="15.75" customHeight="1">
      <c r="G634" s="54"/>
    </row>
    <row r="635" spans="7:7" ht="15.75" customHeight="1">
      <c r="G635" s="54"/>
    </row>
    <row r="636" spans="7:7" ht="15.75" customHeight="1">
      <c r="G636" s="54"/>
    </row>
    <row r="637" spans="7:7" ht="15.75" customHeight="1">
      <c r="G637" s="54"/>
    </row>
    <row r="638" spans="7:7" ht="15.75" customHeight="1">
      <c r="G638" s="54"/>
    </row>
    <row r="639" spans="7:7" ht="15.75" customHeight="1">
      <c r="G639" s="54"/>
    </row>
    <row r="640" spans="7:7" ht="15.75" customHeight="1">
      <c r="G640" s="54"/>
    </row>
    <row r="641" spans="7:7" ht="15.75" customHeight="1">
      <c r="G641" s="54"/>
    </row>
    <row r="642" spans="7:7" ht="15.75" customHeight="1">
      <c r="G642" s="54"/>
    </row>
    <row r="643" spans="7:7" ht="15.75" customHeight="1">
      <c r="G643" s="54"/>
    </row>
    <row r="644" spans="7:7" ht="15.75" customHeight="1">
      <c r="G644" s="54"/>
    </row>
    <row r="645" spans="7:7" ht="15.75" customHeight="1">
      <c r="G645" s="54"/>
    </row>
    <row r="646" spans="7:7" ht="15.75" customHeight="1">
      <c r="G646" s="54"/>
    </row>
    <row r="647" spans="7:7" ht="15.75" customHeight="1">
      <c r="G647" s="54"/>
    </row>
    <row r="648" spans="7:7" ht="15.75" customHeight="1">
      <c r="G648" s="54"/>
    </row>
    <row r="649" spans="7:7" ht="15.75" customHeight="1">
      <c r="G649" s="54"/>
    </row>
    <row r="650" spans="7:7" ht="15.75" customHeight="1">
      <c r="G650" s="54"/>
    </row>
    <row r="651" spans="7:7" ht="15.75" customHeight="1">
      <c r="G651" s="54"/>
    </row>
    <row r="652" spans="7:7" ht="15.75" customHeight="1">
      <c r="G652" s="54"/>
    </row>
    <row r="653" spans="7:7" ht="15.75" customHeight="1">
      <c r="G653" s="54"/>
    </row>
    <row r="654" spans="7:7" ht="15.75" customHeight="1">
      <c r="G654" s="54"/>
    </row>
    <row r="655" spans="7:7" ht="15.75" customHeight="1">
      <c r="G655" s="54"/>
    </row>
    <row r="656" spans="7:7" ht="15.75" customHeight="1">
      <c r="G656" s="54"/>
    </row>
    <row r="657" spans="7:7" ht="15.75" customHeight="1">
      <c r="G657" s="54"/>
    </row>
    <row r="658" spans="7:7" ht="15.75" customHeight="1">
      <c r="G658" s="54"/>
    </row>
    <row r="659" spans="7:7" ht="15.75" customHeight="1">
      <c r="G659" s="54"/>
    </row>
    <row r="660" spans="7:7" ht="15.75" customHeight="1">
      <c r="G660" s="54"/>
    </row>
    <row r="661" spans="7:7" ht="15.75" customHeight="1">
      <c r="G661" s="54"/>
    </row>
    <row r="662" spans="7:7" ht="15.75" customHeight="1">
      <c r="G662" s="54"/>
    </row>
    <row r="663" spans="7:7" ht="15.75" customHeight="1">
      <c r="G663" s="54"/>
    </row>
    <row r="664" spans="7:7" ht="15.75" customHeight="1">
      <c r="G664" s="54"/>
    </row>
    <row r="665" spans="7:7" ht="15.75" customHeight="1">
      <c r="G665" s="54"/>
    </row>
    <row r="666" spans="7:7" ht="15.75" customHeight="1">
      <c r="G666" s="54"/>
    </row>
    <row r="667" spans="7:7" ht="15.75" customHeight="1">
      <c r="G667" s="54"/>
    </row>
    <row r="668" spans="7:7" ht="15.75" customHeight="1">
      <c r="G668" s="54"/>
    </row>
    <row r="669" spans="7:7" ht="15.75" customHeight="1">
      <c r="G669" s="54"/>
    </row>
    <row r="670" spans="7:7" ht="15.75" customHeight="1">
      <c r="G670" s="54"/>
    </row>
    <row r="671" spans="7:7" ht="15.75" customHeight="1">
      <c r="G671" s="54"/>
    </row>
    <row r="672" spans="7:7" ht="15.75" customHeight="1">
      <c r="G672" s="54"/>
    </row>
    <row r="673" spans="7:7" ht="15.75" customHeight="1">
      <c r="G673" s="54"/>
    </row>
    <row r="674" spans="7:7" ht="15.75" customHeight="1">
      <c r="G674" s="54"/>
    </row>
    <row r="675" spans="7:7" ht="15.75" customHeight="1">
      <c r="G675" s="54"/>
    </row>
    <row r="676" spans="7:7" ht="15.75" customHeight="1">
      <c r="G676" s="54"/>
    </row>
    <row r="677" spans="7:7" ht="15.75" customHeight="1">
      <c r="G677" s="54"/>
    </row>
    <row r="678" spans="7:7" ht="15.75" customHeight="1">
      <c r="G678" s="54"/>
    </row>
    <row r="679" spans="7:7" ht="15.75" customHeight="1">
      <c r="G679" s="54"/>
    </row>
    <row r="680" spans="7:7" ht="15.75" customHeight="1">
      <c r="G680" s="54"/>
    </row>
    <row r="681" spans="7:7" ht="15.75" customHeight="1">
      <c r="G681" s="54"/>
    </row>
    <row r="682" spans="7:7" ht="15.75" customHeight="1">
      <c r="G682" s="54"/>
    </row>
    <row r="683" spans="7:7" ht="15.75" customHeight="1">
      <c r="G683" s="54"/>
    </row>
    <row r="684" spans="7:7" ht="15.75" customHeight="1">
      <c r="G684" s="54"/>
    </row>
    <row r="685" spans="7:7" ht="15.75" customHeight="1">
      <c r="G685" s="54"/>
    </row>
    <row r="686" spans="7:7" ht="15.75" customHeight="1">
      <c r="G686" s="54"/>
    </row>
    <row r="687" spans="7:7" ht="15.75" customHeight="1">
      <c r="G687" s="54"/>
    </row>
    <row r="688" spans="7:7" ht="15.75" customHeight="1">
      <c r="G688" s="54"/>
    </row>
    <row r="689" spans="7:7" ht="15.75" customHeight="1">
      <c r="G689" s="54"/>
    </row>
    <row r="690" spans="7:7" ht="15.75" customHeight="1">
      <c r="G690" s="54"/>
    </row>
    <row r="691" spans="7:7" ht="15.75" customHeight="1">
      <c r="G691" s="54"/>
    </row>
    <row r="692" spans="7:7" ht="15.75" customHeight="1">
      <c r="G692" s="54"/>
    </row>
    <row r="693" spans="7:7" ht="15.75" customHeight="1">
      <c r="G693" s="54"/>
    </row>
    <row r="694" spans="7:7" ht="15.75" customHeight="1">
      <c r="G694" s="54"/>
    </row>
    <row r="695" spans="7:7" ht="15.75" customHeight="1">
      <c r="G695" s="54"/>
    </row>
    <row r="696" spans="7:7" ht="15.75" customHeight="1">
      <c r="G696" s="54"/>
    </row>
    <row r="697" spans="7:7" ht="15.75" customHeight="1">
      <c r="G697" s="54"/>
    </row>
    <row r="698" spans="7:7" ht="15.75" customHeight="1">
      <c r="G698" s="54"/>
    </row>
    <row r="699" spans="7:7" ht="15.75" customHeight="1">
      <c r="G699" s="54"/>
    </row>
    <row r="700" spans="7:7" ht="15.75" customHeight="1">
      <c r="G700" s="54"/>
    </row>
    <row r="701" spans="7:7" ht="15.75" customHeight="1">
      <c r="G701" s="54"/>
    </row>
    <row r="702" spans="7:7" ht="15.75" customHeight="1">
      <c r="G702" s="54"/>
    </row>
    <row r="703" spans="7:7" ht="15.75" customHeight="1">
      <c r="G703" s="54"/>
    </row>
    <row r="704" spans="7:7" ht="15.75" customHeight="1">
      <c r="G704" s="54"/>
    </row>
    <row r="705" spans="7:7" ht="15.75" customHeight="1">
      <c r="G705" s="54"/>
    </row>
    <row r="706" spans="7:7" ht="15.75" customHeight="1">
      <c r="G706" s="54"/>
    </row>
    <row r="707" spans="7:7" ht="15.75" customHeight="1">
      <c r="G707" s="54"/>
    </row>
    <row r="708" spans="7:7" ht="15.75" customHeight="1">
      <c r="G708" s="54"/>
    </row>
    <row r="709" spans="7:7" ht="15.75" customHeight="1">
      <c r="G709" s="54"/>
    </row>
    <row r="710" spans="7:7" ht="15.75" customHeight="1">
      <c r="G710" s="54"/>
    </row>
    <row r="711" spans="7:7" ht="15.75" customHeight="1">
      <c r="G711" s="54"/>
    </row>
    <row r="712" spans="7:7" ht="15.75" customHeight="1">
      <c r="G712" s="54"/>
    </row>
    <row r="713" spans="7:7" ht="15.75" customHeight="1">
      <c r="G713" s="54"/>
    </row>
    <row r="714" spans="7:7" ht="15.75" customHeight="1">
      <c r="G714" s="54"/>
    </row>
    <row r="715" spans="7:7" ht="15.75" customHeight="1">
      <c r="G715" s="54"/>
    </row>
    <row r="716" spans="7:7" ht="15.75" customHeight="1">
      <c r="G716" s="54"/>
    </row>
    <row r="717" spans="7:7" ht="15.75" customHeight="1">
      <c r="G717" s="54"/>
    </row>
    <row r="718" spans="7:7" ht="15.75" customHeight="1">
      <c r="G718" s="54"/>
    </row>
    <row r="719" spans="7:7" ht="15.75" customHeight="1">
      <c r="G719" s="54"/>
    </row>
    <row r="720" spans="7:7" ht="15.75" customHeight="1">
      <c r="G720" s="54"/>
    </row>
    <row r="721" spans="7:7" ht="15.75" customHeight="1">
      <c r="G721" s="54"/>
    </row>
    <row r="722" spans="7:7" ht="15.75" customHeight="1">
      <c r="G722" s="54"/>
    </row>
    <row r="723" spans="7:7" ht="15.75" customHeight="1">
      <c r="G723" s="54"/>
    </row>
    <row r="724" spans="7:7" ht="15.75" customHeight="1">
      <c r="G724" s="54"/>
    </row>
    <row r="725" spans="7:7" ht="15.75" customHeight="1">
      <c r="G725" s="54"/>
    </row>
    <row r="726" spans="7:7" ht="15.75" customHeight="1">
      <c r="G726" s="54"/>
    </row>
    <row r="727" spans="7:7" ht="15.75" customHeight="1">
      <c r="G727" s="54"/>
    </row>
    <row r="728" spans="7:7" ht="15.75" customHeight="1">
      <c r="G728" s="54"/>
    </row>
    <row r="729" spans="7:7" ht="15.75" customHeight="1">
      <c r="G729" s="54"/>
    </row>
    <row r="730" spans="7:7" ht="15.75" customHeight="1">
      <c r="G730" s="54"/>
    </row>
    <row r="731" spans="7:7" ht="15.75" customHeight="1">
      <c r="G731" s="54"/>
    </row>
    <row r="732" spans="7:7" ht="15.75" customHeight="1">
      <c r="G732" s="54"/>
    </row>
    <row r="733" spans="7:7" ht="15.75" customHeight="1">
      <c r="G733" s="54"/>
    </row>
    <row r="734" spans="7:7" ht="15.75" customHeight="1">
      <c r="G734" s="54"/>
    </row>
    <row r="735" spans="7:7" ht="15.75" customHeight="1">
      <c r="G735" s="54"/>
    </row>
    <row r="736" spans="7:7" ht="15.75" customHeight="1">
      <c r="G736" s="54"/>
    </row>
    <row r="737" spans="7:7" ht="15.75" customHeight="1">
      <c r="G737" s="54"/>
    </row>
    <row r="738" spans="7:7" ht="15.75" customHeight="1">
      <c r="G738" s="54"/>
    </row>
    <row r="739" spans="7:7" ht="15.75" customHeight="1">
      <c r="G739" s="54"/>
    </row>
    <row r="740" spans="7:7" ht="15.75" customHeight="1">
      <c r="G740" s="54"/>
    </row>
    <row r="741" spans="7:7" ht="15.75" customHeight="1">
      <c r="G741" s="54"/>
    </row>
    <row r="742" spans="7:7" ht="15.75" customHeight="1">
      <c r="G742" s="54"/>
    </row>
    <row r="743" spans="7:7" ht="15.75" customHeight="1">
      <c r="G743" s="54"/>
    </row>
    <row r="744" spans="7:7" ht="15.75" customHeight="1">
      <c r="G744" s="54"/>
    </row>
    <row r="745" spans="7:7" ht="15.75" customHeight="1">
      <c r="G745" s="54"/>
    </row>
    <row r="746" spans="7:7" ht="15.75" customHeight="1">
      <c r="G746" s="54"/>
    </row>
    <row r="747" spans="7:7" ht="15.75" customHeight="1">
      <c r="G747" s="54"/>
    </row>
    <row r="748" spans="7:7" ht="15.75" customHeight="1">
      <c r="G748" s="54"/>
    </row>
    <row r="749" spans="7:7" ht="15.75" customHeight="1">
      <c r="G749" s="54"/>
    </row>
    <row r="750" spans="7:7" ht="15.75" customHeight="1">
      <c r="G750" s="54"/>
    </row>
    <row r="751" spans="7:7" ht="15.75" customHeight="1">
      <c r="G751" s="54"/>
    </row>
    <row r="752" spans="7:7" ht="15.75" customHeight="1">
      <c r="G752" s="54"/>
    </row>
    <row r="753" spans="7:7" ht="15.75" customHeight="1">
      <c r="G753" s="54"/>
    </row>
    <row r="754" spans="7:7" ht="15.75" customHeight="1">
      <c r="G754" s="54"/>
    </row>
    <row r="755" spans="7:7" ht="15.75" customHeight="1">
      <c r="G755" s="54"/>
    </row>
    <row r="756" spans="7:7" ht="15.75" customHeight="1">
      <c r="G756" s="54"/>
    </row>
    <row r="757" spans="7:7" ht="15.75" customHeight="1">
      <c r="G757" s="54"/>
    </row>
    <row r="758" spans="7:7" ht="15.75" customHeight="1">
      <c r="G758" s="54"/>
    </row>
    <row r="759" spans="7:7" ht="15.75" customHeight="1">
      <c r="G759" s="54"/>
    </row>
    <row r="760" spans="7:7" ht="15.75" customHeight="1">
      <c r="G760" s="54"/>
    </row>
    <row r="761" spans="7:7" ht="15.75" customHeight="1">
      <c r="G761" s="54"/>
    </row>
    <row r="762" spans="7:7" ht="15.75" customHeight="1">
      <c r="G762" s="54"/>
    </row>
    <row r="763" spans="7:7" ht="15.75" customHeight="1">
      <c r="G763" s="54"/>
    </row>
    <row r="764" spans="7:7" ht="15.75" customHeight="1">
      <c r="G764" s="54"/>
    </row>
    <row r="765" spans="7:7" ht="15.75" customHeight="1">
      <c r="G765" s="54"/>
    </row>
    <row r="766" spans="7:7" ht="15.75" customHeight="1">
      <c r="G766" s="54"/>
    </row>
    <row r="767" spans="7:7" ht="15.75" customHeight="1">
      <c r="G767" s="54"/>
    </row>
    <row r="768" spans="7:7" ht="15.75" customHeight="1">
      <c r="G768" s="54"/>
    </row>
    <row r="769" spans="7:7" ht="15.75" customHeight="1">
      <c r="G769" s="54"/>
    </row>
    <row r="770" spans="7:7" ht="15.75" customHeight="1">
      <c r="G770" s="54"/>
    </row>
    <row r="771" spans="7:7" ht="15.75" customHeight="1">
      <c r="G771" s="54"/>
    </row>
    <row r="772" spans="7:7" ht="15.75" customHeight="1">
      <c r="G772" s="54"/>
    </row>
    <row r="773" spans="7:7" ht="15.75" customHeight="1">
      <c r="G773" s="54"/>
    </row>
    <row r="774" spans="7:7" ht="15.75" customHeight="1">
      <c r="G774" s="54"/>
    </row>
    <row r="775" spans="7:7" ht="15.75" customHeight="1">
      <c r="G775" s="54"/>
    </row>
    <row r="776" spans="7:7" ht="15.75" customHeight="1">
      <c r="G776" s="54"/>
    </row>
    <row r="777" spans="7:7" ht="15.75" customHeight="1">
      <c r="G777" s="54"/>
    </row>
    <row r="778" spans="7:7" ht="15.75" customHeight="1">
      <c r="G778" s="54"/>
    </row>
    <row r="779" spans="7:7" ht="15.75" customHeight="1">
      <c r="G779" s="54"/>
    </row>
    <row r="780" spans="7:7" ht="15.75" customHeight="1">
      <c r="G780" s="54"/>
    </row>
    <row r="781" spans="7:7" ht="15.75" customHeight="1">
      <c r="G781" s="54"/>
    </row>
    <row r="782" spans="7:7" ht="15.75" customHeight="1">
      <c r="G782" s="54"/>
    </row>
    <row r="783" spans="7:7" ht="15.75" customHeight="1">
      <c r="G783" s="54"/>
    </row>
    <row r="784" spans="7:7" ht="15.75" customHeight="1">
      <c r="G784" s="54"/>
    </row>
    <row r="785" spans="7:7" ht="15.75" customHeight="1">
      <c r="G785" s="54"/>
    </row>
    <row r="786" spans="7:7" ht="15.75" customHeight="1">
      <c r="G786" s="54"/>
    </row>
    <row r="787" spans="7:7" ht="15.75" customHeight="1">
      <c r="G787" s="54"/>
    </row>
    <row r="788" spans="7:7" ht="15.75" customHeight="1">
      <c r="G788" s="54"/>
    </row>
    <row r="789" spans="7:7" ht="15.75" customHeight="1">
      <c r="G789" s="54"/>
    </row>
    <row r="790" spans="7:7" ht="15.75" customHeight="1">
      <c r="G790" s="54"/>
    </row>
    <row r="791" spans="7:7" ht="15.75" customHeight="1">
      <c r="G791" s="54"/>
    </row>
    <row r="792" spans="7:7" ht="15.75" customHeight="1">
      <c r="G792" s="54"/>
    </row>
    <row r="793" spans="7:7" ht="15.75" customHeight="1">
      <c r="G793" s="54"/>
    </row>
    <row r="794" spans="7:7" ht="15.75" customHeight="1">
      <c r="G794" s="54"/>
    </row>
    <row r="795" spans="7:7" ht="15.75" customHeight="1">
      <c r="G795" s="54"/>
    </row>
    <row r="796" spans="7:7" ht="15.75" customHeight="1">
      <c r="G796" s="54"/>
    </row>
    <row r="797" spans="7:7" ht="15.75" customHeight="1">
      <c r="G797" s="54"/>
    </row>
    <row r="798" spans="7:7" ht="15.75" customHeight="1">
      <c r="G798" s="54"/>
    </row>
    <row r="799" spans="7:7" ht="15.75" customHeight="1">
      <c r="G799" s="54"/>
    </row>
    <row r="800" spans="7:7" ht="15.75" customHeight="1">
      <c r="G800" s="54"/>
    </row>
    <row r="801" spans="7:7" ht="15.75" customHeight="1">
      <c r="G801" s="54"/>
    </row>
    <row r="802" spans="7:7" ht="15.75" customHeight="1">
      <c r="G802" s="54"/>
    </row>
    <row r="803" spans="7:7" ht="15.75" customHeight="1">
      <c r="G803" s="54"/>
    </row>
    <row r="804" spans="7:7" ht="15.75" customHeight="1">
      <c r="G804" s="54"/>
    </row>
    <row r="805" spans="7:7" ht="15.75" customHeight="1">
      <c r="G805" s="54"/>
    </row>
    <row r="806" spans="7:7" ht="15.75" customHeight="1">
      <c r="G806" s="54"/>
    </row>
    <row r="807" spans="7:7" ht="15.75" customHeight="1">
      <c r="G807" s="54"/>
    </row>
    <row r="808" spans="7:7" ht="15.75" customHeight="1">
      <c r="G808" s="54"/>
    </row>
    <row r="809" spans="7:7" ht="15.75" customHeight="1">
      <c r="G809" s="54"/>
    </row>
    <row r="810" spans="7:7" ht="15.75" customHeight="1">
      <c r="G810" s="54"/>
    </row>
    <row r="811" spans="7:7" ht="15.75" customHeight="1">
      <c r="G811" s="54"/>
    </row>
    <row r="812" spans="7:7" ht="15.75" customHeight="1">
      <c r="G812" s="54"/>
    </row>
    <row r="813" spans="7:7" ht="15.75" customHeight="1">
      <c r="G813" s="54"/>
    </row>
    <row r="814" spans="7:7" ht="15.75" customHeight="1">
      <c r="G814" s="54"/>
    </row>
    <row r="815" spans="7:7" ht="15.75" customHeight="1">
      <c r="G815" s="54"/>
    </row>
    <row r="816" spans="7:7" ht="15.75" customHeight="1">
      <c r="G816" s="54"/>
    </row>
    <row r="817" spans="7:7" ht="15.75" customHeight="1">
      <c r="G817" s="54"/>
    </row>
    <row r="818" spans="7:7" ht="15.75" customHeight="1">
      <c r="G818" s="54"/>
    </row>
    <row r="819" spans="7:7" ht="15.75" customHeight="1">
      <c r="G819" s="54"/>
    </row>
    <row r="820" spans="7:7" ht="15.75" customHeight="1">
      <c r="G820" s="54"/>
    </row>
    <row r="821" spans="7:7" ht="15.75" customHeight="1">
      <c r="G821" s="54"/>
    </row>
    <row r="822" spans="7:7" ht="15.75" customHeight="1">
      <c r="G822" s="54"/>
    </row>
    <row r="823" spans="7:7" ht="15.75" customHeight="1">
      <c r="G823" s="54"/>
    </row>
    <row r="824" spans="7:7" ht="15.75" customHeight="1">
      <c r="G824" s="54"/>
    </row>
    <row r="825" spans="7:7" ht="15.75" customHeight="1">
      <c r="G825" s="54"/>
    </row>
    <row r="826" spans="7:7" ht="15.75" customHeight="1">
      <c r="G826" s="54"/>
    </row>
    <row r="827" spans="7:7" ht="15.75" customHeight="1">
      <c r="G827" s="54"/>
    </row>
    <row r="828" spans="7:7" ht="15.75" customHeight="1">
      <c r="G828" s="54"/>
    </row>
    <row r="829" spans="7:7" ht="15.75" customHeight="1">
      <c r="G829" s="54"/>
    </row>
    <row r="830" spans="7:7" ht="15.75" customHeight="1">
      <c r="G830" s="54"/>
    </row>
    <row r="831" spans="7:7" ht="15.75" customHeight="1">
      <c r="G831" s="54"/>
    </row>
    <row r="832" spans="7:7" ht="15.75" customHeight="1">
      <c r="G832" s="54"/>
    </row>
    <row r="833" spans="7:7" ht="15.75" customHeight="1">
      <c r="G833" s="54"/>
    </row>
    <row r="834" spans="7:7" ht="15.75" customHeight="1">
      <c r="G834" s="54"/>
    </row>
    <row r="835" spans="7:7" ht="15.75" customHeight="1">
      <c r="G835" s="54"/>
    </row>
    <row r="836" spans="7:7" ht="15.75" customHeight="1">
      <c r="G836" s="54"/>
    </row>
    <row r="837" spans="7:7" ht="15.75" customHeight="1">
      <c r="G837" s="54"/>
    </row>
    <row r="838" spans="7:7" ht="15.75" customHeight="1">
      <c r="G838" s="54"/>
    </row>
    <row r="839" spans="7:7" ht="15.75" customHeight="1">
      <c r="G839" s="54"/>
    </row>
    <row r="840" spans="7:7" ht="15.75" customHeight="1">
      <c r="G840" s="54"/>
    </row>
    <row r="841" spans="7:7" ht="15.75" customHeight="1">
      <c r="G841" s="54"/>
    </row>
    <row r="842" spans="7:7" ht="15.75" customHeight="1">
      <c r="G842" s="54"/>
    </row>
    <row r="843" spans="7:7" ht="15.75" customHeight="1">
      <c r="G843" s="54"/>
    </row>
    <row r="844" spans="7:7" ht="15.75" customHeight="1">
      <c r="G844" s="54"/>
    </row>
    <row r="845" spans="7:7" ht="15.75" customHeight="1">
      <c r="G845" s="54"/>
    </row>
    <row r="846" spans="7:7" ht="15.75" customHeight="1">
      <c r="G846" s="54"/>
    </row>
    <row r="847" spans="7:7" ht="15.75" customHeight="1">
      <c r="G847" s="54"/>
    </row>
    <row r="848" spans="7:7" ht="15.75" customHeight="1">
      <c r="G848" s="54"/>
    </row>
    <row r="849" spans="7:7" ht="15.75" customHeight="1">
      <c r="G849" s="54"/>
    </row>
    <row r="850" spans="7:7" ht="15.75" customHeight="1">
      <c r="G850" s="54"/>
    </row>
    <row r="851" spans="7:7" ht="15.75" customHeight="1">
      <c r="G851" s="54"/>
    </row>
    <row r="852" spans="7:7" ht="15.75" customHeight="1">
      <c r="G852" s="54"/>
    </row>
    <row r="853" spans="7:7" ht="15.75" customHeight="1">
      <c r="G853" s="54"/>
    </row>
    <row r="854" spans="7:7" ht="15.75" customHeight="1">
      <c r="G854" s="54"/>
    </row>
    <row r="855" spans="7:7" ht="15.75" customHeight="1">
      <c r="G855" s="54"/>
    </row>
    <row r="856" spans="7:7" ht="15.75" customHeight="1">
      <c r="G856" s="54"/>
    </row>
    <row r="857" spans="7:7" ht="15.75" customHeight="1">
      <c r="G857" s="54"/>
    </row>
    <row r="858" spans="7:7" ht="15.75" customHeight="1">
      <c r="G858" s="54"/>
    </row>
    <row r="859" spans="7:7" ht="15.75" customHeight="1">
      <c r="G859" s="54"/>
    </row>
    <row r="860" spans="7:7" ht="15.75" customHeight="1">
      <c r="G860" s="54"/>
    </row>
    <row r="861" spans="7:7" ht="15.75" customHeight="1">
      <c r="G861" s="54"/>
    </row>
    <row r="862" spans="7:7" ht="15.75" customHeight="1">
      <c r="G862" s="54"/>
    </row>
    <row r="863" spans="7:7" ht="15.75" customHeight="1">
      <c r="G863" s="54"/>
    </row>
    <row r="864" spans="7:7" ht="15.75" customHeight="1">
      <c r="G864" s="54"/>
    </row>
    <row r="865" spans="7:7" ht="15.75" customHeight="1">
      <c r="G865" s="54"/>
    </row>
    <row r="866" spans="7:7" ht="15.75" customHeight="1">
      <c r="G866" s="54"/>
    </row>
    <row r="867" spans="7:7" ht="15.75" customHeight="1">
      <c r="G867" s="54"/>
    </row>
    <row r="868" spans="7:7" ht="15.75" customHeight="1">
      <c r="G868" s="54"/>
    </row>
    <row r="869" spans="7:7" ht="15.75" customHeight="1">
      <c r="G869" s="54"/>
    </row>
    <row r="870" spans="7:7" ht="15.75" customHeight="1">
      <c r="G870" s="54"/>
    </row>
    <row r="871" spans="7:7" ht="15.75" customHeight="1">
      <c r="G871" s="54"/>
    </row>
    <row r="872" spans="7:7" ht="15.75" customHeight="1">
      <c r="G872" s="54"/>
    </row>
    <row r="873" spans="7:7" ht="15.75" customHeight="1">
      <c r="G873" s="54"/>
    </row>
    <row r="874" spans="7:7" ht="15.75" customHeight="1">
      <c r="G874" s="54"/>
    </row>
    <row r="875" spans="7:7" ht="15.75" customHeight="1">
      <c r="G875" s="54"/>
    </row>
    <row r="876" spans="7:7" ht="15.75" customHeight="1">
      <c r="G876" s="54"/>
    </row>
    <row r="877" spans="7:7" ht="15.75" customHeight="1">
      <c r="G877" s="54"/>
    </row>
    <row r="878" spans="7:7" ht="15.75" customHeight="1">
      <c r="G878" s="54"/>
    </row>
    <row r="879" spans="7:7" ht="15.75" customHeight="1">
      <c r="G879" s="54"/>
    </row>
    <row r="880" spans="7:7" ht="15.75" customHeight="1">
      <c r="G880" s="54"/>
    </row>
    <row r="881" spans="7:7" ht="15.75" customHeight="1">
      <c r="G881" s="54"/>
    </row>
    <row r="882" spans="7:7" ht="15.75" customHeight="1">
      <c r="G882" s="54"/>
    </row>
    <row r="883" spans="7:7" ht="15.75" customHeight="1">
      <c r="G883" s="54"/>
    </row>
    <row r="884" spans="7:7" ht="15.75" customHeight="1">
      <c r="G884" s="54"/>
    </row>
    <row r="885" spans="7:7" ht="15.75" customHeight="1">
      <c r="G885" s="54"/>
    </row>
    <row r="886" spans="7:7" ht="15.75" customHeight="1">
      <c r="G886" s="54"/>
    </row>
    <row r="887" spans="7:7" ht="15.75" customHeight="1">
      <c r="G887" s="54"/>
    </row>
    <row r="888" spans="7:7" ht="15.75" customHeight="1">
      <c r="G888" s="54"/>
    </row>
    <row r="889" spans="7:7" ht="15.75" customHeight="1">
      <c r="G889" s="54"/>
    </row>
    <row r="890" spans="7:7" ht="15.75" customHeight="1">
      <c r="G890" s="54"/>
    </row>
    <row r="891" spans="7:7" ht="15.75" customHeight="1">
      <c r="G891" s="54"/>
    </row>
    <row r="892" spans="7:7" ht="15.75" customHeight="1">
      <c r="G892" s="54"/>
    </row>
    <row r="893" spans="7:7" ht="15.75" customHeight="1">
      <c r="G893" s="54"/>
    </row>
    <row r="894" spans="7:7" ht="15.75" customHeight="1">
      <c r="G894" s="54"/>
    </row>
    <row r="895" spans="7:7" ht="15.75" customHeight="1">
      <c r="G895" s="54"/>
    </row>
    <row r="896" spans="7:7" ht="15.75" customHeight="1">
      <c r="G896" s="54"/>
    </row>
    <row r="897" spans="7:7" ht="15.75" customHeight="1">
      <c r="G897" s="54"/>
    </row>
    <row r="898" spans="7:7" ht="15.75" customHeight="1">
      <c r="G898" s="54"/>
    </row>
    <row r="899" spans="7:7" ht="15.75" customHeight="1">
      <c r="G899" s="54"/>
    </row>
    <row r="900" spans="7:7" ht="15.75" customHeight="1">
      <c r="G900" s="54"/>
    </row>
    <row r="901" spans="7:7" ht="15.75" customHeight="1">
      <c r="G901" s="54"/>
    </row>
    <row r="902" spans="7:7" ht="15.75" customHeight="1">
      <c r="G902" s="54"/>
    </row>
    <row r="903" spans="7:7" ht="15.75" customHeight="1">
      <c r="G903" s="54"/>
    </row>
    <row r="904" spans="7:7" ht="15.75" customHeight="1">
      <c r="G904" s="54"/>
    </row>
    <row r="905" spans="7:7" ht="15.75" customHeight="1">
      <c r="G905" s="54"/>
    </row>
    <row r="906" spans="7:7" ht="15.75" customHeight="1">
      <c r="G906" s="54"/>
    </row>
    <row r="907" spans="7:7" ht="15.75" customHeight="1">
      <c r="G907" s="54"/>
    </row>
    <row r="908" spans="7:7" ht="15.75" customHeight="1">
      <c r="G908" s="54"/>
    </row>
    <row r="909" spans="7:7" ht="15.75" customHeight="1">
      <c r="G909" s="54"/>
    </row>
    <row r="910" spans="7:7" ht="15.75" customHeight="1">
      <c r="G910" s="54"/>
    </row>
    <row r="911" spans="7:7" ht="15.75" customHeight="1">
      <c r="G911" s="54"/>
    </row>
    <row r="912" spans="7:7" ht="15.75" customHeight="1">
      <c r="G912" s="54"/>
    </row>
    <row r="913" spans="7:7" ht="15.75" customHeight="1">
      <c r="G913" s="54"/>
    </row>
    <row r="914" spans="7:7" ht="15.75" customHeight="1">
      <c r="G914" s="54"/>
    </row>
    <row r="915" spans="7:7" ht="15.75" customHeight="1">
      <c r="G915" s="54"/>
    </row>
    <row r="916" spans="7:7" ht="15.75" customHeight="1">
      <c r="G916" s="54"/>
    </row>
    <row r="917" spans="7:7" ht="15.75" customHeight="1">
      <c r="G917" s="54"/>
    </row>
    <row r="918" spans="7:7" ht="15.75" customHeight="1">
      <c r="G918" s="54"/>
    </row>
    <row r="919" spans="7:7" ht="15.75" customHeight="1">
      <c r="G919" s="54"/>
    </row>
    <row r="920" spans="7:7" ht="15.75" customHeight="1">
      <c r="G920" s="54"/>
    </row>
    <row r="921" spans="7:7" ht="15.75" customHeight="1">
      <c r="G921" s="54"/>
    </row>
    <row r="922" spans="7:7" ht="15.75" customHeight="1">
      <c r="G922" s="54"/>
    </row>
    <row r="923" spans="7:7" ht="15.75" customHeight="1">
      <c r="G923" s="54"/>
    </row>
    <row r="924" spans="7:7" ht="15.75" customHeight="1">
      <c r="G924" s="54"/>
    </row>
    <row r="925" spans="7:7" ht="15.75" customHeight="1">
      <c r="G925" s="54"/>
    </row>
    <row r="926" spans="7:7" ht="15.75" customHeight="1">
      <c r="G926" s="54"/>
    </row>
    <row r="927" spans="7:7" ht="15.75" customHeight="1">
      <c r="G927" s="54"/>
    </row>
    <row r="928" spans="7:7" ht="15.75" customHeight="1">
      <c r="G928" s="54"/>
    </row>
    <row r="929" spans="7:7" ht="15.75" customHeight="1">
      <c r="G929" s="54"/>
    </row>
    <row r="930" spans="7:7" ht="15.75" customHeight="1">
      <c r="G930" s="54"/>
    </row>
    <row r="931" spans="7:7" ht="15.75" customHeight="1">
      <c r="G931" s="54"/>
    </row>
    <row r="932" spans="7:7" ht="15.75" customHeight="1">
      <c r="G932" s="54"/>
    </row>
    <row r="933" spans="7:7" ht="15.75" customHeight="1">
      <c r="G933" s="54"/>
    </row>
    <row r="934" spans="7:7" ht="15.75" customHeight="1">
      <c r="G934" s="54"/>
    </row>
    <row r="935" spans="7:7" ht="15.75" customHeight="1">
      <c r="G935" s="54"/>
    </row>
    <row r="936" spans="7:7" ht="15.75" customHeight="1">
      <c r="G936" s="54"/>
    </row>
    <row r="937" spans="7:7" ht="15.75" customHeight="1">
      <c r="G937" s="54"/>
    </row>
    <row r="938" spans="7:7" ht="15.75" customHeight="1">
      <c r="G938" s="54"/>
    </row>
    <row r="939" spans="7:7" ht="15.75" customHeight="1">
      <c r="G939" s="54"/>
    </row>
    <row r="940" spans="7:7" ht="15.75" customHeight="1">
      <c r="G940" s="54"/>
    </row>
    <row r="941" spans="7:7" ht="15.75" customHeight="1">
      <c r="G941" s="54"/>
    </row>
    <row r="942" spans="7:7" ht="15.75" customHeight="1">
      <c r="G942" s="54"/>
    </row>
    <row r="943" spans="7:7" ht="15.75" customHeight="1">
      <c r="G943" s="54"/>
    </row>
    <row r="944" spans="7:7" ht="15.75" customHeight="1">
      <c r="G944" s="54"/>
    </row>
    <row r="945" spans="7:7" ht="15.75" customHeight="1">
      <c r="G945" s="54"/>
    </row>
    <row r="946" spans="7:7" ht="15.75" customHeight="1">
      <c r="G946" s="54"/>
    </row>
    <row r="947" spans="7:7" ht="15.75" customHeight="1">
      <c r="G947" s="54"/>
    </row>
    <row r="948" spans="7:7" ht="15.75" customHeight="1">
      <c r="G948" s="54"/>
    </row>
    <row r="949" spans="7:7" ht="15.75" customHeight="1">
      <c r="G949" s="54"/>
    </row>
    <row r="950" spans="7:7" ht="15.75" customHeight="1">
      <c r="G950" s="54"/>
    </row>
    <row r="951" spans="7:7" ht="15.75" customHeight="1">
      <c r="G951" s="54"/>
    </row>
    <row r="952" spans="7:7" ht="15.75" customHeight="1">
      <c r="G952" s="54"/>
    </row>
    <row r="953" spans="7:7" ht="15.75" customHeight="1">
      <c r="G953" s="54"/>
    </row>
    <row r="954" spans="7:7" ht="15.75" customHeight="1">
      <c r="G954" s="54"/>
    </row>
    <row r="955" spans="7:7" ht="15.75" customHeight="1">
      <c r="G955" s="54"/>
    </row>
    <row r="956" spans="7:7" ht="15.75" customHeight="1">
      <c r="G956" s="54"/>
    </row>
    <row r="957" spans="7:7" ht="15.75" customHeight="1">
      <c r="G957" s="54"/>
    </row>
    <row r="958" spans="7:7" ht="15.75" customHeight="1">
      <c r="G958" s="54"/>
    </row>
    <row r="959" spans="7:7" ht="15.75" customHeight="1">
      <c r="G959" s="54"/>
    </row>
    <row r="960" spans="7:7" ht="15.75" customHeight="1">
      <c r="G960" s="54"/>
    </row>
    <row r="961" spans="7:7" ht="15.75" customHeight="1">
      <c r="G961" s="54"/>
    </row>
    <row r="962" spans="7:7" ht="15.75" customHeight="1">
      <c r="G962" s="54"/>
    </row>
    <row r="963" spans="7:7" ht="15.75" customHeight="1">
      <c r="G963" s="54"/>
    </row>
    <row r="964" spans="7:7" ht="15.75" customHeight="1">
      <c r="G964" s="54"/>
    </row>
    <row r="965" spans="7:7" ht="15.75" customHeight="1">
      <c r="G965" s="54"/>
    </row>
    <row r="966" spans="7:7" ht="15.75" customHeight="1">
      <c r="G966" s="54"/>
    </row>
    <row r="967" spans="7:7" ht="15.75" customHeight="1">
      <c r="G967" s="54"/>
    </row>
    <row r="968" spans="7:7" ht="15.75" customHeight="1">
      <c r="G968" s="54"/>
    </row>
    <row r="969" spans="7:7" ht="15.75" customHeight="1">
      <c r="G969" s="54"/>
    </row>
    <row r="970" spans="7:7" ht="15.75" customHeight="1">
      <c r="G970" s="54"/>
    </row>
    <row r="971" spans="7:7" ht="15.75" customHeight="1">
      <c r="G971" s="54"/>
    </row>
    <row r="972" spans="7:7" ht="15.75" customHeight="1">
      <c r="G972" s="54"/>
    </row>
    <row r="973" spans="7:7" ht="15.75" customHeight="1">
      <c r="G973" s="54"/>
    </row>
    <row r="974" spans="7:7" ht="15.75" customHeight="1">
      <c r="G974" s="54"/>
    </row>
    <row r="975" spans="7:7" ht="15.75" customHeight="1">
      <c r="G975" s="54"/>
    </row>
    <row r="976" spans="7:7" ht="15.75" customHeight="1">
      <c r="G976" s="54"/>
    </row>
    <row r="977" spans="7:7" ht="15.75" customHeight="1">
      <c r="G977" s="54"/>
    </row>
    <row r="978" spans="7:7" ht="15.75" customHeight="1">
      <c r="G978" s="54"/>
    </row>
    <row r="979" spans="7:7" ht="15.75" customHeight="1">
      <c r="G979" s="54"/>
    </row>
    <row r="980" spans="7:7" ht="15.75" customHeight="1">
      <c r="G980" s="54"/>
    </row>
    <row r="981" spans="7:7" ht="15.75" customHeight="1">
      <c r="G981" s="54"/>
    </row>
    <row r="982" spans="7:7" ht="15.75" customHeight="1">
      <c r="G982" s="54"/>
    </row>
    <row r="983" spans="7:7" ht="15.75" customHeight="1">
      <c r="G983" s="54"/>
    </row>
    <row r="984" spans="7:7" ht="15.75" customHeight="1">
      <c r="G984" s="54"/>
    </row>
    <row r="985" spans="7:7" ht="15.75" customHeight="1">
      <c r="G985" s="54"/>
    </row>
    <row r="986" spans="7:7" ht="15.75" customHeight="1">
      <c r="G986" s="54"/>
    </row>
    <row r="987" spans="7:7" ht="15.75" customHeight="1">
      <c r="G987" s="54"/>
    </row>
    <row r="988" spans="7:7" ht="15.75" customHeight="1">
      <c r="G988" s="54"/>
    </row>
    <row r="989" spans="7:7" ht="15.75" customHeight="1">
      <c r="G989" s="54"/>
    </row>
    <row r="990" spans="7:7" ht="15.75" customHeight="1">
      <c r="G990" s="54"/>
    </row>
    <row r="991" spans="7:7" ht="15.75" customHeight="1">
      <c r="G991" s="54"/>
    </row>
    <row r="992" spans="7:7" ht="15.75" customHeight="1">
      <c r="G992" s="54"/>
    </row>
    <row r="993" spans="7:7" ht="15.75" customHeight="1">
      <c r="G993" s="54"/>
    </row>
    <row r="994" spans="7:7" ht="15.75" customHeight="1">
      <c r="G994" s="54"/>
    </row>
    <row r="995" spans="7:7" ht="15.75" customHeight="1">
      <c r="G995" s="54"/>
    </row>
    <row r="996" spans="7:7" ht="15.75" customHeight="1">
      <c r="G996" s="54"/>
    </row>
    <row r="997" spans="7:7" ht="15.75" customHeight="1">
      <c r="G997" s="54"/>
    </row>
    <row r="998" spans="7:7" ht="15.75" customHeight="1">
      <c r="G998" s="54"/>
    </row>
    <row r="999" spans="7:7" ht="15.75" customHeight="1">
      <c r="G999" s="54"/>
    </row>
    <row r="1000" spans="7:7" ht="15.75" customHeight="1">
      <c r="G1000" s="54"/>
    </row>
    <row r="1001" spans="7:7" ht="15.75" customHeight="1">
      <c r="G1001" s="54"/>
    </row>
    <row r="1002" spans="7:7" ht="15.75" customHeight="1">
      <c r="G1002" s="54"/>
    </row>
    <row r="1003" spans="7:7" ht="15.75" customHeight="1">
      <c r="G1003" s="54"/>
    </row>
    <row r="1004" spans="7:7" ht="15.75" customHeight="1">
      <c r="G1004" s="54"/>
    </row>
    <row r="1005" spans="7:7" ht="15.75" customHeight="1">
      <c r="G1005" s="54"/>
    </row>
    <row r="1006" spans="7:7" ht="15.75" customHeight="1">
      <c r="G1006" s="54"/>
    </row>
    <row r="1007" spans="7:7" ht="15.75" customHeight="1">
      <c r="G1007" s="54"/>
    </row>
    <row r="1008" spans="7:7" ht="15.75" customHeight="1">
      <c r="G1008" s="54"/>
    </row>
    <row r="1009" spans="7:7" ht="15.75" customHeight="1">
      <c r="G1009" s="54"/>
    </row>
    <row r="1010" spans="7:7" ht="15.75" customHeight="1">
      <c r="G1010" s="54"/>
    </row>
    <row r="1011" spans="7:7" ht="15.75" customHeight="1">
      <c r="G1011" s="54"/>
    </row>
    <row r="1012" spans="7:7" ht="15.75" customHeight="1">
      <c r="G1012" s="54"/>
    </row>
    <row r="1013" spans="7:7" ht="15.75" customHeight="1">
      <c r="G1013" s="54"/>
    </row>
    <row r="1014" spans="7:7" ht="15.75" customHeight="1">
      <c r="G1014" s="54"/>
    </row>
    <row r="1015" spans="7:7" ht="15.75" customHeight="1">
      <c r="G1015" s="54"/>
    </row>
    <row r="1016" spans="7:7" ht="15.75" customHeight="1">
      <c r="G1016" s="54"/>
    </row>
    <row r="1017" spans="7:7" ht="15.75" customHeight="1">
      <c r="G1017" s="54"/>
    </row>
    <row r="1018" spans="7:7" ht="15.75" customHeight="1">
      <c r="G1018" s="54"/>
    </row>
    <row r="1019" spans="7:7" ht="15.75" customHeight="1">
      <c r="G1019" s="54"/>
    </row>
    <row r="1020" spans="7:7" ht="15.75" customHeight="1">
      <c r="G1020" s="54"/>
    </row>
    <row r="1021" spans="7:7" ht="15.75" customHeight="1">
      <c r="G1021" s="54"/>
    </row>
    <row r="1022" spans="7:7" ht="15.75" customHeight="1">
      <c r="G1022" s="54"/>
    </row>
    <row r="1023" spans="7:7" ht="15.75" customHeight="1">
      <c r="G1023" s="54"/>
    </row>
    <row r="1024" spans="7:7" ht="15.75" customHeight="1">
      <c r="G1024" s="54"/>
    </row>
    <row r="1025" spans="7:7" ht="15.75" customHeight="1">
      <c r="G1025" s="54"/>
    </row>
    <row r="1026" spans="7:7" ht="15.75" customHeight="1">
      <c r="G1026" s="54"/>
    </row>
    <row r="1027" spans="7:7" ht="15.75" customHeight="1">
      <c r="G1027" s="54"/>
    </row>
    <row r="1028" spans="7:7" ht="15.75" customHeight="1">
      <c r="G1028" s="54"/>
    </row>
    <row r="1029" spans="7:7" ht="15.75" customHeight="1">
      <c r="G1029" s="54"/>
    </row>
    <row r="1030" spans="7:7" ht="15.75" customHeight="1">
      <c r="G1030" s="54"/>
    </row>
    <row r="1031" spans="7:7" ht="15.75" customHeight="1">
      <c r="G1031" s="54"/>
    </row>
    <row r="1032" spans="7:7" ht="15.75" customHeight="1">
      <c r="G1032" s="54"/>
    </row>
    <row r="1033" spans="7:7" ht="15.75" customHeight="1">
      <c r="G1033" s="54"/>
    </row>
    <row r="1034" spans="7:7" ht="15.75" customHeight="1">
      <c r="G1034" s="54"/>
    </row>
    <row r="1035" spans="7:7" ht="15.75" customHeight="1">
      <c r="G1035" s="54"/>
    </row>
    <row r="1036" spans="7:7" ht="15.75" customHeight="1">
      <c r="G1036" s="54"/>
    </row>
    <row r="1037" spans="7:7" ht="15.75" customHeight="1">
      <c r="G1037" s="54"/>
    </row>
    <row r="1038" spans="7:7" ht="15.75" customHeight="1">
      <c r="G1038" s="54"/>
    </row>
    <row r="1039" spans="7:7" ht="15.75" customHeight="1">
      <c r="G1039" s="54"/>
    </row>
    <row r="1040" spans="7:7" ht="15.75" customHeight="1">
      <c r="G1040" s="54"/>
    </row>
    <row r="1041" spans="7:7" ht="15.75" customHeight="1">
      <c r="G1041" s="54"/>
    </row>
    <row r="1042" spans="7:7" ht="15.75" customHeight="1">
      <c r="G1042" s="54"/>
    </row>
    <row r="1043" spans="7:7" ht="15.75" customHeight="1">
      <c r="G1043" s="54"/>
    </row>
    <row r="1044" spans="7:7" ht="15.75" customHeight="1">
      <c r="G1044" s="54"/>
    </row>
    <row r="1045" spans="7:7" ht="15.75" customHeight="1">
      <c r="G1045" s="54"/>
    </row>
    <row r="1046" spans="7:7" ht="15.75" customHeight="1">
      <c r="G1046" s="54"/>
    </row>
    <row r="1047" spans="7:7" ht="15.75" customHeight="1">
      <c r="G1047" s="54"/>
    </row>
    <row r="1048" spans="7:7" ht="15.75" customHeight="1">
      <c r="G1048" s="54"/>
    </row>
    <row r="1049" spans="7:7" ht="15.75" customHeight="1">
      <c r="G1049" s="54"/>
    </row>
    <row r="1050" spans="7:7" ht="15.75" customHeight="1">
      <c r="G1050" s="54"/>
    </row>
    <row r="1051" spans="7:7" ht="15.75" customHeight="1">
      <c r="G1051" s="54"/>
    </row>
    <row r="1052" spans="7:7" ht="15.75" customHeight="1">
      <c r="G1052" s="54"/>
    </row>
    <row r="1053" spans="7:7" ht="15.75" customHeight="1">
      <c r="G1053" s="54"/>
    </row>
    <row r="1054" spans="7:7" ht="15.75" customHeight="1">
      <c r="G1054" s="54"/>
    </row>
    <row r="1055" spans="7:7" ht="15.75" customHeight="1">
      <c r="G1055" s="54"/>
    </row>
    <row r="1056" spans="7:7" ht="15.75" customHeight="1">
      <c r="G1056" s="54"/>
    </row>
    <row r="1057" spans="7:7" ht="15.75" customHeight="1">
      <c r="G1057" s="54"/>
    </row>
    <row r="1058" spans="7:7" ht="15.75" customHeight="1">
      <c r="G1058" s="54"/>
    </row>
    <row r="1059" spans="7:7" ht="15.75" customHeight="1">
      <c r="G1059" s="54"/>
    </row>
    <row r="1060" spans="7:7" ht="15.75" customHeight="1">
      <c r="G1060" s="54"/>
    </row>
    <row r="1061" spans="7:7" ht="15.75" customHeight="1">
      <c r="G1061" s="54"/>
    </row>
    <row r="1062" spans="7:7" ht="15.75" customHeight="1">
      <c r="G1062" s="54"/>
    </row>
    <row r="1063" spans="7:7" ht="15.75" customHeight="1">
      <c r="G1063" s="54"/>
    </row>
    <row r="1064" spans="7:7" ht="15.75" customHeight="1">
      <c r="G1064" s="54"/>
    </row>
    <row r="1065" spans="7:7" ht="15.75" customHeight="1">
      <c r="G1065" s="54"/>
    </row>
    <row r="1066" spans="7:7" ht="15.75" customHeight="1">
      <c r="G1066" s="54"/>
    </row>
    <row r="1067" spans="7:7" ht="15.75" customHeight="1">
      <c r="G1067" s="54"/>
    </row>
    <row r="1068" spans="7:7" ht="15.75" customHeight="1">
      <c r="G1068" s="54"/>
    </row>
    <row r="1069" spans="7:7" ht="15.75" customHeight="1">
      <c r="G1069" s="54"/>
    </row>
    <row r="1070" spans="7:7" ht="15.75" customHeight="1">
      <c r="G1070" s="54"/>
    </row>
    <row r="1071" spans="7:7" ht="15.75" customHeight="1">
      <c r="G1071" s="54"/>
    </row>
    <row r="1072" spans="7:7" ht="15.75" customHeight="1">
      <c r="G1072" s="54"/>
    </row>
    <row r="1073" spans="7:7" ht="15.75" customHeight="1">
      <c r="G1073" s="54"/>
    </row>
    <row r="1074" spans="7:7" ht="15.75" customHeight="1">
      <c r="G1074" s="54"/>
    </row>
    <row r="1075" spans="7:7" ht="15.75" customHeight="1">
      <c r="G1075" s="54"/>
    </row>
    <row r="1076" spans="7:7" ht="15.75" customHeight="1">
      <c r="G1076" s="54"/>
    </row>
    <row r="1077" spans="7:7" ht="15.75" customHeight="1">
      <c r="G1077" s="54"/>
    </row>
    <row r="1078" spans="7:7" ht="15.75" customHeight="1">
      <c r="G1078" s="54"/>
    </row>
    <row r="1079" spans="7:7" ht="15.75" customHeight="1">
      <c r="G1079" s="54"/>
    </row>
    <row r="1080" spans="7:7" ht="15.75" customHeight="1">
      <c r="G1080" s="54"/>
    </row>
    <row r="1081" spans="7:7" ht="15.75" customHeight="1">
      <c r="G1081" s="54"/>
    </row>
    <row r="1082" spans="7:7" ht="15.75" customHeight="1">
      <c r="G1082" s="54"/>
    </row>
    <row r="1083" spans="7:7" ht="15.75" customHeight="1">
      <c r="G1083" s="54"/>
    </row>
    <row r="1084" spans="7:7" ht="15.75" customHeight="1">
      <c r="G1084" s="54"/>
    </row>
    <row r="1085" spans="7:7" ht="15.75" customHeight="1">
      <c r="G1085" s="54"/>
    </row>
    <row r="1086" spans="7:7" ht="15.75" customHeight="1">
      <c r="G1086" s="54"/>
    </row>
    <row r="1087" spans="7:7" ht="15.75" customHeight="1">
      <c r="G1087" s="54"/>
    </row>
    <row r="1088" spans="7:7" ht="15.75" customHeight="1">
      <c r="G1088" s="54"/>
    </row>
    <row r="1089" spans="7:7" ht="15.75" customHeight="1">
      <c r="G1089" s="54"/>
    </row>
    <row r="1090" spans="7:7" ht="15.75" customHeight="1">
      <c r="G1090" s="54"/>
    </row>
    <row r="1091" spans="7:7" ht="15.75" customHeight="1">
      <c r="G1091" s="54"/>
    </row>
    <row r="1092" spans="7:7" ht="15.75" customHeight="1">
      <c r="G1092" s="54"/>
    </row>
    <row r="1093" spans="7:7" ht="15.75" customHeight="1">
      <c r="G1093" s="54"/>
    </row>
    <row r="1094" spans="7:7" ht="15.75" customHeight="1">
      <c r="G1094" s="54"/>
    </row>
    <row r="1095" spans="7:7" ht="15.75" customHeight="1">
      <c r="G1095" s="54"/>
    </row>
  </sheetData>
  <hyperlinks>
    <hyperlink ref="I1" location="'Instruções'!A1" display="Dúvidas?"/>
    <hyperlink ref="C4" location="FORN!A1" display="FORNECEDORES "/>
  </hyperlinks>
  <pageMargins left="0.511811024" right="0.511811024" top="0.78740157499999996" bottom="0.78740157499999996" header="0" footer="0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dimension ref="A1:AA1002"/>
  <sheetViews>
    <sheetView showGridLines="0" topLeftCell="A322" zoomScaleNormal="100" workbookViewId="0">
      <selection activeCell="E342" sqref="E342"/>
    </sheetView>
  </sheetViews>
  <sheetFormatPr defaultColWidth="14.42578125" defaultRowHeight="15" customHeight="1"/>
  <cols>
    <col min="1" max="1" width="14.42578125" customWidth="1"/>
    <col min="2" max="2" width="18" customWidth="1"/>
    <col min="3" max="3" width="41.5703125" bestFit="1" customWidth="1"/>
    <col min="4" max="4" width="28.5703125" customWidth="1"/>
    <col min="5" max="5" width="22.85546875" style="111" customWidth="1"/>
    <col min="6" max="6" width="22.85546875" customWidth="1"/>
    <col min="7" max="8" width="24.42578125" customWidth="1"/>
    <col min="9" max="9" width="16.28515625" customWidth="1"/>
    <col min="10" max="27" width="8.7109375" customWidth="1"/>
  </cols>
  <sheetData>
    <row r="1" spans="1:27" ht="48.75" customHeight="1">
      <c r="A1" s="21"/>
      <c r="B1" s="22" t="s">
        <v>40</v>
      </c>
      <c r="D1" s="2"/>
      <c r="E1" s="23"/>
      <c r="F1" s="2"/>
      <c r="G1" s="2"/>
      <c r="H1" s="2"/>
      <c r="J1" s="24" t="s">
        <v>23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 ht="3.75" customHeight="1">
      <c r="A2" s="13"/>
      <c r="B2" s="13"/>
      <c r="C2" s="13"/>
      <c r="D2" s="13"/>
      <c r="E2" s="25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</row>
    <row r="4" spans="1:27" ht="15" customHeight="1">
      <c r="B4" s="30"/>
      <c r="C4" s="31"/>
      <c r="D4" s="31"/>
      <c r="E4" s="31"/>
      <c r="F4" s="31"/>
      <c r="G4" s="31"/>
      <c r="H4" s="31"/>
    </row>
    <row r="5" spans="1:27" ht="15" customHeight="1" thickBot="1">
      <c r="B5" s="30"/>
      <c r="C5" s="31"/>
      <c r="D5" s="31"/>
      <c r="E5" s="31"/>
      <c r="F5" s="31"/>
      <c r="G5" s="31"/>
      <c r="H5" s="31"/>
    </row>
    <row r="6" spans="1:27" ht="35.25" customHeight="1" thickBot="1">
      <c r="B6" s="64" t="s">
        <v>41</v>
      </c>
      <c r="C6" s="64" t="s">
        <v>42</v>
      </c>
      <c r="D6" s="64" t="s">
        <v>43</v>
      </c>
      <c r="E6" s="64" t="s">
        <v>44</v>
      </c>
      <c r="F6" s="58" t="s">
        <v>45</v>
      </c>
      <c r="G6" s="65" t="s">
        <v>46</v>
      </c>
      <c r="H6" s="66" t="s">
        <v>47</v>
      </c>
    </row>
    <row r="7" spans="1:27" ht="19.5" customHeight="1">
      <c r="B7" s="101">
        <v>46034</v>
      </c>
      <c r="C7" s="115" t="s">
        <v>66</v>
      </c>
      <c r="D7" s="107" t="s">
        <v>260</v>
      </c>
      <c r="E7" s="67"/>
      <c r="F7" s="68"/>
      <c r="G7" s="69"/>
      <c r="H7" s="70">
        <f t="shared" ref="H7:H75" si="0">F7*E7</f>
        <v>0</v>
      </c>
    </row>
    <row r="8" spans="1:27">
      <c r="B8" s="101">
        <v>46034</v>
      </c>
      <c r="C8" s="97" t="s">
        <v>92</v>
      </c>
      <c r="D8" s="107" t="s">
        <v>260</v>
      </c>
      <c r="E8" s="73">
        <v>42</v>
      </c>
      <c r="F8" s="68"/>
      <c r="G8" s="69"/>
      <c r="H8" s="71">
        <f t="shared" si="0"/>
        <v>0</v>
      </c>
    </row>
    <row r="9" spans="1:27">
      <c r="B9" s="101">
        <v>46034</v>
      </c>
      <c r="C9" s="97" t="s">
        <v>93</v>
      </c>
      <c r="D9" s="107" t="s">
        <v>260</v>
      </c>
      <c r="E9" s="73">
        <v>25</v>
      </c>
      <c r="F9" s="68"/>
      <c r="G9" s="74"/>
      <c r="H9" s="71">
        <f t="shared" si="0"/>
        <v>0</v>
      </c>
    </row>
    <row r="10" spans="1:27">
      <c r="B10" s="101">
        <v>46034</v>
      </c>
      <c r="C10" s="97" t="s">
        <v>94</v>
      </c>
      <c r="D10" s="107" t="s">
        <v>260</v>
      </c>
      <c r="E10" s="73">
        <v>26</v>
      </c>
      <c r="F10" s="68"/>
      <c r="G10" s="69"/>
      <c r="H10" s="71">
        <f t="shared" si="0"/>
        <v>0</v>
      </c>
    </row>
    <row r="11" spans="1:27">
      <c r="B11" s="101">
        <v>46034</v>
      </c>
      <c r="C11" s="97" t="s">
        <v>95</v>
      </c>
      <c r="D11" s="107" t="s">
        <v>260</v>
      </c>
      <c r="E11" s="73">
        <v>10</v>
      </c>
      <c r="F11" s="75"/>
      <c r="G11" s="74"/>
      <c r="H11" s="71">
        <f t="shared" si="0"/>
        <v>0</v>
      </c>
    </row>
    <row r="12" spans="1:27">
      <c r="B12" s="101">
        <v>46034</v>
      </c>
      <c r="C12" s="97" t="s">
        <v>96</v>
      </c>
      <c r="D12" s="107" t="s">
        <v>260</v>
      </c>
      <c r="E12" s="73">
        <v>4</v>
      </c>
      <c r="F12" s="75"/>
      <c r="G12" s="74"/>
      <c r="H12" s="71">
        <f t="shared" si="0"/>
        <v>0</v>
      </c>
    </row>
    <row r="13" spans="1:27">
      <c r="B13" s="101">
        <v>46034</v>
      </c>
      <c r="C13" s="97" t="s">
        <v>97</v>
      </c>
      <c r="D13" s="107" t="s">
        <v>260</v>
      </c>
      <c r="E13" s="73"/>
      <c r="F13" s="75"/>
      <c r="G13" s="74"/>
      <c r="H13" s="71">
        <f t="shared" si="0"/>
        <v>0</v>
      </c>
    </row>
    <row r="14" spans="1:27">
      <c r="B14" s="101">
        <v>46034</v>
      </c>
      <c r="C14" s="97" t="s">
        <v>98</v>
      </c>
      <c r="D14" s="107" t="s">
        <v>260</v>
      </c>
      <c r="E14" s="73"/>
      <c r="F14" s="75"/>
      <c r="G14" s="74"/>
      <c r="H14" s="71">
        <f t="shared" si="0"/>
        <v>0</v>
      </c>
    </row>
    <row r="15" spans="1:27">
      <c r="B15" s="101">
        <v>46034</v>
      </c>
      <c r="C15" s="106" t="s">
        <v>67</v>
      </c>
      <c r="D15" s="107" t="s">
        <v>260</v>
      </c>
      <c r="E15" s="73"/>
      <c r="F15" s="75"/>
      <c r="G15" s="74"/>
      <c r="H15" s="71">
        <f t="shared" si="0"/>
        <v>0</v>
      </c>
    </row>
    <row r="16" spans="1:27">
      <c r="B16" s="101">
        <v>46034</v>
      </c>
      <c r="C16" s="97" t="s">
        <v>99</v>
      </c>
      <c r="D16" s="107" t="s">
        <v>260</v>
      </c>
      <c r="E16" s="73"/>
      <c r="F16" s="75"/>
      <c r="G16" s="74"/>
      <c r="H16" s="71">
        <f t="shared" si="0"/>
        <v>0</v>
      </c>
    </row>
    <row r="17" spans="2:8">
      <c r="B17" s="101">
        <v>46034</v>
      </c>
      <c r="C17" s="97" t="s">
        <v>100</v>
      </c>
      <c r="D17" s="107" t="s">
        <v>260</v>
      </c>
      <c r="E17" s="73">
        <v>6</v>
      </c>
      <c r="F17" s="75"/>
      <c r="G17" s="74"/>
      <c r="H17" s="71">
        <f t="shared" si="0"/>
        <v>0</v>
      </c>
    </row>
    <row r="18" spans="2:8">
      <c r="B18" s="101">
        <v>46034</v>
      </c>
      <c r="C18" s="110" t="s">
        <v>101</v>
      </c>
      <c r="D18" s="107" t="s">
        <v>260</v>
      </c>
      <c r="E18" s="73">
        <v>13</v>
      </c>
      <c r="F18" s="75"/>
      <c r="G18" s="74"/>
      <c r="H18" s="71">
        <f t="shared" si="0"/>
        <v>0</v>
      </c>
    </row>
    <row r="19" spans="2:8">
      <c r="B19" s="101">
        <v>46034</v>
      </c>
      <c r="C19" s="97" t="s">
        <v>102</v>
      </c>
      <c r="D19" s="107" t="s">
        <v>260</v>
      </c>
      <c r="E19" s="73">
        <v>122</v>
      </c>
      <c r="F19" s="75"/>
      <c r="G19" s="74"/>
      <c r="H19" s="71">
        <f t="shared" si="0"/>
        <v>0</v>
      </c>
    </row>
    <row r="20" spans="2:8">
      <c r="B20" s="101">
        <v>46034</v>
      </c>
      <c r="C20" s="97" t="s">
        <v>103</v>
      </c>
      <c r="D20" s="107" t="s">
        <v>260</v>
      </c>
      <c r="E20" s="73">
        <v>154</v>
      </c>
      <c r="F20" s="75"/>
      <c r="G20" s="74"/>
      <c r="H20" s="71">
        <f t="shared" si="0"/>
        <v>0</v>
      </c>
    </row>
    <row r="21" spans="2:8" ht="15.75" customHeight="1">
      <c r="B21" s="101">
        <v>46034</v>
      </c>
      <c r="C21" s="97" t="s">
        <v>104</v>
      </c>
      <c r="D21" s="107" t="s">
        <v>260</v>
      </c>
      <c r="E21" s="73">
        <v>38</v>
      </c>
      <c r="F21" s="75"/>
      <c r="G21" s="74"/>
      <c r="H21" s="71">
        <f t="shared" si="0"/>
        <v>0</v>
      </c>
    </row>
    <row r="22" spans="2:8" ht="15.75" customHeight="1">
      <c r="B22" s="101">
        <v>46034</v>
      </c>
      <c r="C22" s="97" t="s">
        <v>105</v>
      </c>
      <c r="D22" s="107" t="s">
        <v>260</v>
      </c>
      <c r="E22" s="73">
        <v>19</v>
      </c>
      <c r="F22" s="75"/>
      <c r="G22" s="74"/>
      <c r="H22" s="71">
        <f t="shared" si="0"/>
        <v>0</v>
      </c>
    </row>
    <row r="23" spans="2:8" ht="15.75" customHeight="1">
      <c r="B23" s="101">
        <v>46034</v>
      </c>
      <c r="C23" s="106" t="s">
        <v>68</v>
      </c>
      <c r="D23" s="107" t="s">
        <v>260</v>
      </c>
      <c r="E23" s="73"/>
      <c r="F23" s="75"/>
      <c r="G23" s="74"/>
      <c r="H23" s="71">
        <f t="shared" si="0"/>
        <v>0</v>
      </c>
    </row>
    <row r="24" spans="2:8" s="129" customFormat="1" ht="15.75" customHeight="1">
      <c r="B24" s="101">
        <v>46034</v>
      </c>
      <c r="C24" s="97" t="s">
        <v>262</v>
      </c>
      <c r="D24" s="107" t="s">
        <v>260</v>
      </c>
      <c r="E24" s="73">
        <v>4</v>
      </c>
      <c r="F24" s="75"/>
      <c r="G24" s="74"/>
      <c r="H24" s="71"/>
    </row>
    <row r="25" spans="2:8" ht="15.75" customHeight="1">
      <c r="B25" s="101">
        <v>46034</v>
      </c>
      <c r="C25" s="97" t="s">
        <v>106</v>
      </c>
      <c r="D25" s="107" t="s">
        <v>260</v>
      </c>
      <c r="E25" s="73">
        <v>4</v>
      </c>
      <c r="F25" s="75"/>
      <c r="G25" s="74"/>
      <c r="H25" s="71">
        <f t="shared" si="0"/>
        <v>0</v>
      </c>
    </row>
    <row r="26" spans="2:8" ht="15.75" customHeight="1">
      <c r="B26" s="101">
        <v>46034</v>
      </c>
      <c r="C26" s="97" t="s">
        <v>107</v>
      </c>
      <c r="D26" s="107" t="s">
        <v>260</v>
      </c>
      <c r="E26" s="73">
        <v>24</v>
      </c>
      <c r="F26" s="75"/>
      <c r="G26" s="74"/>
      <c r="H26" s="71">
        <f t="shared" si="0"/>
        <v>0</v>
      </c>
    </row>
    <row r="27" spans="2:8" ht="15.75" customHeight="1">
      <c r="B27" s="101">
        <v>46034</v>
      </c>
      <c r="C27" s="97" t="s">
        <v>108</v>
      </c>
      <c r="D27" s="107" t="s">
        <v>260</v>
      </c>
      <c r="E27" s="102">
        <v>40</v>
      </c>
      <c r="F27" s="75"/>
      <c r="G27" s="74"/>
      <c r="H27" s="71">
        <f t="shared" si="0"/>
        <v>0</v>
      </c>
    </row>
    <row r="28" spans="2:8" ht="15.75" customHeight="1">
      <c r="B28" s="101">
        <v>46034</v>
      </c>
      <c r="C28" s="97" t="s">
        <v>109</v>
      </c>
      <c r="D28" s="107" t="s">
        <v>260</v>
      </c>
      <c r="E28" s="73">
        <v>47</v>
      </c>
      <c r="F28" s="75"/>
      <c r="G28" s="74"/>
      <c r="H28" s="71">
        <f t="shared" si="0"/>
        <v>0</v>
      </c>
    </row>
    <row r="29" spans="2:8" ht="15.75" customHeight="1">
      <c r="B29" s="101">
        <v>46034</v>
      </c>
      <c r="C29" s="97" t="s">
        <v>110</v>
      </c>
      <c r="D29" s="107" t="s">
        <v>260</v>
      </c>
      <c r="E29" s="73">
        <v>25</v>
      </c>
      <c r="F29" s="75"/>
      <c r="G29" s="74"/>
      <c r="H29" s="71">
        <f t="shared" si="0"/>
        <v>0</v>
      </c>
    </row>
    <row r="30" spans="2:8" ht="15.75" customHeight="1">
      <c r="B30" s="101">
        <v>46034</v>
      </c>
      <c r="C30" s="97" t="s">
        <v>111</v>
      </c>
      <c r="D30" s="107" t="s">
        <v>260</v>
      </c>
      <c r="E30" s="73">
        <v>7</v>
      </c>
      <c r="F30" s="75"/>
      <c r="G30" s="74"/>
      <c r="H30" s="71">
        <f t="shared" si="0"/>
        <v>0</v>
      </c>
    </row>
    <row r="31" spans="2:8">
      <c r="B31" s="101">
        <v>46034</v>
      </c>
      <c r="C31" s="97" t="s">
        <v>112</v>
      </c>
      <c r="D31" s="107" t="s">
        <v>260</v>
      </c>
      <c r="E31" s="73">
        <v>1</v>
      </c>
      <c r="F31" s="75"/>
      <c r="G31" s="74"/>
      <c r="H31" s="71">
        <f t="shared" si="0"/>
        <v>0</v>
      </c>
    </row>
    <row r="32" spans="2:8" s="129" customFormat="1">
      <c r="B32" s="101">
        <v>46034</v>
      </c>
      <c r="C32" s="97" t="s">
        <v>261</v>
      </c>
      <c r="D32" s="107" t="s">
        <v>260</v>
      </c>
      <c r="E32" s="73">
        <v>1</v>
      </c>
      <c r="F32" s="75"/>
      <c r="G32" s="74"/>
      <c r="H32" s="71">
        <f t="shared" si="0"/>
        <v>0</v>
      </c>
    </row>
    <row r="33" spans="2:8" ht="15.75" customHeight="1">
      <c r="B33" s="101">
        <v>46034</v>
      </c>
      <c r="C33" s="106" t="s">
        <v>90</v>
      </c>
      <c r="D33" s="107" t="s">
        <v>260</v>
      </c>
      <c r="E33" s="73"/>
      <c r="F33" s="75"/>
      <c r="G33" s="74"/>
      <c r="H33" s="71">
        <f t="shared" si="0"/>
        <v>0</v>
      </c>
    </row>
    <row r="34" spans="2:8" ht="15.75" customHeight="1">
      <c r="B34" s="101">
        <v>46034</v>
      </c>
      <c r="C34" s="97" t="s">
        <v>113</v>
      </c>
      <c r="D34" s="107" t="s">
        <v>260</v>
      </c>
      <c r="E34" s="73">
        <v>3</v>
      </c>
      <c r="F34" s="75"/>
      <c r="G34" s="74"/>
      <c r="H34" s="71">
        <f t="shared" si="0"/>
        <v>0</v>
      </c>
    </row>
    <row r="35" spans="2:8" s="129" customFormat="1" ht="15.75" customHeight="1">
      <c r="B35" s="101">
        <v>46034</v>
      </c>
      <c r="C35" s="97" t="s">
        <v>263</v>
      </c>
      <c r="D35" s="107" t="s">
        <v>260</v>
      </c>
      <c r="E35" s="73">
        <v>5</v>
      </c>
      <c r="F35" s="75"/>
      <c r="G35" s="74"/>
      <c r="H35" s="71">
        <f t="shared" si="0"/>
        <v>0</v>
      </c>
    </row>
    <row r="36" spans="2:8" ht="15.75" customHeight="1">
      <c r="B36" s="101">
        <v>46034</v>
      </c>
      <c r="C36" s="97" t="s">
        <v>114</v>
      </c>
      <c r="D36" s="107" t="s">
        <v>260</v>
      </c>
      <c r="E36" s="73">
        <v>4</v>
      </c>
      <c r="F36" s="75"/>
      <c r="G36" s="74"/>
      <c r="H36" s="71">
        <f t="shared" si="0"/>
        <v>0</v>
      </c>
    </row>
    <row r="37" spans="2:8" s="129" customFormat="1" ht="15.75" customHeight="1">
      <c r="B37" s="101">
        <v>46034</v>
      </c>
      <c r="C37" s="97" t="s">
        <v>264</v>
      </c>
      <c r="D37" s="107" t="s">
        <v>260</v>
      </c>
      <c r="E37" s="73">
        <v>5</v>
      </c>
      <c r="F37" s="75"/>
      <c r="G37" s="74"/>
      <c r="H37" s="71">
        <f t="shared" si="0"/>
        <v>0</v>
      </c>
    </row>
    <row r="38" spans="2:8" ht="15.75" customHeight="1">
      <c r="B38" s="101">
        <v>46034</v>
      </c>
      <c r="C38" s="97" t="s">
        <v>115</v>
      </c>
      <c r="D38" s="107" t="s">
        <v>260</v>
      </c>
      <c r="E38" s="73">
        <v>4</v>
      </c>
      <c r="F38" s="75"/>
      <c r="G38" s="74"/>
      <c r="H38" s="71">
        <f t="shared" si="0"/>
        <v>0</v>
      </c>
    </row>
    <row r="39" spans="2:8" s="129" customFormat="1" ht="15.75" customHeight="1">
      <c r="B39" s="101">
        <v>46034</v>
      </c>
      <c r="C39" s="97" t="s">
        <v>265</v>
      </c>
      <c r="D39" s="107" t="s">
        <v>260</v>
      </c>
      <c r="E39" s="73">
        <v>4</v>
      </c>
      <c r="F39" s="75"/>
      <c r="G39" s="74"/>
      <c r="H39" s="71">
        <f t="shared" si="0"/>
        <v>0</v>
      </c>
    </row>
    <row r="40" spans="2:8" ht="15.75" customHeight="1">
      <c r="B40" s="101">
        <v>46034</v>
      </c>
      <c r="C40" s="106" t="s">
        <v>69</v>
      </c>
      <c r="D40" s="107" t="s">
        <v>260</v>
      </c>
      <c r="E40" s="73"/>
      <c r="F40" s="75"/>
      <c r="G40" s="74"/>
      <c r="H40" s="71">
        <f t="shared" si="0"/>
        <v>0</v>
      </c>
    </row>
    <row r="41" spans="2:8" ht="15.75" customHeight="1">
      <c r="B41" s="101">
        <v>46034</v>
      </c>
      <c r="C41" s="97" t="s">
        <v>116</v>
      </c>
      <c r="D41" s="107" t="s">
        <v>260</v>
      </c>
      <c r="E41" s="73">
        <v>6</v>
      </c>
      <c r="F41" s="75"/>
      <c r="G41" s="74"/>
      <c r="H41" s="71">
        <f t="shared" si="0"/>
        <v>0</v>
      </c>
    </row>
    <row r="42" spans="2:8" ht="15.75" customHeight="1">
      <c r="B42" s="101">
        <v>46034</v>
      </c>
      <c r="C42" s="97" t="s">
        <v>117</v>
      </c>
      <c r="D42" s="107" t="s">
        <v>260</v>
      </c>
      <c r="E42" s="73">
        <v>6</v>
      </c>
      <c r="F42" s="75"/>
      <c r="G42" s="74"/>
      <c r="H42" s="71">
        <f t="shared" si="0"/>
        <v>0</v>
      </c>
    </row>
    <row r="43" spans="2:8" ht="15.75" customHeight="1">
      <c r="B43" s="101">
        <v>46034</v>
      </c>
      <c r="C43" s="97" t="s">
        <v>118</v>
      </c>
      <c r="D43" s="107" t="s">
        <v>260</v>
      </c>
      <c r="E43" s="73">
        <v>7</v>
      </c>
      <c r="F43" s="75"/>
      <c r="G43" s="74"/>
      <c r="H43" s="71">
        <f t="shared" si="0"/>
        <v>0</v>
      </c>
    </row>
    <row r="44" spans="2:8" ht="15.75" customHeight="1">
      <c r="B44" s="101">
        <v>46034</v>
      </c>
      <c r="C44" s="97" t="s">
        <v>119</v>
      </c>
      <c r="D44" s="107" t="s">
        <v>260</v>
      </c>
      <c r="E44" s="73">
        <v>9</v>
      </c>
      <c r="F44" s="75"/>
      <c r="G44" s="74"/>
      <c r="H44" s="71">
        <f t="shared" si="0"/>
        <v>0</v>
      </c>
    </row>
    <row r="45" spans="2:8" s="155" customFormat="1" ht="15.75" customHeight="1">
      <c r="B45" s="156">
        <v>46034</v>
      </c>
      <c r="C45" s="112" t="s">
        <v>120</v>
      </c>
      <c r="D45" s="110" t="s">
        <v>260</v>
      </c>
      <c r="E45" s="157">
        <v>9</v>
      </c>
      <c r="F45" s="158"/>
      <c r="G45" s="159"/>
      <c r="H45" s="160">
        <f t="shared" si="0"/>
        <v>0</v>
      </c>
    </row>
    <row r="46" spans="2:8" ht="15.75" customHeight="1">
      <c r="B46" s="101">
        <v>46034</v>
      </c>
      <c r="C46" s="97" t="s">
        <v>121</v>
      </c>
      <c r="D46" s="107" t="s">
        <v>260</v>
      </c>
      <c r="E46" s="73">
        <v>4</v>
      </c>
      <c r="F46" s="75"/>
      <c r="G46" s="74"/>
      <c r="H46" s="71">
        <f t="shared" si="0"/>
        <v>0</v>
      </c>
    </row>
    <row r="47" spans="2:8" ht="15.75" customHeight="1">
      <c r="B47" s="101">
        <v>46034</v>
      </c>
      <c r="C47" s="97" t="s">
        <v>122</v>
      </c>
      <c r="D47" s="107" t="s">
        <v>260</v>
      </c>
      <c r="E47" s="73"/>
      <c r="F47" s="75"/>
      <c r="G47" s="74"/>
      <c r="H47" s="71">
        <f t="shared" si="0"/>
        <v>0</v>
      </c>
    </row>
    <row r="48" spans="2:8" ht="15.75" customHeight="1">
      <c r="B48" s="101">
        <v>46034</v>
      </c>
      <c r="C48" s="106" t="s">
        <v>70</v>
      </c>
      <c r="D48" s="107" t="s">
        <v>260</v>
      </c>
      <c r="E48" s="73"/>
      <c r="F48" s="75"/>
      <c r="G48" s="74"/>
      <c r="H48" s="71">
        <f t="shared" si="0"/>
        <v>0</v>
      </c>
    </row>
    <row r="49" spans="2:8" ht="15.75" customHeight="1">
      <c r="B49" s="101">
        <v>46034</v>
      </c>
      <c r="C49" s="97" t="s">
        <v>123</v>
      </c>
      <c r="D49" s="107" t="s">
        <v>260</v>
      </c>
      <c r="E49" s="73">
        <v>6</v>
      </c>
      <c r="F49" s="75"/>
      <c r="G49" s="74"/>
      <c r="H49" s="71">
        <f t="shared" si="0"/>
        <v>0</v>
      </c>
    </row>
    <row r="50" spans="2:8" ht="15.75" customHeight="1">
      <c r="B50" s="101">
        <v>46034</v>
      </c>
      <c r="C50" s="97" t="s">
        <v>124</v>
      </c>
      <c r="D50" s="107" t="s">
        <v>260</v>
      </c>
      <c r="E50" s="73">
        <v>4</v>
      </c>
      <c r="F50" s="75"/>
      <c r="G50" s="74"/>
      <c r="H50" s="71">
        <f t="shared" si="0"/>
        <v>0</v>
      </c>
    </row>
    <row r="51" spans="2:8" ht="15.75" customHeight="1">
      <c r="B51" s="101">
        <v>46034</v>
      </c>
      <c r="C51" s="97" t="s">
        <v>125</v>
      </c>
      <c r="D51" s="107" t="s">
        <v>260</v>
      </c>
      <c r="E51" s="73">
        <v>8</v>
      </c>
      <c r="F51" s="75"/>
      <c r="G51" s="74"/>
      <c r="H51" s="71">
        <f t="shared" si="0"/>
        <v>0</v>
      </c>
    </row>
    <row r="52" spans="2:8" ht="15.75" customHeight="1">
      <c r="B52" s="101">
        <v>46034</v>
      </c>
      <c r="C52" s="97" t="s">
        <v>126</v>
      </c>
      <c r="D52" s="107" t="s">
        <v>260</v>
      </c>
      <c r="E52" s="73">
        <v>7</v>
      </c>
      <c r="F52" s="75"/>
      <c r="G52" s="74"/>
      <c r="H52" s="71">
        <f t="shared" si="0"/>
        <v>0</v>
      </c>
    </row>
    <row r="53" spans="2:8" ht="15.75" customHeight="1">
      <c r="B53" s="101">
        <v>46034</v>
      </c>
      <c r="C53" s="97" t="s">
        <v>127</v>
      </c>
      <c r="D53" s="107" t="s">
        <v>260</v>
      </c>
      <c r="E53" s="73">
        <v>8</v>
      </c>
      <c r="F53" s="75"/>
      <c r="G53" s="74"/>
      <c r="H53" s="71">
        <f t="shared" si="0"/>
        <v>0</v>
      </c>
    </row>
    <row r="54" spans="2:8" ht="15.75" customHeight="1">
      <c r="B54" s="101">
        <v>46034</v>
      </c>
      <c r="C54" s="97" t="s">
        <v>128</v>
      </c>
      <c r="D54" s="107" t="s">
        <v>260</v>
      </c>
      <c r="E54" s="73">
        <v>8</v>
      </c>
      <c r="F54" s="75"/>
      <c r="G54" s="74"/>
      <c r="H54" s="71">
        <f t="shared" si="0"/>
        <v>0</v>
      </c>
    </row>
    <row r="55" spans="2:8" ht="15.75" customHeight="1">
      <c r="B55" s="101">
        <v>46034</v>
      </c>
      <c r="C55" s="97" t="s">
        <v>129</v>
      </c>
      <c r="D55" s="107" t="s">
        <v>260</v>
      </c>
      <c r="E55" s="73">
        <v>5</v>
      </c>
      <c r="F55" s="75"/>
      <c r="G55" s="74"/>
      <c r="H55" s="71">
        <f t="shared" si="0"/>
        <v>0</v>
      </c>
    </row>
    <row r="56" spans="2:8" ht="15.75" customHeight="1">
      <c r="B56" s="101">
        <v>46034</v>
      </c>
      <c r="C56" s="110" t="s">
        <v>130</v>
      </c>
      <c r="D56" s="107" t="s">
        <v>260</v>
      </c>
      <c r="E56" s="73"/>
      <c r="F56" s="75"/>
      <c r="G56" s="74"/>
      <c r="H56" s="71">
        <f t="shared" si="0"/>
        <v>0</v>
      </c>
    </row>
    <row r="57" spans="2:8" ht="15.75" customHeight="1">
      <c r="B57" s="101">
        <v>46034</v>
      </c>
      <c r="C57" s="97" t="s">
        <v>131</v>
      </c>
      <c r="D57" s="107" t="s">
        <v>260</v>
      </c>
      <c r="E57" s="73">
        <v>5</v>
      </c>
      <c r="F57" s="75"/>
      <c r="G57" s="74"/>
      <c r="H57" s="71">
        <f t="shared" si="0"/>
        <v>0</v>
      </c>
    </row>
    <row r="58" spans="2:8" ht="15.75" customHeight="1">
      <c r="B58" s="101">
        <v>46034</v>
      </c>
      <c r="C58" s="97" t="s">
        <v>132</v>
      </c>
      <c r="D58" s="107" t="s">
        <v>260</v>
      </c>
      <c r="E58" s="73">
        <v>4</v>
      </c>
      <c r="F58" s="75"/>
      <c r="G58" s="74"/>
      <c r="H58" s="71">
        <f t="shared" si="0"/>
        <v>0</v>
      </c>
    </row>
    <row r="59" spans="2:8" ht="15.75" customHeight="1">
      <c r="B59" s="101">
        <v>46034</v>
      </c>
      <c r="C59" s="97" t="s">
        <v>133</v>
      </c>
      <c r="D59" s="107" t="s">
        <v>260</v>
      </c>
      <c r="E59" s="73">
        <v>5</v>
      </c>
      <c r="F59" s="75"/>
      <c r="G59" s="74"/>
      <c r="H59" s="71">
        <f t="shared" si="0"/>
        <v>0</v>
      </c>
    </row>
    <row r="60" spans="2:8" ht="15.75" customHeight="1">
      <c r="B60" s="101">
        <v>46034</v>
      </c>
      <c r="C60" s="106" t="s">
        <v>71</v>
      </c>
      <c r="D60" s="107" t="s">
        <v>260</v>
      </c>
      <c r="E60" s="73"/>
      <c r="F60" s="75"/>
      <c r="G60" s="74"/>
      <c r="H60" s="71">
        <f t="shared" si="0"/>
        <v>0</v>
      </c>
    </row>
    <row r="61" spans="2:8" ht="15.75" customHeight="1">
      <c r="B61" s="101">
        <v>46034</v>
      </c>
      <c r="C61" s="97" t="s">
        <v>134</v>
      </c>
      <c r="D61" s="107" t="s">
        <v>260</v>
      </c>
      <c r="E61" s="73">
        <v>3</v>
      </c>
      <c r="F61" s="75"/>
      <c r="G61" s="74"/>
      <c r="H61" s="71">
        <f t="shared" si="0"/>
        <v>0</v>
      </c>
    </row>
    <row r="62" spans="2:8" ht="15.75" customHeight="1">
      <c r="B62" s="101">
        <v>46034</v>
      </c>
      <c r="C62" s="97" t="s">
        <v>137</v>
      </c>
      <c r="D62" s="107" t="s">
        <v>260</v>
      </c>
      <c r="E62" s="73">
        <v>6</v>
      </c>
      <c r="F62" s="75"/>
      <c r="G62" s="74"/>
      <c r="H62" s="71">
        <f t="shared" si="0"/>
        <v>0</v>
      </c>
    </row>
    <row r="63" spans="2:8" ht="15.75" customHeight="1">
      <c r="B63" s="101">
        <v>46034</v>
      </c>
      <c r="C63" s="97" t="s">
        <v>136</v>
      </c>
      <c r="D63" s="107" t="s">
        <v>260</v>
      </c>
      <c r="E63" s="73">
        <v>5</v>
      </c>
      <c r="F63" s="75"/>
      <c r="G63" s="74"/>
      <c r="H63" s="71">
        <f t="shared" si="0"/>
        <v>0</v>
      </c>
    </row>
    <row r="64" spans="2:8" ht="15.75" customHeight="1">
      <c r="B64" s="101">
        <v>46034</v>
      </c>
      <c r="C64" s="97" t="s">
        <v>135</v>
      </c>
      <c r="D64" s="107" t="s">
        <v>260</v>
      </c>
      <c r="E64" s="102"/>
      <c r="F64" s="75"/>
      <c r="G64" s="74"/>
      <c r="H64" s="71">
        <f t="shared" si="0"/>
        <v>0</v>
      </c>
    </row>
    <row r="65" spans="2:8" ht="15.75" customHeight="1">
      <c r="B65" s="101">
        <v>46034</v>
      </c>
      <c r="C65" s="97" t="s">
        <v>138</v>
      </c>
      <c r="D65" s="107" t="s">
        <v>260</v>
      </c>
      <c r="E65" s="102">
        <v>5</v>
      </c>
      <c r="F65" s="75"/>
      <c r="G65" s="74"/>
      <c r="H65" s="71">
        <f t="shared" si="0"/>
        <v>0</v>
      </c>
    </row>
    <row r="66" spans="2:8" ht="15.75" customHeight="1">
      <c r="B66" s="101">
        <v>46034</v>
      </c>
      <c r="C66" s="97" t="s">
        <v>139</v>
      </c>
      <c r="D66" s="107" t="s">
        <v>260</v>
      </c>
      <c r="E66" s="102"/>
      <c r="F66" s="75"/>
      <c r="G66" s="74"/>
      <c r="H66" s="71">
        <f t="shared" si="0"/>
        <v>0</v>
      </c>
    </row>
    <row r="67" spans="2:8" ht="15.75" customHeight="1">
      <c r="B67" s="101">
        <v>46034</v>
      </c>
      <c r="C67" s="106" t="s">
        <v>72</v>
      </c>
      <c r="D67" s="107" t="s">
        <v>260</v>
      </c>
      <c r="E67" s="102"/>
      <c r="F67" s="75"/>
      <c r="G67" s="74"/>
      <c r="H67" s="71">
        <f t="shared" si="0"/>
        <v>0</v>
      </c>
    </row>
    <row r="68" spans="2:8" ht="15.75" customHeight="1">
      <c r="B68" s="101">
        <v>46034</v>
      </c>
      <c r="C68" s="97" t="s">
        <v>140</v>
      </c>
      <c r="D68" s="107" t="s">
        <v>260</v>
      </c>
      <c r="E68" s="102"/>
      <c r="F68" s="75"/>
      <c r="G68" s="74"/>
      <c r="H68" s="71">
        <f t="shared" si="0"/>
        <v>0</v>
      </c>
    </row>
    <row r="69" spans="2:8" s="131" customFormat="1" ht="15.75" customHeight="1">
      <c r="B69" s="101">
        <v>46034</v>
      </c>
      <c r="C69" s="97" t="s">
        <v>141</v>
      </c>
      <c r="D69" s="107" t="s">
        <v>260</v>
      </c>
      <c r="E69" s="102">
        <v>1</v>
      </c>
      <c r="F69" s="75"/>
      <c r="G69" s="74"/>
      <c r="H69" s="71">
        <f t="shared" si="0"/>
        <v>0</v>
      </c>
    </row>
    <row r="70" spans="2:8" ht="15.75" customHeight="1">
      <c r="B70" s="101">
        <v>46034</v>
      </c>
      <c r="C70" s="97" t="s">
        <v>142</v>
      </c>
      <c r="D70" s="107" t="s">
        <v>260</v>
      </c>
      <c r="E70" s="102"/>
      <c r="F70" s="75"/>
      <c r="G70" s="74"/>
      <c r="H70" s="71">
        <f t="shared" si="0"/>
        <v>0</v>
      </c>
    </row>
    <row r="71" spans="2:8" ht="15.75" customHeight="1">
      <c r="B71" s="101">
        <v>46034</v>
      </c>
      <c r="C71" s="106" t="s">
        <v>73</v>
      </c>
      <c r="D71" s="107" t="s">
        <v>260</v>
      </c>
      <c r="E71" s="102"/>
      <c r="F71" s="75"/>
      <c r="G71" s="74"/>
      <c r="H71" s="71">
        <f t="shared" si="0"/>
        <v>0</v>
      </c>
    </row>
    <row r="72" spans="2:8" ht="15.75" customHeight="1">
      <c r="B72" s="101">
        <v>46034</v>
      </c>
      <c r="C72" s="116" t="s">
        <v>143</v>
      </c>
      <c r="D72" s="107" t="s">
        <v>260</v>
      </c>
      <c r="E72" s="102">
        <v>1</v>
      </c>
      <c r="F72" s="75"/>
      <c r="G72" s="74"/>
      <c r="H72" s="71">
        <f t="shared" si="0"/>
        <v>0</v>
      </c>
    </row>
    <row r="73" spans="2:8" ht="15.75" customHeight="1">
      <c r="B73" s="101">
        <v>46034</v>
      </c>
      <c r="C73" s="97" t="s">
        <v>144</v>
      </c>
      <c r="D73" s="107" t="s">
        <v>260</v>
      </c>
      <c r="E73" s="102">
        <v>4</v>
      </c>
      <c r="F73" s="75"/>
      <c r="G73" s="74"/>
      <c r="H73" s="71">
        <f t="shared" si="0"/>
        <v>0</v>
      </c>
    </row>
    <row r="74" spans="2:8" ht="15.75" customHeight="1">
      <c r="B74" s="101">
        <v>46034</v>
      </c>
      <c r="C74" s="97" t="s">
        <v>145</v>
      </c>
      <c r="D74" s="107" t="s">
        <v>260</v>
      </c>
      <c r="E74" s="102">
        <v>3</v>
      </c>
      <c r="F74" s="75"/>
      <c r="G74" s="74"/>
      <c r="H74" s="71">
        <f t="shared" si="0"/>
        <v>0</v>
      </c>
    </row>
    <row r="75" spans="2:8" ht="15.75" customHeight="1">
      <c r="B75" s="101">
        <v>46034</v>
      </c>
      <c r="C75" s="97" t="s">
        <v>146</v>
      </c>
      <c r="D75" s="107" t="s">
        <v>260</v>
      </c>
      <c r="E75" s="102">
        <v>7</v>
      </c>
      <c r="F75" s="75"/>
      <c r="G75" s="74"/>
      <c r="H75" s="71">
        <f t="shared" si="0"/>
        <v>0</v>
      </c>
    </row>
    <row r="76" spans="2:8" ht="15.75" customHeight="1">
      <c r="B76" s="101">
        <v>46034</v>
      </c>
      <c r="C76" s="97" t="s">
        <v>147</v>
      </c>
      <c r="D76" s="107" t="s">
        <v>260</v>
      </c>
      <c r="E76" s="102"/>
      <c r="F76" s="75"/>
      <c r="G76" s="74"/>
      <c r="H76" s="71">
        <f t="shared" ref="H76:H142" si="1">F76*E76</f>
        <v>0</v>
      </c>
    </row>
    <row r="77" spans="2:8" ht="15.75" customHeight="1">
      <c r="B77" s="101">
        <v>46034</v>
      </c>
      <c r="C77" s="97" t="s">
        <v>148</v>
      </c>
      <c r="D77" s="107" t="s">
        <v>260</v>
      </c>
      <c r="E77" s="102">
        <v>4</v>
      </c>
      <c r="F77" s="75"/>
      <c r="G77" s="74"/>
      <c r="H77" s="71">
        <f t="shared" si="1"/>
        <v>0</v>
      </c>
    </row>
    <row r="78" spans="2:8" ht="15.75" customHeight="1">
      <c r="B78" s="101">
        <v>46034</v>
      </c>
      <c r="C78" s="97" t="s">
        <v>149</v>
      </c>
      <c r="D78" s="107" t="s">
        <v>260</v>
      </c>
      <c r="E78" s="102"/>
      <c r="F78" s="75"/>
      <c r="G78" s="74"/>
      <c r="H78" s="71">
        <f t="shared" si="1"/>
        <v>0</v>
      </c>
    </row>
    <row r="79" spans="2:8" ht="15.75" customHeight="1">
      <c r="B79" s="101">
        <v>46034</v>
      </c>
      <c r="C79" s="118" t="s">
        <v>74</v>
      </c>
      <c r="D79" s="107" t="s">
        <v>260</v>
      </c>
      <c r="E79" s="102"/>
      <c r="F79" s="75"/>
      <c r="G79" s="74"/>
      <c r="H79" s="71">
        <f t="shared" si="1"/>
        <v>0</v>
      </c>
    </row>
    <row r="80" spans="2:8" ht="15.75" customHeight="1">
      <c r="B80" s="101">
        <v>46034</v>
      </c>
      <c r="C80" s="117" t="s">
        <v>150</v>
      </c>
      <c r="D80" s="107" t="s">
        <v>260</v>
      </c>
      <c r="E80" s="102">
        <v>8</v>
      </c>
      <c r="F80" s="75"/>
      <c r="G80" s="74"/>
      <c r="H80" s="71">
        <f t="shared" si="1"/>
        <v>0</v>
      </c>
    </row>
    <row r="81" spans="2:8" ht="15.75" customHeight="1">
      <c r="B81" s="101">
        <v>46034</v>
      </c>
      <c r="C81" s="72" t="s">
        <v>151</v>
      </c>
      <c r="D81" s="107" t="s">
        <v>260</v>
      </c>
      <c r="E81" s="102">
        <v>21</v>
      </c>
      <c r="F81" s="75"/>
      <c r="G81" s="74"/>
      <c r="H81" s="71">
        <f t="shared" si="1"/>
        <v>0</v>
      </c>
    </row>
    <row r="82" spans="2:8" ht="15.75" customHeight="1">
      <c r="B82" s="101">
        <v>46034</v>
      </c>
      <c r="C82" s="97" t="s">
        <v>152</v>
      </c>
      <c r="D82" s="107" t="s">
        <v>260</v>
      </c>
      <c r="E82" s="102">
        <v>16</v>
      </c>
      <c r="F82" s="75"/>
      <c r="G82" s="74"/>
      <c r="H82" s="71">
        <f t="shared" si="1"/>
        <v>0</v>
      </c>
    </row>
    <row r="83" spans="2:8" ht="15.75" customHeight="1">
      <c r="B83" s="101">
        <v>46034</v>
      </c>
      <c r="C83" s="97" t="s">
        <v>153</v>
      </c>
      <c r="D83" s="107" t="s">
        <v>260</v>
      </c>
      <c r="E83" s="102">
        <v>4</v>
      </c>
      <c r="F83" s="75"/>
      <c r="G83" s="74"/>
      <c r="H83" s="71">
        <f t="shared" si="1"/>
        <v>0</v>
      </c>
    </row>
    <row r="84" spans="2:8" ht="15.75" customHeight="1">
      <c r="B84" s="101">
        <v>46034</v>
      </c>
      <c r="C84" s="97" t="s">
        <v>154</v>
      </c>
      <c r="D84" s="107" t="s">
        <v>260</v>
      </c>
      <c r="E84" s="102">
        <v>5</v>
      </c>
      <c r="F84" s="75"/>
      <c r="G84" s="74"/>
      <c r="H84" s="71">
        <f t="shared" si="1"/>
        <v>0</v>
      </c>
    </row>
    <row r="85" spans="2:8" ht="15.75" customHeight="1">
      <c r="B85" s="101">
        <v>46034</v>
      </c>
      <c r="C85" s="97" t="s">
        <v>155</v>
      </c>
      <c r="D85" s="107" t="s">
        <v>260</v>
      </c>
      <c r="E85" s="102">
        <v>10</v>
      </c>
      <c r="F85" s="75"/>
      <c r="G85" s="74"/>
      <c r="H85" s="71">
        <f t="shared" si="1"/>
        <v>0</v>
      </c>
    </row>
    <row r="86" spans="2:8" ht="15.75" customHeight="1">
      <c r="B86" s="101">
        <v>46034</v>
      </c>
      <c r="C86" s="106" t="s">
        <v>75</v>
      </c>
      <c r="D86" s="107" t="s">
        <v>260</v>
      </c>
      <c r="E86" s="102"/>
      <c r="F86" s="75"/>
      <c r="G86" s="74"/>
      <c r="H86" s="71">
        <f t="shared" si="1"/>
        <v>0</v>
      </c>
    </row>
    <row r="87" spans="2:8" ht="15.75" customHeight="1">
      <c r="B87" s="101">
        <v>46034</v>
      </c>
      <c r="C87" s="97" t="s">
        <v>156</v>
      </c>
      <c r="D87" s="107" t="s">
        <v>260</v>
      </c>
      <c r="E87" s="102">
        <v>8</v>
      </c>
      <c r="F87" s="75"/>
      <c r="G87" s="74"/>
      <c r="H87" s="71">
        <f t="shared" si="1"/>
        <v>0</v>
      </c>
    </row>
    <row r="88" spans="2:8" ht="15.75" customHeight="1">
      <c r="B88" s="101">
        <v>46034</v>
      </c>
      <c r="C88" s="97" t="s">
        <v>157</v>
      </c>
      <c r="D88" s="107" t="s">
        <v>260</v>
      </c>
      <c r="E88" s="102">
        <v>13</v>
      </c>
      <c r="F88" s="75"/>
      <c r="G88" s="74"/>
      <c r="H88" s="71">
        <f t="shared" si="1"/>
        <v>0</v>
      </c>
    </row>
    <row r="89" spans="2:8" ht="15.75" customHeight="1">
      <c r="B89" s="101">
        <v>46034</v>
      </c>
      <c r="C89" s="97" t="s">
        <v>158</v>
      </c>
      <c r="D89" s="107" t="s">
        <v>260</v>
      </c>
      <c r="E89" s="102">
        <v>9</v>
      </c>
      <c r="F89" s="75"/>
      <c r="G89" s="74"/>
      <c r="H89" s="71">
        <f t="shared" si="1"/>
        <v>0</v>
      </c>
    </row>
    <row r="90" spans="2:8" ht="15.75" customHeight="1">
      <c r="B90" s="101">
        <v>46034</v>
      </c>
      <c r="C90" s="97" t="s">
        <v>159</v>
      </c>
      <c r="D90" s="107" t="s">
        <v>260</v>
      </c>
      <c r="E90" s="102">
        <v>3</v>
      </c>
      <c r="F90" s="75"/>
      <c r="G90" s="74"/>
      <c r="H90" s="71">
        <f t="shared" si="1"/>
        <v>0</v>
      </c>
    </row>
    <row r="91" spans="2:8" ht="15.75" customHeight="1">
      <c r="B91" s="101">
        <v>46034</v>
      </c>
      <c r="C91" s="106" t="s">
        <v>77</v>
      </c>
      <c r="D91" s="107" t="s">
        <v>260</v>
      </c>
      <c r="E91" s="102"/>
      <c r="F91" s="75"/>
      <c r="G91" s="74"/>
      <c r="H91" s="71">
        <f t="shared" si="1"/>
        <v>0</v>
      </c>
    </row>
    <row r="92" spans="2:8" s="144" customFormat="1" ht="15.75" customHeight="1">
      <c r="B92" s="101">
        <v>46034</v>
      </c>
      <c r="C92" s="97" t="s">
        <v>294</v>
      </c>
      <c r="D92" s="107" t="s">
        <v>260</v>
      </c>
      <c r="E92" s="102">
        <v>1</v>
      </c>
      <c r="F92" s="75"/>
      <c r="G92" s="74"/>
      <c r="H92" s="71">
        <f t="shared" si="1"/>
        <v>0</v>
      </c>
    </row>
    <row r="93" spans="2:8" s="129" customFormat="1" ht="15.75" customHeight="1">
      <c r="B93" s="101">
        <v>46034</v>
      </c>
      <c r="C93" s="97" t="s">
        <v>266</v>
      </c>
      <c r="D93" s="107" t="s">
        <v>260</v>
      </c>
      <c r="E93" s="102"/>
      <c r="F93" s="75"/>
      <c r="G93" s="74"/>
      <c r="H93" s="71">
        <f>F93*E93</f>
        <v>0</v>
      </c>
    </row>
    <row r="94" spans="2:8" ht="15.75" customHeight="1">
      <c r="B94" s="101">
        <v>46034</v>
      </c>
      <c r="C94" s="97" t="s">
        <v>160</v>
      </c>
      <c r="D94" s="107" t="s">
        <v>260</v>
      </c>
      <c r="E94" s="102">
        <v>3</v>
      </c>
      <c r="F94" s="75"/>
      <c r="G94" s="74"/>
      <c r="H94" s="71">
        <f t="shared" si="1"/>
        <v>0</v>
      </c>
    </row>
    <row r="95" spans="2:8" ht="15.75" customHeight="1">
      <c r="B95" s="101">
        <v>46034</v>
      </c>
      <c r="C95" s="97" t="s">
        <v>161</v>
      </c>
      <c r="D95" s="107" t="s">
        <v>260</v>
      </c>
      <c r="E95" s="102">
        <v>2</v>
      </c>
      <c r="F95" s="75"/>
      <c r="G95" s="74"/>
      <c r="H95" s="71">
        <f t="shared" si="1"/>
        <v>0</v>
      </c>
    </row>
    <row r="96" spans="2:8" ht="15.75" customHeight="1">
      <c r="B96" s="101">
        <v>46034</v>
      </c>
      <c r="C96" s="106" t="s">
        <v>76</v>
      </c>
      <c r="D96" s="107" t="s">
        <v>260</v>
      </c>
      <c r="E96" s="102"/>
      <c r="F96" s="75"/>
      <c r="G96" s="74"/>
      <c r="H96" s="71">
        <f t="shared" si="1"/>
        <v>0</v>
      </c>
    </row>
    <row r="97" spans="2:8" ht="15.75" customHeight="1">
      <c r="B97" s="101">
        <v>46034</v>
      </c>
      <c r="C97" s="97" t="s">
        <v>162</v>
      </c>
      <c r="D97" s="107" t="s">
        <v>260</v>
      </c>
      <c r="E97" s="102">
        <v>5</v>
      </c>
      <c r="F97" s="75"/>
      <c r="G97" s="74"/>
      <c r="H97" s="71">
        <f t="shared" si="1"/>
        <v>0</v>
      </c>
    </row>
    <row r="98" spans="2:8" ht="15.75" customHeight="1">
      <c r="B98" s="101">
        <v>46034</v>
      </c>
      <c r="C98" s="97" t="s">
        <v>163</v>
      </c>
      <c r="D98" s="107" t="s">
        <v>260</v>
      </c>
      <c r="E98" s="102">
        <v>10</v>
      </c>
      <c r="F98" s="75"/>
      <c r="G98" s="74"/>
      <c r="H98" s="71">
        <f t="shared" si="1"/>
        <v>0</v>
      </c>
    </row>
    <row r="99" spans="2:8" ht="15.75" customHeight="1">
      <c r="B99" s="101">
        <v>46034</v>
      </c>
      <c r="C99" s="97" t="s">
        <v>164</v>
      </c>
      <c r="D99" s="107" t="s">
        <v>260</v>
      </c>
      <c r="E99" s="102">
        <v>6</v>
      </c>
      <c r="F99" s="75"/>
      <c r="G99" s="74"/>
      <c r="H99" s="71">
        <f t="shared" si="1"/>
        <v>0</v>
      </c>
    </row>
    <row r="100" spans="2:8" ht="15.75" customHeight="1">
      <c r="B100" s="101">
        <v>46034</v>
      </c>
      <c r="C100" s="97" t="s">
        <v>165</v>
      </c>
      <c r="D100" s="107" t="s">
        <v>260</v>
      </c>
      <c r="E100" s="102">
        <v>3</v>
      </c>
      <c r="F100" s="75"/>
      <c r="G100" s="74"/>
      <c r="H100" s="71">
        <f t="shared" si="1"/>
        <v>0</v>
      </c>
    </row>
    <row r="101" spans="2:8" ht="15.75" customHeight="1">
      <c r="B101" s="101">
        <v>46034</v>
      </c>
      <c r="C101" s="106" t="s">
        <v>78</v>
      </c>
      <c r="D101" s="107" t="s">
        <v>260</v>
      </c>
      <c r="E101" s="102"/>
      <c r="F101" s="75"/>
      <c r="G101" s="74"/>
      <c r="H101" s="71">
        <f t="shared" si="1"/>
        <v>0</v>
      </c>
    </row>
    <row r="102" spans="2:8" ht="15.75" customHeight="1">
      <c r="B102" s="101">
        <v>46034</v>
      </c>
      <c r="C102" s="97" t="s">
        <v>166</v>
      </c>
      <c r="D102" s="107" t="s">
        <v>260</v>
      </c>
      <c r="E102" s="102">
        <v>8</v>
      </c>
      <c r="F102" s="75"/>
      <c r="G102" s="74"/>
      <c r="H102" s="71">
        <f t="shared" si="1"/>
        <v>0</v>
      </c>
    </row>
    <row r="103" spans="2:8" ht="15.75" customHeight="1">
      <c r="B103" s="101">
        <v>46034</v>
      </c>
      <c r="C103" s="97" t="s">
        <v>167</v>
      </c>
      <c r="D103" s="107" t="s">
        <v>260</v>
      </c>
      <c r="E103" s="102">
        <v>6</v>
      </c>
      <c r="F103" s="75"/>
      <c r="G103" s="74"/>
      <c r="H103" s="71">
        <f t="shared" si="1"/>
        <v>0</v>
      </c>
    </row>
    <row r="104" spans="2:8" ht="15.75" customHeight="1">
      <c r="B104" s="101">
        <v>46034</v>
      </c>
      <c r="C104" s="106" t="s">
        <v>79</v>
      </c>
      <c r="D104" s="107" t="s">
        <v>260</v>
      </c>
      <c r="E104" s="102"/>
      <c r="F104" s="75"/>
      <c r="G104" s="74"/>
      <c r="H104" s="71">
        <f t="shared" si="1"/>
        <v>0</v>
      </c>
    </row>
    <row r="105" spans="2:8" ht="15.75" customHeight="1">
      <c r="B105" s="101">
        <v>46034</v>
      </c>
      <c r="C105" s="97" t="s">
        <v>168</v>
      </c>
      <c r="D105" s="107" t="s">
        <v>260</v>
      </c>
      <c r="E105" s="102">
        <v>19</v>
      </c>
      <c r="F105" s="75"/>
      <c r="G105" s="74"/>
      <c r="H105" s="71">
        <f t="shared" si="1"/>
        <v>0</v>
      </c>
    </row>
    <row r="106" spans="2:8" ht="15.75" customHeight="1">
      <c r="B106" s="101">
        <v>46034</v>
      </c>
      <c r="C106" s="97" t="s">
        <v>169</v>
      </c>
      <c r="D106" s="107" t="s">
        <v>260</v>
      </c>
      <c r="E106" s="102"/>
      <c r="F106" s="75"/>
      <c r="G106" s="74"/>
      <c r="H106" s="71">
        <f t="shared" si="1"/>
        <v>0</v>
      </c>
    </row>
    <row r="107" spans="2:8" ht="15.75" customHeight="1">
      <c r="B107" s="101">
        <v>46034</v>
      </c>
      <c r="C107" s="97" t="s">
        <v>170</v>
      </c>
      <c r="D107" s="107" t="s">
        <v>260</v>
      </c>
      <c r="E107" s="102">
        <v>7</v>
      </c>
      <c r="F107" s="75"/>
      <c r="G107" s="74"/>
      <c r="H107" s="71">
        <f t="shared" si="1"/>
        <v>0</v>
      </c>
    </row>
    <row r="108" spans="2:8" ht="15.75" customHeight="1">
      <c r="B108" s="101">
        <v>46034</v>
      </c>
      <c r="C108" s="97" t="s">
        <v>171</v>
      </c>
      <c r="D108" s="107" t="s">
        <v>260</v>
      </c>
      <c r="E108" s="102">
        <v>4</v>
      </c>
      <c r="F108" s="75"/>
      <c r="G108" s="74"/>
      <c r="H108" s="71">
        <f t="shared" si="1"/>
        <v>0</v>
      </c>
    </row>
    <row r="109" spans="2:8" ht="15.75" customHeight="1">
      <c r="B109" s="101">
        <v>46034</v>
      </c>
      <c r="C109" s="97" t="s">
        <v>172</v>
      </c>
      <c r="D109" s="107" t="s">
        <v>260</v>
      </c>
      <c r="E109" s="102">
        <v>7</v>
      </c>
      <c r="F109" s="75"/>
      <c r="G109" s="74"/>
      <c r="H109" s="71">
        <f t="shared" si="1"/>
        <v>0</v>
      </c>
    </row>
    <row r="110" spans="2:8" ht="15.75" customHeight="1">
      <c r="B110" s="101">
        <v>46034</v>
      </c>
      <c r="C110" s="97" t="s">
        <v>173</v>
      </c>
      <c r="D110" s="107" t="s">
        <v>260</v>
      </c>
      <c r="E110" s="102">
        <v>6</v>
      </c>
      <c r="F110" s="75"/>
      <c r="G110" s="74"/>
      <c r="H110" s="71">
        <f t="shared" si="1"/>
        <v>0</v>
      </c>
    </row>
    <row r="111" spans="2:8" ht="15.75" customHeight="1">
      <c r="B111" s="101">
        <v>46034</v>
      </c>
      <c r="C111" s="97" t="s">
        <v>174</v>
      </c>
      <c r="D111" s="107" t="s">
        <v>260</v>
      </c>
      <c r="E111" s="102"/>
      <c r="F111" s="75"/>
      <c r="G111" s="74"/>
      <c r="H111" s="71">
        <f t="shared" si="1"/>
        <v>0</v>
      </c>
    </row>
    <row r="112" spans="2:8" ht="15.75" customHeight="1">
      <c r="B112" s="101">
        <v>46034</v>
      </c>
      <c r="C112" s="97" t="s">
        <v>175</v>
      </c>
      <c r="D112" s="107" t="s">
        <v>260</v>
      </c>
      <c r="E112" s="102">
        <v>4</v>
      </c>
      <c r="F112" s="75"/>
      <c r="G112" s="74"/>
      <c r="H112" s="71">
        <f t="shared" si="1"/>
        <v>0</v>
      </c>
    </row>
    <row r="113" spans="2:8" ht="15.75" customHeight="1">
      <c r="B113" s="101">
        <v>46034</v>
      </c>
      <c r="C113" s="106" t="s">
        <v>80</v>
      </c>
      <c r="D113" s="107" t="s">
        <v>260</v>
      </c>
      <c r="E113" s="102"/>
      <c r="F113" s="75"/>
      <c r="G113" s="74"/>
      <c r="H113" s="71">
        <f t="shared" si="1"/>
        <v>0</v>
      </c>
    </row>
    <row r="114" spans="2:8" ht="15.75" customHeight="1">
      <c r="B114" s="101">
        <v>46034</v>
      </c>
      <c r="C114" s="97" t="s">
        <v>176</v>
      </c>
      <c r="D114" s="107" t="s">
        <v>260</v>
      </c>
      <c r="E114" s="102">
        <v>17</v>
      </c>
      <c r="F114" s="75"/>
      <c r="G114" s="74"/>
      <c r="H114" s="71">
        <f t="shared" si="1"/>
        <v>0</v>
      </c>
    </row>
    <row r="115" spans="2:8" ht="15.75" customHeight="1">
      <c r="B115" s="101">
        <v>46034</v>
      </c>
      <c r="C115" s="97" t="s">
        <v>177</v>
      </c>
      <c r="D115" s="107" t="s">
        <v>260</v>
      </c>
      <c r="E115" s="102">
        <v>21</v>
      </c>
      <c r="F115" s="75"/>
      <c r="G115" s="74"/>
      <c r="H115" s="71">
        <f t="shared" si="1"/>
        <v>0</v>
      </c>
    </row>
    <row r="116" spans="2:8" ht="15.75" customHeight="1">
      <c r="B116" s="101">
        <v>46034</v>
      </c>
      <c r="C116" s="97" t="s">
        <v>178</v>
      </c>
      <c r="D116" s="107" t="s">
        <v>260</v>
      </c>
      <c r="E116" s="102">
        <v>9</v>
      </c>
      <c r="F116" s="75"/>
      <c r="G116" s="74"/>
      <c r="H116" s="71">
        <f t="shared" si="1"/>
        <v>0</v>
      </c>
    </row>
    <row r="117" spans="2:8" ht="15.75" customHeight="1">
      <c r="B117" s="101">
        <v>46034</v>
      </c>
      <c r="C117" s="97" t="s">
        <v>179</v>
      </c>
      <c r="D117" s="107" t="s">
        <v>260</v>
      </c>
      <c r="E117" s="102">
        <v>14</v>
      </c>
      <c r="F117" s="75"/>
      <c r="G117" s="74"/>
      <c r="H117" s="71">
        <f t="shared" si="1"/>
        <v>0</v>
      </c>
    </row>
    <row r="118" spans="2:8" ht="15.75" customHeight="1">
      <c r="B118" s="101">
        <v>46034</v>
      </c>
      <c r="C118" s="97" t="s">
        <v>180</v>
      </c>
      <c r="D118" s="107" t="s">
        <v>260</v>
      </c>
      <c r="E118" s="102">
        <v>3</v>
      </c>
      <c r="F118" s="75"/>
      <c r="G118" s="74"/>
      <c r="H118" s="71">
        <f t="shared" si="1"/>
        <v>0</v>
      </c>
    </row>
    <row r="119" spans="2:8" ht="15.75" customHeight="1">
      <c r="B119" s="101">
        <v>46034</v>
      </c>
      <c r="C119" s="106" t="s">
        <v>81</v>
      </c>
      <c r="D119" s="107" t="s">
        <v>260</v>
      </c>
      <c r="E119" s="102"/>
      <c r="F119" s="75"/>
      <c r="G119" s="74"/>
      <c r="H119" s="71">
        <f t="shared" si="1"/>
        <v>0</v>
      </c>
    </row>
    <row r="120" spans="2:8" ht="15.75" customHeight="1">
      <c r="B120" s="101">
        <v>46034</v>
      </c>
      <c r="C120" s="97" t="s">
        <v>181</v>
      </c>
      <c r="D120" s="107" t="s">
        <v>260</v>
      </c>
      <c r="E120" s="102">
        <v>3</v>
      </c>
      <c r="F120" s="75"/>
      <c r="G120" s="74"/>
      <c r="H120" s="71">
        <f t="shared" si="1"/>
        <v>0</v>
      </c>
    </row>
    <row r="121" spans="2:8" ht="15.75" customHeight="1">
      <c r="B121" s="101">
        <v>46034</v>
      </c>
      <c r="C121" s="97" t="s">
        <v>182</v>
      </c>
      <c r="D121" s="107" t="s">
        <v>260</v>
      </c>
      <c r="E121" s="102">
        <v>6</v>
      </c>
      <c r="F121" s="75"/>
      <c r="G121" s="74"/>
      <c r="H121" s="71">
        <f t="shared" si="1"/>
        <v>0</v>
      </c>
    </row>
    <row r="122" spans="2:8" ht="15.75" customHeight="1">
      <c r="B122" s="101">
        <v>46034</v>
      </c>
      <c r="C122" s="97" t="s">
        <v>183</v>
      </c>
      <c r="D122" s="107" t="s">
        <v>260</v>
      </c>
      <c r="E122" s="102">
        <v>5</v>
      </c>
      <c r="F122" s="75"/>
      <c r="G122" s="74"/>
      <c r="H122" s="71">
        <f t="shared" si="1"/>
        <v>0</v>
      </c>
    </row>
    <row r="123" spans="2:8" ht="15.75" customHeight="1">
      <c r="B123" s="101">
        <v>46034</v>
      </c>
      <c r="C123" s="97" t="s">
        <v>184</v>
      </c>
      <c r="D123" s="107" t="s">
        <v>260</v>
      </c>
      <c r="E123" s="102">
        <v>4</v>
      </c>
      <c r="F123" s="75"/>
      <c r="G123" s="74"/>
      <c r="H123" s="71">
        <f t="shared" si="1"/>
        <v>0</v>
      </c>
    </row>
    <row r="124" spans="2:8" ht="15.75" customHeight="1">
      <c r="B124" s="101">
        <v>46034</v>
      </c>
      <c r="C124" s="106" t="s">
        <v>82</v>
      </c>
      <c r="D124" s="107" t="s">
        <v>260</v>
      </c>
      <c r="E124" s="102"/>
      <c r="F124" s="75"/>
      <c r="G124" s="74"/>
      <c r="H124" s="71">
        <f t="shared" si="1"/>
        <v>0</v>
      </c>
    </row>
    <row r="125" spans="2:8" s="129" customFormat="1" ht="15.75" customHeight="1">
      <c r="B125" s="101">
        <v>46034</v>
      </c>
      <c r="C125" s="97" t="s">
        <v>267</v>
      </c>
      <c r="D125" s="107" t="s">
        <v>260</v>
      </c>
      <c r="E125" s="102">
        <v>4</v>
      </c>
      <c r="F125" s="75"/>
      <c r="G125" s="74"/>
      <c r="H125" s="71">
        <f>F125*E125</f>
        <v>0</v>
      </c>
    </row>
    <row r="126" spans="2:8" ht="15.75" customHeight="1">
      <c r="B126" s="101">
        <v>46034</v>
      </c>
      <c r="C126" s="97" t="s">
        <v>185</v>
      </c>
      <c r="D126" s="107" t="s">
        <v>260</v>
      </c>
      <c r="E126" s="102">
        <v>5</v>
      </c>
      <c r="F126" s="75"/>
      <c r="G126" s="74"/>
      <c r="H126" s="71">
        <f t="shared" si="1"/>
        <v>0</v>
      </c>
    </row>
    <row r="127" spans="2:8" ht="15.75" customHeight="1">
      <c r="B127" s="101">
        <v>46034</v>
      </c>
      <c r="C127" s="97" t="s">
        <v>186</v>
      </c>
      <c r="D127" s="107" t="s">
        <v>260</v>
      </c>
      <c r="E127" s="102">
        <v>5</v>
      </c>
      <c r="F127" s="75"/>
      <c r="G127" s="74"/>
      <c r="H127" s="71">
        <f t="shared" si="1"/>
        <v>0</v>
      </c>
    </row>
    <row r="128" spans="2:8" ht="15.75" customHeight="1">
      <c r="B128" s="101">
        <v>46034</v>
      </c>
      <c r="C128" s="97" t="s">
        <v>187</v>
      </c>
      <c r="D128" s="107" t="s">
        <v>260</v>
      </c>
      <c r="E128" s="102">
        <v>4</v>
      </c>
      <c r="F128" s="75"/>
      <c r="G128" s="74"/>
      <c r="H128" s="71">
        <f t="shared" si="1"/>
        <v>0</v>
      </c>
    </row>
    <row r="129" spans="2:8" ht="15.75" customHeight="1">
      <c r="B129" s="101">
        <v>46034</v>
      </c>
      <c r="C129" s="106" t="s">
        <v>83</v>
      </c>
      <c r="D129" s="107" t="s">
        <v>260</v>
      </c>
      <c r="E129" s="102"/>
      <c r="F129" s="75"/>
      <c r="G129" s="74"/>
      <c r="H129" s="71">
        <f t="shared" si="1"/>
        <v>0</v>
      </c>
    </row>
    <row r="130" spans="2:8" ht="15.75" customHeight="1">
      <c r="B130" s="101">
        <v>46034</v>
      </c>
      <c r="C130" s="97" t="s">
        <v>188</v>
      </c>
      <c r="D130" s="107" t="s">
        <v>260</v>
      </c>
      <c r="E130" s="102">
        <v>8</v>
      </c>
      <c r="F130" s="75"/>
      <c r="G130" s="74"/>
      <c r="H130" s="71">
        <f t="shared" si="1"/>
        <v>0</v>
      </c>
    </row>
    <row r="131" spans="2:8" ht="15.75" customHeight="1">
      <c r="B131" s="101">
        <v>46034</v>
      </c>
      <c r="C131" s="97" t="s">
        <v>189</v>
      </c>
      <c r="D131" s="107" t="s">
        <v>260</v>
      </c>
      <c r="E131" s="102">
        <v>5</v>
      </c>
      <c r="F131" s="75"/>
      <c r="G131" s="74"/>
      <c r="H131" s="71">
        <f t="shared" si="1"/>
        <v>0</v>
      </c>
    </row>
    <row r="132" spans="2:8" ht="15.75" customHeight="1">
      <c r="B132" s="101">
        <v>46034</v>
      </c>
      <c r="C132" s="97" t="s">
        <v>190</v>
      </c>
      <c r="D132" s="107" t="s">
        <v>260</v>
      </c>
      <c r="E132" s="102">
        <v>4</v>
      </c>
      <c r="F132" s="75"/>
      <c r="G132" s="74"/>
      <c r="H132" s="71">
        <f t="shared" si="1"/>
        <v>0</v>
      </c>
    </row>
    <row r="133" spans="2:8" ht="15.75" customHeight="1">
      <c r="B133" s="101">
        <v>46034</v>
      </c>
      <c r="C133" s="97" t="s">
        <v>191</v>
      </c>
      <c r="D133" s="107" t="s">
        <v>260</v>
      </c>
      <c r="E133" s="102"/>
      <c r="F133" s="75"/>
      <c r="G133" s="74"/>
      <c r="H133" s="71">
        <f t="shared" si="1"/>
        <v>0</v>
      </c>
    </row>
    <row r="134" spans="2:8" ht="15.75" customHeight="1">
      <c r="B134" s="101">
        <v>46034</v>
      </c>
      <c r="C134" s="106" t="s">
        <v>84</v>
      </c>
      <c r="D134" s="107" t="s">
        <v>260</v>
      </c>
      <c r="E134" s="102"/>
      <c r="F134" s="75"/>
      <c r="G134" s="74"/>
      <c r="H134" s="71">
        <f t="shared" si="1"/>
        <v>0</v>
      </c>
    </row>
    <row r="135" spans="2:8" ht="15.75" customHeight="1">
      <c r="B135" s="101">
        <v>46034</v>
      </c>
      <c r="C135" s="97" t="s">
        <v>192</v>
      </c>
      <c r="D135" s="107" t="s">
        <v>260</v>
      </c>
      <c r="E135" s="102">
        <v>9</v>
      </c>
      <c r="F135" s="75"/>
      <c r="G135" s="74"/>
      <c r="H135" s="71">
        <f t="shared" si="1"/>
        <v>0</v>
      </c>
    </row>
    <row r="136" spans="2:8" ht="15.75" customHeight="1">
      <c r="B136" s="101">
        <v>46034</v>
      </c>
      <c r="C136" s="110" t="s">
        <v>193</v>
      </c>
      <c r="D136" s="107" t="s">
        <v>260</v>
      </c>
      <c r="E136" s="102">
        <v>32</v>
      </c>
      <c r="F136" s="75"/>
      <c r="G136" s="74"/>
      <c r="H136" s="71">
        <f t="shared" si="1"/>
        <v>0</v>
      </c>
    </row>
    <row r="137" spans="2:8" ht="15.75" customHeight="1">
      <c r="B137" s="101">
        <v>46034</v>
      </c>
      <c r="C137" s="97" t="s">
        <v>194</v>
      </c>
      <c r="D137" s="107" t="s">
        <v>260</v>
      </c>
      <c r="E137" s="102">
        <v>32</v>
      </c>
      <c r="F137" s="75"/>
      <c r="G137" s="74"/>
      <c r="H137" s="71">
        <f t="shared" si="1"/>
        <v>0</v>
      </c>
    </row>
    <row r="138" spans="2:8" ht="15.75" customHeight="1">
      <c r="B138" s="101">
        <v>46034</v>
      </c>
      <c r="C138" s="97" t="s">
        <v>195</v>
      </c>
      <c r="D138" s="107" t="s">
        <v>260</v>
      </c>
      <c r="E138" s="102">
        <v>12</v>
      </c>
      <c r="F138" s="75"/>
      <c r="G138" s="74"/>
      <c r="H138" s="71">
        <f t="shared" si="1"/>
        <v>0</v>
      </c>
    </row>
    <row r="139" spans="2:8" ht="15.75" customHeight="1">
      <c r="B139" s="101">
        <v>46034</v>
      </c>
      <c r="C139" s="97" t="s">
        <v>196</v>
      </c>
      <c r="D139" s="107" t="s">
        <v>260</v>
      </c>
      <c r="E139" s="102">
        <v>7</v>
      </c>
      <c r="F139" s="75"/>
      <c r="G139" s="74"/>
      <c r="H139" s="71">
        <f t="shared" si="1"/>
        <v>0</v>
      </c>
    </row>
    <row r="140" spans="2:8" ht="15.75" customHeight="1">
      <c r="B140" s="101">
        <v>46034</v>
      </c>
      <c r="C140" s="97" t="s">
        <v>197</v>
      </c>
      <c r="D140" s="107" t="s">
        <v>260</v>
      </c>
      <c r="E140" s="102">
        <v>4</v>
      </c>
      <c r="F140" s="75"/>
      <c r="G140" s="74"/>
      <c r="H140" s="71">
        <f t="shared" si="1"/>
        <v>0</v>
      </c>
    </row>
    <row r="141" spans="2:8" ht="15.75" customHeight="1">
      <c r="B141" s="101">
        <v>46034</v>
      </c>
      <c r="C141" s="97" t="s">
        <v>198</v>
      </c>
      <c r="D141" s="107" t="s">
        <v>260</v>
      </c>
      <c r="E141" s="102">
        <v>10</v>
      </c>
      <c r="F141" s="75"/>
      <c r="G141" s="74"/>
      <c r="H141" s="71">
        <f t="shared" si="1"/>
        <v>0</v>
      </c>
    </row>
    <row r="142" spans="2:8" ht="15.75" customHeight="1">
      <c r="B142" s="101">
        <v>46034</v>
      </c>
      <c r="C142" s="97" t="s">
        <v>199</v>
      </c>
      <c r="D142" s="107" t="s">
        <v>260</v>
      </c>
      <c r="E142" s="102">
        <v>6</v>
      </c>
      <c r="F142" s="75"/>
      <c r="G142" s="74"/>
      <c r="H142" s="71">
        <f t="shared" si="1"/>
        <v>0</v>
      </c>
    </row>
    <row r="143" spans="2:8" ht="15.75" customHeight="1">
      <c r="B143" s="101">
        <v>46034</v>
      </c>
      <c r="C143" s="97" t="s">
        <v>200</v>
      </c>
      <c r="D143" s="107" t="s">
        <v>260</v>
      </c>
      <c r="E143" s="102">
        <v>5</v>
      </c>
      <c r="F143" s="75"/>
      <c r="G143" s="74"/>
      <c r="H143" s="71">
        <f t="shared" ref="H143:H218" si="2">F143*E143</f>
        <v>0</v>
      </c>
    </row>
    <row r="144" spans="2:8" ht="15.75" customHeight="1">
      <c r="B144" s="101">
        <v>46034</v>
      </c>
      <c r="C144" s="97" t="s">
        <v>201</v>
      </c>
      <c r="D144" s="107" t="s">
        <v>260</v>
      </c>
      <c r="E144" s="102">
        <v>4</v>
      </c>
      <c r="F144" s="75"/>
      <c r="G144" s="74"/>
      <c r="H144" s="71">
        <f t="shared" si="2"/>
        <v>0</v>
      </c>
    </row>
    <row r="145" spans="2:8" ht="15.75" customHeight="1">
      <c r="B145" s="101">
        <v>46034</v>
      </c>
      <c r="C145" s="97" t="s">
        <v>202</v>
      </c>
      <c r="D145" s="107" t="s">
        <v>260</v>
      </c>
      <c r="E145" s="102">
        <v>4</v>
      </c>
      <c r="F145" s="75"/>
      <c r="G145" s="74"/>
      <c r="H145" s="71">
        <f t="shared" si="2"/>
        <v>0</v>
      </c>
    </row>
    <row r="146" spans="2:8" ht="15.75" customHeight="1">
      <c r="B146" s="101">
        <v>46034</v>
      </c>
      <c r="C146" s="106" t="s">
        <v>85</v>
      </c>
      <c r="D146" s="107" t="s">
        <v>260</v>
      </c>
      <c r="E146" s="102"/>
      <c r="F146" s="75"/>
      <c r="G146" s="74"/>
      <c r="H146" s="71">
        <f t="shared" si="2"/>
        <v>0</v>
      </c>
    </row>
    <row r="147" spans="2:8" ht="15.75" customHeight="1">
      <c r="B147" s="101">
        <v>46034</v>
      </c>
      <c r="C147" s="97" t="s">
        <v>203</v>
      </c>
      <c r="D147" s="107" t="s">
        <v>260</v>
      </c>
      <c r="E147" s="102">
        <v>4</v>
      </c>
      <c r="F147" s="75"/>
      <c r="G147" s="74"/>
      <c r="H147" s="71">
        <f t="shared" si="2"/>
        <v>0</v>
      </c>
    </row>
    <row r="148" spans="2:8" ht="15.75" customHeight="1">
      <c r="B148" s="101">
        <v>46034</v>
      </c>
      <c r="C148" s="97" t="s">
        <v>204</v>
      </c>
      <c r="D148" s="107" t="s">
        <v>260</v>
      </c>
      <c r="E148" s="102">
        <v>7</v>
      </c>
      <c r="F148" s="75"/>
      <c r="G148" s="74"/>
      <c r="H148" s="71">
        <f t="shared" si="2"/>
        <v>0</v>
      </c>
    </row>
    <row r="149" spans="2:8" ht="15.75" customHeight="1">
      <c r="B149" s="101">
        <v>46034</v>
      </c>
      <c r="C149" s="97" t="s">
        <v>205</v>
      </c>
      <c r="D149" s="107" t="s">
        <v>260</v>
      </c>
      <c r="E149" s="102">
        <v>6</v>
      </c>
      <c r="F149" s="75"/>
      <c r="G149" s="74"/>
      <c r="H149" s="71">
        <f t="shared" si="2"/>
        <v>0</v>
      </c>
    </row>
    <row r="150" spans="2:8" ht="15.75" customHeight="1">
      <c r="B150" s="101">
        <v>46034</v>
      </c>
      <c r="C150" s="97" t="s">
        <v>206</v>
      </c>
      <c r="D150" s="107" t="s">
        <v>260</v>
      </c>
      <c r="E150" s="102">
        <v>5</v>
      </c>
      <c r="F150" s="75"/>
      <c r="G150" s="74"/>
      <c r="H150" s="71">
        <f t="shared" si="2"/>
        <v>0</v>
      </c>
    </row>
    <row r="151" spans="2:8" ht="15.75" customHeight="1">
      <c r="B151" s="101">
        <v>46034</v>
      </c>
      <c r="C151" s="106" t="s">
        <v>269</v>
      </c>
      <c r="D151" s="107" t="s">
        <v>260</v>
      </c>
      <c r="E151" s="102"/>
      <c r="F151" s="75"/>
      <c r="G151" s="74"/>
      <c r="H151" s="71">
        <f t="shared" si="2"/>
        <v>0</v>
      </c>
    </row>
    <row r="152" spans="2:8" ht="15.75" customHeight="1">
      <c r="B152" s="101">
        <v>46034</v>
      </c>
      <c r="C152" s="97" t="s">
        <v>270</v>
      </c>
      <c r="D152" s="107" t="s">
        <v>260</v>
      </c>
      <c r="E152" s="102"/>
      <c r="F152" s="75"/>
      <c r="G152" s="74"/>
      <c r="H152" s="71">
        <f t="shared" si="2"/>
        <v>0</v>
      </c>
    </row>
    <row r="153" spans="2:8" ht="15.75" customHeight="1">
      <c r="B153" s="101">
        <v>46034</v>
      </c>
      <c r="C153" s="97" t="s">
        <v>271</v>
      </c>
      <c r="D153" s="107" t="s">
        <v>260</v>
      </c>
      <c r="E153" s="102">
        <v>2</v>
      </c>
      <c r="F153" s="75"/>
      <c r="G153" s="74"/>
      <c r="H153" s="71">
        <f t="shared" si="2"/>
        <v>0</v>
      </c>
    </row>
    <row r="154" spans="2:8" ht="15.75" customHeight="1">
      <c r="B154" s="101">
        <v>46034</v>
      </c>
      <c r="C154" s="97" t="s">
        <v>272</v>
      </c>
      <c r="D154" s="107" t="s">
        <v>260</v>
      </c>
      <c r="E154" s="102">
        <v>2</v>
      </c>
      <c r="F154" s="75"/>
      <c r="G154" s="74"/>
      <c r="H154" s="71">
        <f t="shared" si="2"/>
        <v>0</v>
      </c>
    </row>
    <row r="155" spans="2:8" ht="15.75" customHeight="1">
      <c r="B155" s="101">
        <v>46034</v>
      </c>
      <c r="C155" s="97" t="s">
        <v>273</v>
      </c>
      <c r="D155" s="107" t="s">
        <v>260</v>
      </c>
      <c r="E155" s="102">
        <v>1</v>
      </c>
      <c r="F155" s="75"/>
      <c r="G155" s="74"/>
      <c r="H155" s="71">
        <f t="shared" si="2"/>
        <v>0</v>
      </c>
    </row>
    <row r="156" spans="2:8" ht="15.75" customHeight="1">
      <c r="B156" s="101">
        <v>46034</v>
      </c>
      <c r="C156" s="106" t="s">
        <v>91</v>
      </c>
      <c r="D156" s="107" t="s">
        <v>260</v>
      </c>
      <c r="E156" s="102"/>
      <c r="F156" s="75"/>
      <c r="G156" s="74"/>
      <c r="H156" s="71">
        <f t="shared" si="2"/>
        <v>0</v>
      </c>
    </row>
    <row r="157" spans="2:8" ht="15.75" customHeight="1">
      <c r="B157" s="101">
        <v>46034</v>
      </c>
      <c r="C157" s="97" t="s">
        <v>207</v>
      </c>
      <c r="D157" s="107" t="s">
        <v>260</v>
      </c>
      <c r="E157" s="102">
        <v>12</v>
      </c>
      <c r="F157" s="75"/>
      <c r="G157" s="74"/>
      <c r="H157" s="71">
        <f t="shared" si="2"/>
        <v>0</v>
      </c>
    </row>
    <row r="158" spans="2:8" ht="15.75" customHeight="1">
      <c r="B158" s="101">
        <v>46034</v>
      </c>
      <c r="C158" s="97" t="s">
        <v>208</v>
      </c>
      <c r="D158" s="107" t="s">
        <v>260</v>
      </c>
      <c r="E158" s="102">
        <v>3</v>
      </c>
      <c r="F158" s="75"/>
      <c r="G158" s="74"/>
      <c r="H158" s="71">
        <f t="shared" si="2"/>
        <v>0</v>
      </c>
    </row>
    <row r="159" spans="2:8" ht="15.75" customHeight="1">
      <c r="B159" s="101">
        <v>46034</v>
      </c>
      <c r="C159" s="97" t="s">
        <v>209</v>
      </c>
      <c r="D159" s="107" t="s">
        <v>260</v>
      </c>
      <c r="E159" s="102">
        <v>8</v>
      </c>
      <c r="F159" s="75"/>
      <c r="G159" s="74"/>
      <c r="H159" s="71">
        <f t="shared" si="2"/>
        <v>0</v>
      </c>
    </row>
    <row r="160" spans="2:8" ht="15.75" customHeight="1">
      <c r="B160" s="101">
        <v>46034</v>
      </c>
      <c r="C160" s="97" t="s">
        <v>210</v>
      </c>
      <c r="D160" s="107" t="s">
        <v>260</v>
      </c>
      <c r="E160" s="102">
        <v>4</v>
      </c>
      <c r="F160" s="75"/>
      <c r="G160" s="74"/>
      <c r="H160" s="71">
        <f t="shared" si="2"/>
        <v>0</v>
      </c>
    </row>
    <row r="161" spans="2:8" ht="15.75" customHeight="1">
      <c r="B161" s="101">
        <v>46034</v>
      </c>
      <c r="C161" s="97" t="s">
        <v>211</v>
      </c>
      <c r="D161" s="107" t="s">
        <v>260</v>
      </c>
      <c r="E161" s="102">
        <v>3</v>
      </c>
      <c r="F161" s="75"/>
      <c r="G161" s="74"/>
      <c r="H161" s="71">
        <f t="shared" si="2"/>
        <v>0</v>
      </c>
    </row>
    <row r="162" spans="2:8" ht="15.75" customHeight="1">
      <c r="B162" s="101">
        <v>46034</v>
      </c>
      <c r="C162" s="97" t="s">
        <v>212</v>
      </c>
      <c r="D162" s="107" t="s">
        <v>260</v>
      </c>
      <c r="E162" s="102">
        <v>4</v>
      </c>
      <c r="F162" s="75"/>
      <c r="G162" s="74"/>
      <c r="H162" s="71">
        <f t="shared" si="2"/>
        <v>0</v>
      </c>
    </row>
    <row r="163" spans="2:8" ht="15.75" customHeight="1">
      <c r="B163" s="101">
        <v>46034</v>
      </c>
      <c r="C163" s="106" t="s">
        <v>86</v>
      </c>
      <c r="D163" s="107" t="s">
        <v>260</v>
      </c>
      <c r="E163" s="102"/>
      <c r="F163" s="75"/>
      <c r="G163" s="74"/>
      <c r="H163" s="71">
        <f t="shared" si="2"/>
        <v>0</v>
      </c>
    </row>
    <row r="164" spans="2:8" ht="15.75" customHeight="1">
      <c r="B164" s="101">
        <v>46034</v>
      </c>
      <c r="C164" s="97" t="s">
        <v>213</v>
      </c>
      <c r="D164" s="107" t="s">
        <v>260</v>
      </c>
      <c r="E164" s="102">
        <v>1</v>
      </c>
      <c r="F164" s="75"/>
      <c r="G164" s="74"/>
      <c r="H164" s="71">
        <f t="shared" si="2"/>
        <v>0</v>
      </c>
    </row>
    <row r="165" spans="2:8" ht="15.75" customHeight="1">
      <c r="B165" s="101">
        <v>46034</v>
      </c>
      <c r="C165" s="97" t="s">
        <v>214</v>
      </c>
      <c r="D165" s="107" t="s">
        <v>260</v>
      </c>
      <c r="E165" s="102"/>
      <c r="F165" s="75"/>
      <c r="G165" s="74"/>
      <c r="H165" s="71">
        <f t="shared" si="2"/>
        <v>0</v>
      </c>
    </row>
    <row r="166" spans="2:8" ht="15.75" customHeight="1">
      <c r="B166" s="101">
        <v>46034</v>
      </c>
      <c r="C166" s="97" t="s">
        <v>215</v>
      </c>
      <c r="D166" s="107" t="s">
        <v>260</v>
      </c>
      <c r="E166" s="102"/>
      <c r="F166" s="75"/>
      <c r="G166" s="74"/>
      <c r="H166" s="71">
        <f t="shared" si="2"/>
        <v>0</v>
      </c>
    </row>
    <row r="167" spans="2:8" ht="15.75" customHeight="1">
      <c r="B167" s="101">
        <v>46034</v>
      </c>
      <c r="C167" s="97" t="s">
        <v>216</v>
      </c>
      <c r="D167" s="107" t="s">
        <v>260</v>
      </c>
      <c r="E167" s="102">
        <v>1</v>
      </c>
      <c r="F167" s="75"/>
      <c r="G167" s="74"/>
      <c r="H167" s="71">
        <f t="shared" si="2"/>
        <v>0</v>
      </c>
    </row>
    <row r="168" spans="2:8" ht="15.75" customHeight="1">
      <c r="B168" s="101">
        <v>46034</v>
      </c>
      <c r="C168" s="106" t="s">
        <v>87</v>
      </c>
      <c r="D168" s="107" t="s">
        <v>260</v>
      </c>
      <c r="E168" s="102"/>
      <c r="F168" s="75"/>
      <c r="G168" s="74"/>
      <c r="H168" s="71">
        <f t="shared" si="2"/>
        <v>0</v>
      </c>
    </row>
    <row r="169" spans="2:8" s="129" customFormat="1" ht="15.75" customHeight="1">
      <c r="B169" s="101">
        <v>46034</v>
      </c>
      <c r="C169" s="97" t="s">
        <v>268</v>
      </c>
      <c r="D169" s="107" t="s">
        <v>260</v>
      </c>
      <c r="E169" s="102"/>
      <c r="F169" s="75"/>
      <c r="G169" s="74"/>
      <c r="H169" s="71">
        <f>F169*E169</f>
        <v>0</v>
      </c>
    </row>
    <row r="170" spans="2:8" ht="15.75" customHeight="1">
      <c r="B170" s="101">
        <v>46034</v>
      </c>
      <c r="C170" s="97" t="s">
        <v>217</v>
      </c>
      <c r="D170" s="107" t="s">
        <v>260</v>
      </c>
      <c r="E170" s="102">
        <v>7</v>
      </c>
      <c r="F170" s="75"/>
      <c r="G170" s="74"/>
      <c r="H170" s="71">
        <f t="shared" si="2"/>
        <v>0</v>
      </c>
    </row>
    <row r="171" spans="2:8" ht="15.75" customHeight="1">
      <c r="B171" s="101">
        <v>46034</v>
      </c>
      <c r="C171" s="97" t="s">
        <v>218</v>
      </c>
      <c r="D171" s="107" t="s">
        <v>260</v>
      </c>
      <c r="E171" s="102">
        <v>27</v>
      </c>
      <c r="F171" s="75"/>
      <c r="G171" s="74"/>
      <c r="H171" s="71">
        <f t="shared" si="2"/>
        <v>0</v>
      </c>
    </row>
    <row r="172" spans="2:8" ht="15.75" customHeight="1">
      <c r="B172" s="101">
        <v>46034</v>
      </c>
      <c r="C172" s="97" t="s">
        <v>219</v>
      </c>
      <c r="D172" s="107" t="s">
        <v>260</v>
      </c>
      <c r="E172" s="102">
        <v>6</v>
      </c>
      <c r="F172" s="75"/>
      <c r="G172" s="74"/>
      <c r="H172" s="71">
        <f t="shared" si="2"/>
        <v>0</v>
      </c>
    </row>
    <row r="173" spans="2:8" ht="15.75" customHeight="1">
      <c r="B173" s="101">
        <v>46034</v>
      </c>
      <c r="C173" s="97" t="s">
        <v>220</v>
      </c>
      <c r="D173" s="107" t="s">
        <v>260</v>
      </c>
      <c r="E173" s="102"/>
      <c r="F173" s="75"/>
      <c r="G173" s="74"/>
      <c r="H173" s="71">
        <f t="shared" si="2"/>
        <v>0</v>
      </c>
    </row>
    <row r="174" spans="2:8" ht="15.75" customHeight="1">
      <c r="B174" s="101">
        <v>46034</v>
      </c>
      <c r="C174" s="97" t="s">
        <v>221</v>
      </c>
      <c r="D174" s="107" t="s">
        <v>260</v>
      </c>
      <c r="E174" s="102"/>
      <c r="F174" s="75"/>
      <c r="G174" s="74"/>
      <c r="H174" s="71">
        <f t="shared" si="2"/>
        <v>0</v>
      </c>
    </row>
    <row r="175" spans="2:8" ht="15.75" customHeight="1">
      <c r="B175" s="101">
        <v>46034</v>
      </c>
      <c r="C175" s="106" t="s">
        <v>88</v>
      </c>
      <c r="D175" s="107" t="s">
        <v>260</v>
      </c>
      <c r="E175" s="102"/>
      <c r="F175" s="75"/>
      <c r="G175" s="74"/>
      <c r="H175" s="71">
        <f t="shared" si="2"/>
        <v>0</v>
      </c>
    </row>
    <row r="176" spans="2:8" ht="15.75" customHeight="1">
      <c r="B176" s="101">
        <v>46034</v>
      </c>
      <c r="C176" s="97" t="s">
        <v>222</v>
      </c>
      <c r="D176" s="107" t="s">
        <v>260</v>
      </c>
      <c r="E176" s="102">
        <v>2</v>
      </c>
      <c r="F176" s="75"/>
      <c r="G176" s="74"/>
      <c r="H176" s="71">
        <f t="shared" si="2"/>
        <v>0</v>
      </c>
    </row>
    <row r="177" spans="2:8" ht="15.75" customHeight="1">
      <c r="B177" s="101">
        <v>46034</v>
      </c>
      <c r="C177" s="97" t="s">
        <v>223</v>
      </c>
      <c r="D177" s="107" t="s">
        <v>260</v>
      </c>
      <c r="E177" s="102">
        <v>6</v>
      </c>
      <c r="F177" s="75"/>
      <c r="G177" s="74"/>
      <c r="H177" s="71">
        <f t="shared" si="2"/>
        <v>0</v>
      </c>
    </row>
    <row r="178" spans="2:8" ht="15.75" customHeight="1">
      <c r="B178" s="101">
        <v>46034</v>
      </c>
      <c r="C178" s="97" t="s">
        <v>224</v>
      </c>
      <c r="D178" s="107" t="s">
        <v>260</v>
      </c>
      <c r="E178" s="102">
        <v>7</v>
      </c>
      <c r="F178" s="75"/>
      <c r="G178" s="74"/>
      <c r="H178" s="71">
        <f t="shared" si="2"/>
        <v>0</v>
      </c>
    </row>
    <row r="179" spans="2:8" ht="15.75" customHeight="1">
      <c r="B179" s="101">
        <v>46034</v>
      </c>
      <c r="C179" s="97" t="s">
        <v>225</v>
      </c>
      <c r="D179" s="107" t="s">
        <v>260</v>
      </c>
      <c r="E179" s="102"/>
      <c r="F179" s="75"/>
      <c r="G179" s="74"/>
      <c r="H179" s="71">
        <f t="shared" si="2"/>
        <v>0</v>
      </c>
    </row>
    <row r="180" spans="2:8" ht="15.75" customHeight="1">
      <c r="B180" s="101">
        <v>46034</v>
      </c>
      <c r="C180" s="106" t="s">
        <v>89</v>
      </c>
      <c r="D180" s="107" t="s">
        <v>260</v>
      </c>
      <c r="E180" s="102"/>
      <c r="F180" s="75"/>
      <c r="G180" s="74"/>
      <c r="H180" s="71">
        <f t="shared" si="2"/>
        <v>0</v>
      </c>
    </row>
    <row r="181" spans="2:8" ht="15.75" customHeight="1">
      <c r="B181" s="101">
        <v>46034</v>
      </c>
      <c r="C181" s="97" t="s">
        <v>226</v>
      </c>
      <c r="D181" s="107" t="s">
        <v>260</v>
      </c>
      <c r="E181" s="102"/>
      <c r="F181" s="75"/>
      <c r="G181" s="74"/>
      <c r="H181" s="71">
        <f t="shared" si="2"/>
        <v>0</v>
      </c>
    </row>
    <row r="182" spans="2:8" ht="15.75" customHeight="1">
      <c r="B182" s="101">
        <v>46034</v>
      </c>
      <c r="C182" s="97" t="s">
        <v>227</v>
      </c>
      <c r="D182" s="107" t="s">
        <v>260</v>
      </c>
      <c r="E182" s="102">
        <v>4</v>
      </c>
      <c r="F182" s="75"/>
      <c r="G182" s="74"/>
      <c r="H182" s="71">
        <f t="shared" si="2"/>
        <v>0</v>
      </c>
    </row>
    <row r="183" spans="2:8" ht="15.75" customHeight="1">
      <c r="B183" s="101">
        <v>46034</v>
      </c>
      <c r="C183" s="97" t="s">
        <v>228</v>
      </c>
      <c r="D183" s="107" t="s">
        <v>260</v>
      </c>
      <c r="E183" s="102">
        <v>10</v>
      </c>
      <c r="F183" s="75"/>
      <c r="G183" s="74"/>
      <c r="H183" s="71">
        <f t="shared" si="2"/>
        <v>0</v>
      </c>
    </row>
    <row r="184" spans="2:8" ht="15.75" customHeight="1">
      <c r="B184" s="101">
        <v>46034</v>
      </c>
      <c r="C184" s="97" t="s">
        <v>229</v>
      </c>
      <c r="D184" s="107" t="s">
        <v>260</v>
      </c>
      <c r="E184" s="102">
        <v>4</v>
      </c>
      <c r="F184" s="75"/>
      <c r="G184" s="74"/>
      <c r="H184" s="71">
        <f t="shared" si="2"/>
        <v>0</v>
      </c>
    </row>
    <row r="185" spans="2:8" s="129" customFormat="1" ht="15.75" customHeight="1">
      <c r="B185" s="101">
        <v>46034</v>
      </c>
      <c r="C185" s="106" t="s">
        <v>274</v>
      </c>
      <c r="D185" s="107" t="s">
        <v>260</v>
      </c>
      <c r="E185" s="102"/>
      <c r="F185" s="75"/>
      <c r="G185" s="74"/>
      <c r="H185" s="71">
        <f t="shared" si="2"/>
        <v>0</v>
      </c>
    </row>
    <row r="186" spans="2:8" s="129" customFormat="1" ht="15.75" customHeight="1">
      <c r="B186" s="101">
        <v>46034</v>
      </c>
      <c r="C186" s="97" t="s">
        <v>275</v>
      </c>
      <c r="D186" s="107" t="s">
        <v>260</v>
      </c>
      <c r="E186" s="102"/>
      <c r="F186" s="75"/>
      <c r="G186" s="74"/>
      <c r="H186" s="71">
        <f t="shared" si="2"/>
        <v>0</v>
      </c>
    </row>
    <row r="187" spans="2:8" s="129" customFormat="1" ht="15.75" customHeight="1">
      <c r="B187" s="101">
        <v>46034</v>
      </c>
      <c r="C187" s="106" t="s">
        <v>276</v>
      </c>
      <c r="D187" s="107" t="s">
        <v>260</v>
      </c>
      <c r="E187" s="102"/>
      <c r="F187" s="75"/>
      <c r="G187" s="74"/>
      <c r="H187" s="71">
        <f t="shared" si="2"/>
        <v>0</v>
      </c>
    </row>
    <row r="188" spans="2:8" s="144" customFormat="1" ht="15.75" customHeight="1">
      <c r="B188" s="101">
        <v>46034</v>
      </c>
      <c r="C188" s="97" t="s">
        <v>296</v>
      </c>
      <c r="D188" s="107" t="s">
        <v>260</v>
      </c>
      <c r="E188" s="102">
        <v>4</v>
      </c>
      <c r="F188" s="75"/>
      <c r="G188" s="74"/>
      <c r="H188" s="71">
        <f t="shared" si="2"/>
        <v>0</v>
      </c>
    </row>
    <row r="189" spans="2:8" s="146" customFormat="1" ht="15.75" customHeight="1">
      <c r="B189" s="101">
        <v>46034</v>
      </c>
      <c r="C189" s="97" t="s">
        <v>295</v>
      </c>
      <c r="D189" s="107" t="s">
        <v>260</v>
      </c>
      <c r="E189" s="102">
        <v>7</v>
      </c>
      <c r="F189" s="75"/>
      <c r="G189" s="74"/>
      <c r="H189" s="71">
        <f t="shared" si="2"/>
        <v>0</v>
      </c>
    </row>
    <row r="190" spans="2:8" s="129" customFormat="1" ht="15.75" customHeight="1">
      <c r="B190" s="101">
        <v>46034</v>
      </c>
      <c r="C190" s="97" t="s">
        <v>277</v>
      </c>
      <c r="D190" s="107" t="s">
        <v>260</v>
      </c>
      <c r="E190" s="102">
        <v>5</v>
      </c>
      <c r="F190" s="75"/>
      <c r="G190" s="74"/>
      <c r="H190" s="71">
        <f t="shared" si="2"/>
        <v>0</v>
      </c>
    </row>
    <row r="191" spans="2:8" s="129" customFormat="1" ht="15.75" customHeight="1">
      <c r="B191" s="101">
        <v>46034</v>
      </c>
      <c r="C191" s="97" t="s">
        <v>278</v>
      </c>
      <c r="D191" s="107" t="s">
        <v>260</v>
      </c>
      <c r="E191" s="102">
        <v>3</v>
      </c>
      <c r="F191" s="75"/>
      <c r="G191" s="74"/>
      <c r="H191" s="71">
        <f t="shared" si="2"/>
        <v>0</v>
      </c>
    </row>
    <row r="192" spans="2:8" s="129" customFormat="1" ht="15.75" customHeight="1">
      <c r="B192" s="101">
        <v>46034</v>
      </c>
      <c r="C192" s="106" t="s">
        <v>279</v>
      </c>
      <c r="D192" s="107" t="s">
        <v>260</v>
      </c>
      <c r="E192" s="102"/>
      <c r="F192" s="75"/>
      <c r="G192" s="74"/>
      <c r="H192" s="71">
        <f t="shared" si="2"/>
        <v>0</v>
      </c>
    </row>
    <row r="193" spans="2:8" s="129" customFormat="1" ht="15.75" customHeight="1">
      <c r="B193" s="101">
        <v>46034</v>
      </c>
      <c r="C193" s="97" t="s">
        <v>281</v>
      </c>
      <c r="D193" s="107" t="s">
        <v>260</v>
      </c>
      <c r="E193" s="102">
        <v>4</v>
      </c>
      <c r="F193" s="75"/>
      <c r="G193" s="74"/>
      <c r="H193" s="71">
        <f t="shared" si="2"/>
        <v>0</v>
      </c>
    </row>
    <row r="194" spans="2:8" s="129" customFormat="1" ht="15.75" customHeight="1">
      <c r="B194" s="101">
        <v>46034</v>
      </c>
      <c r="C194" s="97" t="s">
        <v>280</v>
      </c>
      <c r="D194" s="107" t="s">
        <v>260</v>
      </c>
      <c r="E194" s="102">
        <v>4</v>
      </c>
      <c r="F194" s="75"/>
      <c r="G194" s="74"/>
      <c r="H194" s="71">
        <f t="shared" si="2"/>
        <v>0</v>
      </c>
    </row>
    <row r="195" spans="2:8" s="144" customFormat="1" ht="15.75" customHeight="1">
      <c r="B195" s="101">
        <v>46034</v>
      </c>
      <c r="C195" s="106" t="s">
        <v>297</v>
      </c>
      <c r="D195" s="107" t="s">
        <v>260</v>
      </c>
      <c r="E195" s="102"/>
      <c r="F195" s="75"/>
      <c r="G195" s="74"/>
      <c r="H195" s="71">
        <f t="shared" si="2"/>
        <v>0</v>
      </c>
    </row>
    <row r="196" spans="2:8" s="144" customFormat="1" ht="15.75" customHeight="1">
      <c r="B196" s="101">
        <v>46034</v>
      </c>
      <c r="C196" s="97" t="s">
        <v>298</v>
      </c>
      <c r="D196" s="107" t="s">
        <v>260</v>
      </c>
      <c r="E196" s="102">
        <v>2</v>
      </c>
      <c r="F196" s="75"/>
      <c r="G196" s="74"/>
      <c r="H196" s="71">
        <f t="shared" si="2"/>
        <v>0</v>
      </c>
    </row>
    <row r="197" spans="2:8" s="144" customFormat="1" ht="15.75" customHeight="1">
      <c r="B197" s="101">
        <v>46034</v>
      </c>
      <c r="C197" s="97" t="s">
        <v>299</v>
      </c>
      <c r="D197" s="107" t="s">
        <v>260</v>
      </c>
      <c r="E197" s="102">
        <v>8</v>
      </c>
      <c r="F197" s="75"/>
      <c r="G197" s="74"/>
      <c r="H197" s="71">
        <f t="shared" si="2"/>
        <v>0</v>
      </c>
    </row>
    <row r="198" spans="2:8" s="144" customFormat="1" ht="15.75" customHeight="1">
      <c r="B198" s="101">
        <v>46034</v>
      </c>
      <c r="C198" s="97" t="s">
        <v>300</v>
      </c>
      <c r="D198" s="107" t="s">
        <v>260</v>
      </c>
      <c r="E198" s="102">
        <v>4</v>
      </c>
      <c r="F198" s="75"/>
      <c r="G198" s="74"/>
      <c r="H198" s="71">
        <f t="shared" si="2"/>
        <v>0</v>
      </c>
    </row>
    <row r="199" spans="2:8" s="144" customFormat="1" ht="15.75" customHeight="1">
      <c r="B199" s="101">
        <v>46034</v>
      </c>
      <c r="C199" s="97" t="s">
        <v>301</v>
      </c>
      <c r="D199" s="107" t="s">
        <v>260</v>
      </c>
      <c r="E199" s="102">
        <v>3</v>
      </c>
      <c r="F199" s="75"/>
      <c r="G199" s="74"/>
      <c r="H199" s="71">
        <f t="shared" si="2"/>
        <v>0</v>
      </c>
    </row>
    <row r="200" spans="2:8" s="144" customFormat="1" ht="15.75" customHeight="1">
      <c r="B200" s="101">
        <v>46034</v>
      </c>
      <c r="C200" s="97" t="s">
        <v>302</v>
      </c>
      <c r="D200" s="107" t="s">
        <v>260</v>
      </c>
      <c r="E200" s="102">
        <v>2</v>
      </c>
      <c r="F200" s="75"/>
      <c r="G200" s="74"/>
      <c r="H200" s="71">
        <f t="shared" si="2"/>
        <v>0</v>
      </c>
    </row>
    <row r="201" spans="2:8" s="145" customFormat="1" ht="15.75" customHeight="1">
      <c r="B201" s="101">
        <v>46034</v>
      </c>
      <c r="C201" s="97" t="s">
        <v>306</v>
      </c>
      <c r="D201" s="107" t="s">
        <v>260</v>
      </c>
      <c r="E201" s="102"/>
      <c r="F201" s="75"/>
      <c r="G201" s="74"/>
      <c r="H201" s="71">
        <f>F201*E201</f>
        <v>0</v>
      </c>
    </row>
    <row r="202" spans="2:8" s="145" customFormat="1" ht="15.75" customHeight="1">
      <c r="B202" s="101">
        <v>46034</v>
      </c>
      <c r="C202" s="97" t="s">
        <v>307</v>
      </c>
      <c r="D202" s="107" t="s">
        <v>260</v>
      </c>
      <c r="E202" s="102">
        <v>2</v>
      </c>
      <c r="F202" s="75"/>
      <c r="G202" s="74"/>
      <c r="H202" s="71">
        <f>F202*E202</f>
        <v>0</v>
      </c>
    </row>
    <row r="203" spans="2:8" ht="15.75" customHeight="1">
      <c r="B203" s="101">
        <v>46034</v>
      </c>
      <c r="C203" s="106" t="s">
        <v>230</v>
      </c>
      <c r="D203" s="107" t="s">
        <v>260</v>
      </c>
      <c r="E203" s="102"/>
      <c r="F203" s="75"/>
      <c r="G203" s="74"/>
      <c r="H203" s="71">
        <f t="shared" si="2"/>
        <v>0</v>
      </c>
    </row>
    <row r="204" spans="2:8" ht="15.75" customHeight="1">
      <c r="B204" s="101">
        <v>46034</v>
      </c>
      <c r="C204" s="97" t="s">
        <v>232</v>
      </c>
      <c r="D204" s="107" t="s">
        <v>260</v>
      </c>
      <c r="E204" s="102">
        <v>18</v>
      </c>
      <c r="F204" s="75"/>
      <c r="G204" s="74"/>
      <c r="H204" s="71">
        <f t="shared" si="2"/>
        <v>0</v>
      </c>
    </row>
    <row r="205" spans="2:8" ht="15.75" customHeight="1">
      <c r="B205" s="101">
        <v>46034</v>
      </c>
      <c r="C205" s="97" t="s">
        <v>233</v>
      </c>
      <c r="D205" s="107" t="s">
        <v>260</v>
      </c>
      <c r="E205" s="102">
        <v>85</v>
      </c>
      <c r="F205" s="75"/>
      <c r="G205" s="74"/>
      <c r="H205" s="71">
        <f t="shared" si="2"/>
        <v>0</v>
      </c>
    </row>
    <row r="206" spans="2:8" ht="15.75" customHeight="1">
      <c r="B206" s="101">
        <v>46034</v>
      </c>
      <c r="C206" s="97" t="s">
        <v>234</v>
      </c>
      <c r="D206" s="107" t="s">
        <v>260</v>
      </c>
      <c r="E206" s="102">
        <v>61</v>
      </c>
      <c r="F206" s="75"/>
      <c r="G206" s="74"/>
      <c r="H206" s="71">
        <f t="shared" si="2"/>
        <v>0</v>
      </c>
    </row>
    <row r="207" spans="2:8" ht="15.75" customHeight="1">
      <c r="B207" s="101">
        <v>46034</v>
      </c>
      <c r="C207" s="97" t="s">
        <v>235</v>
      </c>
      <c r="D207" s="107" t="s">
        <v>260</v>
      </c>
      <c r="E207" s="102">
        <v>31</v>
      </c>
      <c r="F207" s="75"/>
      <c r="G207" s="74"/>
      <c r="H207" s="71">
        <f t="shared" si="2"/>
        <v>0</v>
      </c>
    </row>
    <row r="208" spans="2:8" ht="15.75" customHeight="1">
      <c r="B208" s="101">
        <v>46034</v>
      </c>
      <c r="C208" s="97" t="s">
        <v>236</v>
      </c>
      <c r="D208" s="107" t="s">
        <v>260</v>
      </c>
      <c r="E208" s="102">
        <v>15</v>
      </c>
      <c r="F208" s="75"/>
      <c r="G208" s="74"/>
      <c r="H208" s="71">
        <f t="shared" si="2"/>
        <v>0</v>
      </c>
    </row>
    <row r="209" spans="2:8" ht="15.75" customHeight="1">
      <c r="B209" s="101">
        <v>46034</v>
      </c>
      <c r="C209" s="97" t="s">
        <v>237</v>
      </c>
      <c r="D209" s="107" t="s">
        <v>260</v>
      </c>
      <c r="E209" s="102">
        <v>60</v>
      </c>
      <c r="F209" s="75"/>
      <c r="G209" s="74"/>
      <c r="H209" s="71">
        <f t="shared" si="2"/>
        <v>0</v>
      </c>
    </row>
    <row r="210" spans="2:8" ht="15.75" customHeight="1">
      <c r="B210" s="101">
        <v>46034</v>
      </c>
      <c r="C210" s="97" t="s">
        <v>238</v>
      </c>
      <c r="D210" s="107" t="s">
        <v>260</v>
      </c>
      <c r="E210" s="102">
        <v>1</v>
      </c>
      <c r="F210" s="75"/>
      <c r="G210" s="74"/>
      <c r="H210" s="71">
        <f t="shared" si="2"/>
        <v>0</v>
      </c>
    </row>
    <row r="211" spans="2:8" ht="15.75" customHeight="1">
      <c r="B211" s="101">
        <v>46034</v>
      </c>
      <c r="C211" s="97" t="s">
        <v>239</v>
      </c>
      <c r="D211" s="107" t="s">
        <v>260</v>
      </c>
      <c r="E211" s="102">
        <v>6</v>
      </c>
      <c r="F211" s="75"/>
      <c r="G211" s="74"/>
      <c r="H211" s="71">
        <f t="shared" si="2"/>
        <v>0</v>
      </c>
    </row>
    <row r="212" spans="2:8" ht="15.75" customHeight="1">
      <c r="B212" s="101">
        <v>46034</v>
      </c>
      <c r="C212" s="97" t="s">
        <v>240</v>
      </c>
      <c r="D212" s="107" t="s">
        <v>260</v>
      </c>
      <c r="E212" s="102">
        <v>2</v>
      </c>
      <c r="F212" s="75"/>
      <c r="G212" s="74"/>
      <c r="H212" s="71">
        <f t="shared" si="2"/>
        <v>0</v>
      </c>
    </row>
    <row r="213" spans="2:8" ht="15.75" customHeight="1">
      <c r="B213" s="101">
        <v>46034</v>
      </c>
      <c r="C213" s="97" t="s">
        <v>241</v>
      </c>
      <c r="D213" s="107" t="s">
        <v>260</v>
      </c>
      <c r="E213" s="102">
        <v>12</v>
      </c>
      <c r="F213" s="75"/>
      <c r="G213" s="74"/>
      <c r="H213" s="71">
        <f t="shared" si="2"/>
        <v>0</v>
      </c>
    </row>
    <row r="214" spans="2:8" ht="15.75" customHeight="1">
      <c r="B214" s="101">
        <v>46034</v>
      </c>
      <c r="C214" s="97" t="s">
        <v>242</v>
      </c>
      <c r="D214" s="107" t="s">
        <v>260</v>
      </c>
      <c r="E214" s="102">
        <v>3</v>
      </c>
      <c r="F214" s="75"/>
      <c r="G214" s="74"/>
      <c r="H214" s="71">
        <f t="shared" si="2"/>
        <v>0</v>
      </c>
    </row>
    <row r="215" spans="2:8" ht="15.75" customHeight="1">
      <c r="B215" s="101">
        <v>46034</v>
      </c>
      <c r="C215" s="106" t="s">
        <v>243</v>
      </c>
      <c r="D215" s="107" t="s">
        <v>260</v>
      </c>
      <c r="E215" s="102"/>
      <c r="F215" s="75"/>
      <c r="G215" s="74"/>
      <c r="H215" s="71">
        <f t="shared" si="2"/>
        <v>0</v>
      </c>
    </row>
    <row r="216" spans="2:8" ht="15.75" customHeight="1">
      <c r="B216" s="101">
        <v>46034</v>
      </c>
      <c r="C216" s="97" t="s">
        <v>244</v>
      </c>
      <c r="D216" s="107" t="s">
        <v>260</v>
      </c>
      <c r="E216" s="102">
        <v>1</v>
      </c>
      <c r="F216" s="75"/>
      <c r="G216" s="74"/>
      <c r="H216" s="71">
        <f t="shared" si="2"/>
        <v>0</v>
      </c>
    </row>
    <row r="217" spans="2:8" ht="15.75" customHeight="1">
      <c r="B217" s="101">
        <v>46034</v>
      </c>
      <c r="C217" s="97" t="s">
        <v>245</v>
      </c>
      <c r="D217" s="107" t="s">
        <v>260</v>
      </c>
      <c r="E217" s="102">
        <v>1</v>
      </c>
      <c r="F217" s="75"/>
      <c r="G217" s="74"/>
      <c r="H217" s="71">
        <f t="shared" si="2"/>
        <v>0</v>
      </c>
    </row>
    <row r="218" spans="2:8" ht="15.75" customHeight="1">
      <c r="B218" s="101">
        <v>46034</v>
      </c>
      <c r="C218" s="97" t="s">
        <v>246</v>
      </c>
      <c r="D218" s="107" t="s">
        <v>260</v>
      </c>
      <c r="E218" s="102">
        <v>2</v>
      </c>
      <c r="F218" s="75"/>
      <c r="G218" s="74"/>
      <c r="H218" s="71">
        <f t="shared" si="2"/>
        <v>0</v>
      </c>
    </row>
    <row r="219" spans="2:8" ht="15.75" customHeight="1">
      <c r="B219" s="101">
        <v>46034</v>
      </c>
      <c r="C219" s="97" t="s">
        <v>247</v>
      </c>
      <c r="D219" s="107" t="s">
        <v>260</v>
      </c>
      <c r="E219" s="102"/>
      <c r="F219" s="75"/>
      <c r="G219" s="74"/>
      <c r="H219" s="71">
        <f t="shared" ref="H219:H283" si="3">F219*E219</f>
        <v>0</v>
      </c>
    </row>
    <row r="220" spans="2:8" ht="15.75" customHeight="1">
      <c r="B220" s="101">
        <v>46034</v>
      </c>
      <c r="C220" s="97" t="s">
        <v>248</v>
      </c>
      <c r="D220" s="107" t="s">
        <v>260</v>
      </c>
      <c r="E220" s="102">
        <v>1</v>
      </c>
      <c r="F220" s="75"/>
      <c r="G220" s="74"/>
      <c r="H220" s="71">
        <f t="shared" si="3"/>
        <v>0</v>
      </c>
    </row>
    <row r="221" spans="2:8" ht="15.75" customHeight="1">
      <c r="B221" s="101">
        <v>46034</v>
      </c>
      <c r="C221" s="97" t="s">
        <v>249</v>
      </c>
      <c r="D221" s="107" t="s">
        <v>260</v>
      </c>
      <c r="E221" s="102">
        <v>1</v>
      </c>
      <c r="F221" s="75"/>
      <c r="G221" s="74"/>
      <c r="H221" s="71">
        <f t="shared" si="3"/>
        <v>0</v>
      </c>
    </row>
    <row r="222" spans="2:8" ht="15.75" customHeight="1">
      <c r="B222" s="101">
        <v>46034</v>
      </c>
      <c r="C222" s="97" t="s">
        <v>250</v>
      </c>
      <c r="D222" s="107" t="s">
        <v>260</v>
      </c>
      <c r="E222" s="102">
        <v>2</v>
      </c>
      <c r="F222" s="75"/>
      <c r="G222" s="74"/>
      <c r="H222" s="71">
        <f t="shared" si="3"/>
        <v>0</v>
      </c>
    </row>
    <row r="223" spans="2:8" ht="15.75" customHeight="1">
      <c r="B223" s="101">
        <v>46034</v>
      </c>
      <c r="C223" s="97" t="s">
        <v>251</v>
      </c>
      <c r="D223" s="107" t="s">
        <v>260</v>
      </c>
      <c r="E223" s="102">
        <v>3</v>
      </c>
      <c r="F223" s="75"/>
      <c r="G223" s="74"/>
      <c r="H223" s="71">
        <f t="shared" si="3"/>
        <v>0</v>
      </c>
    </row>
    <row r="224" spans="2:8" ht="15.75" customHeight="1">
      <c r="B224" s="101">
        <v>46034</v>
      </c>
      <c r="C224" s="97" t="s">
        <v>252</v>
      </c>
      <c r="D224" s="107" t="s">
        <v>260</v>
      </c>
      <c r="E224" s="102">
        <v>4</v>
      </c>
      <c r="F224" s="75"/>
      <c r="G224" s="74"/>
      <c r="H224" s="71">
        <f t="shared" si="3"/>
        <v>0</v>
      </c>
    </row>
    <row r="225" spans="2:8" ht="15.75" customHeight="1">
      <c r="B225" s="101">
        <v>46034</v>
      </c>
      <c r="C225" s="97" t="s">
        <v>253</v>
      </c>
      <c r="D225" s="107" t="s">
        <v>260</v>
      </c>
      <c r="E225" s="102">
        <v>4</v>
      </c>
      <c r="F225" s="75"/>
      <c r="G225" s="74"/>
      <c r="H225" s="71">
        <f t="shared" si="3"/>
        <v>0</v>
      </c>
    </row>
    <row r="226" spans="2:8" ht="15.75" customHeight="1">
      <c r="B226" s="101">
        <v>46034</v>
      </c>
      <c r="C226" s="97" t="s">
        <v>257</v>
      </c>
      <c r="D226" s="107" t="s">
        <v>260</v>
      </c>
      <c r="E226" s="102">
        <v>9</v>
      </c>
      <c r="F226" s="75"/>
      <c r="G226" s="74"/>
      <c r="H226" s="71">
        <f t="shared" si="3"/>
        <v>0</v>
      </c>
    </row>
    <row r="227" spans="2:8" ht="15.75" customHeight="1">
      <c r="B227" s="101">
        <v>46034</v>
      </c>
      <c r="C227" s="97" t="s">
        <v>258</v>
      </c>
      <c r="D227" s="107" t="s">
        <v>260</v>
      </c>
      <c r="E227" s="102">
        <v>2</v>
      </c>
      <c r="F227" s="75"/>
      <c r="G227" s="74"/>
      <c r="H227" s="71">
        <f t="shared" si="3"/>
        <v>0</v>
      </c>
    </row>
    <row r="228" spans="2:8" ht="15.75" customHeight="1">
      <c r="B228" s="101">
        <v>46034</v>
      </c>
      <c r="C228" s="97" t="s">
        <v>259</v>
      </c>
      <c r="D228" s="107" t="s">
        <v>260</v>
      </c>
      <c r="E228" s="102">
        <v>1</v>
      </c>
      <c r="F228" s="75"/>
      <c r="G228" s="74"/>
      <c r="H228" s="71">
        <f t="shared" si="3"/>
        <v>0</v>
      </c>
    </row>
    <row r="229" spans="2:8" ht="15.75" customHeight="1">
      <c r="B229" s="101">
        <v>46034</v>
      </c>
      <c r="C229" s="97" t="s">
        <v>254</v>
      </c>
      <c r="D229" s="107" t="s">
        <v>260</v>
      </c>
      <c r="E229" s="102">
        <v>12</v>
      </c>
      <c r="F229" s="75"/>
      <c r="G229" s="74"/>
      <c r="H229" s="71">
        <f t="shared" si="3"/>
        <v>0</v>
      </c>
    </row>
    <row r="230" spans="2:8" ht="15.75" customHeight="1">
      <c r="B230" s="101">
        <v>46034</v>
      </c>
      <c r="C230" s="97" t="s">
        <v>255</v>
      </c>
      <c r="D230" s="107" t="s">
        <v>260</v>
      </c>
      <c r="E230" s="102">
        <v>21</v>
      </c>
      <c r="F230" s="75"/>
      <c r="G230" s="74"/>
      <c r="H230" s="71">
        <f t="shared" si="3"/>
        <v>0</v>
      </c>
    </row>
    <row r="231" spans="2:8" ht="15.75" customHeight="1">
      <c r="B231" s="101">
        <v>46034</v>
      </c>
      <c r="C231" s="97" t="s">
        <v>256</v>
      </c>
      <c r="D231" s="107" t="s">
        <v>260</v>
      </c>
      <c r="E231" s="102">
        <v>10</v>
      </c>
      <c r="F231" s="75"/>
      <c r="G231" s="74"/>
      <c r="H231" s="71">
        <f t="shared" si="3"/>
        <v>0</v>
      </c>
    </row>
    <row r="232" spans="2:8" ht="15.75" customHeight="1">
      <c r="B232" s="101">
        <v>46034</v>
      </c>
      <c r="C232" s="97" t="s">
        <v>282</v>
      </c>
      <c r="D232" s="107" t="s">
        <v>260</v>
      </c>
      <c r="E232" s="102">
        <v>74</v>
      </c>
      <c r="F232" s="75"/>
      <c r="G232" s="74"/>
      <c r="H232" s="71">
        <f t="shared" si="3"/>
        <v>0</v>
      </c>
    </row>
    <row r="233" spans="2:8" ht="15.75" customHeight="1">
      <c r="B233" s="101">
        <v>46034</v>
      </c>
      <c r="C233" s="97" t="s">
        <v>283</v>
      </c>
      <c r="D233" s="107" t="s">
        <v>260</v>
      </c>
      <c r="E233" s="102">
        <v>17</v>
      </c>
      <c r="F233" s="75"/>
      <c r="G233" s="74"/>
      <c r="H233" s="71">
        <f t="shared" si="3"/>
        <v>0</v>
      </c>
    </row>
    <row r="234" spans="2:8" s="150" customFormat="1" ht="15.75" customHeight="1">
      <c r="B234" s="101">
        <v>46034</v>
      </c>
      <c r="C234" s="97" t="s">
        <v>330</v>
      </c>
      <c r="D234" s="107" t="s">
        <v>260</v>
      </c>
      <c r="E234" s="102">
        <v>13</v>
      </c>
      <c r="F234" s="75"/>
      <c r="G234" s="74"/>
      <c r="H234" s="71">
        <f>F234*E234</f>
        <v>0</v>
      </c>
    </row>
    <row r="235" spans="2:8" s="150" customFormat="1" ht="15.75" customHeight="1">
      <c r="B235" s="101">
        <v>46034</v>
      </c>
      <c r="C235" s="97" t="s">
        <v>331</v>
      </c>
      <c r="D235" s="107" t="s">
        <v>260</v>
      </c>
      <c r="E235" s="102">
        <v>4</v>
      </c>
      <c r="F235" s="75"/>
      <c r="G235" s="74"/>
      <c r="H235" s="71">
        <f>F235*E235</f>
        <v>0</v>
      </c>
    </row>
    <row r="236" spans="2:8" ht="15.75" customHeight="1">
      <c r="B236" s="101">
        <v>46034</v>
      </c>
      <c r="C236" s="97" t="s">
        <v>332</v>
      </c>
      <c r="D236" s="107" t="s">
        <v>260</v>
      </c>
      <c r="E236" s="102">
        <v>4</v>
      </c>
      <c r="F236" s="75"/>
      <c r="G236" s="74"/>
      <c r="H236" s="71">
        <f t="shared" si="3"/>
        <v>0</v>
      </c>
    </row>
    <row r="237" spans="2:8" ht="15.75" customHeight="1">
      <c r="B237" s="101">
        <v>46034</v>
      </c>
      <c r="C237" s="97" t="s">
        <v>284</v>
      </c>
      <c r="D237" s="107" t="s">
        <v>260</v>
      </c>
      <c r="E237" s="102">
        <v>6</v>
      </c>
      <c r="F237" s="75"/>
      <c r="G237" s="74"/>
      <c r="H237" s="71">
        <f t="shared" si="3"/>
        <v>0</v>
      </c>
    </row>
    <row r="238" spans="2:8" ht="15.75" customHeight="1">
      <c r="B238" s="101">
        <v>46034</v>
      </c>
      <c r="C238" s="107" t="s">
        <v>304</v>
      </c>
      <c r="D238" s="107" t="s">
        <v>260</v>
      </c>
      <c r="E238" s="102">
        <v>16</v>
      </c>
      <c r="F238" s="75"/>
      <c r="G238" s="74"/>
      <c r="H238" s="71">
        <f t="shared" si="3"/>
        <v>0</v>
      </c>
    </row>
    <row r="239" spans="2:8" ht="15.75" customHeight="1">
      <c r="B239" s="101">
        <v>46034</v>
      </c>
      <c r="C239" s="107" t="s">
        <v>305</v>
      </c>
      <c r="D239" s="107" t="s">
        <v>260</v>
      </c>
      <c r="E239" s="102">
        <v>4</v>
      </c>
      <c r="F239" s="75"/>
      <c r="G239" s="74"/>
      <c r="H239" s="71">
        <f t="shared" si="3"/>
        <v>0</v>
      </c>
    </row>
    <row r="240" spans="2:8" ht="15.75" customHeight="1">
      <c r="B240" s="101">
        <v>46049</v>
      </c>
      <c r="C240" s="107" t="s">
        <v>254</v>
      </c>
      <c r="D240" s="107" t="s">
        <v>260</v>
      </c>
      <c r="E240" s="102">
        <v>9</v>
      </c>
      <c r="F240" s="75"/>
      <c r="G240" s="74"/>
      <c r="H240" s="71">
        <f t="shared" si="3"/>
        <v>0</v>
      </c>
    </row>
    <row r="241" spans="2:8" ht="15.75" customHeight="1">
      <c r="B241" s="101">
        <v>46049</v>
      </c>
      <c r="C241" s="107" t="s">
        <v>247</v>
      </c>
      <c r="D241" s="107" t="s">
        <v>260</v>
      </c>
      <c r="E241" s="102">
        <v>4</v>
      </c>
      <c r="F241" s="75"/>
      <c r="G241" s="74"/>
      <c r="H241" s="71">
        <f t="shared" si="3"/>
        <v>0</v>
      </c>
    </row>
    <row r="242" spans="2:8" ht="15.75" customHeight="1">
      <c r="B242" s="101">
        <v>46050</v>
      </c>
      <c r="C242" s="107" t="s">
        <v>172</v>
      </c>
      <c r="D242" s="107" t="s">
        <v>260</v>
      </c>
      <c r="E242" s="102">
        <v>2</v>
      </c>
      <c r="F242" s="75"/>
      <c r="G242" s="74"/>
      <c r="H242" s="71">
        <f t="shared" si="3"/>
        <v>0</v>
      </c>
    </row>
    <row r="243" spans="2:8" ht="15.75" customHeight="1">
      <c r="B243" s="101">
        <v>46050</v>
      </c>
      <c r="C243" s="107" t="s">
        <v>171</v>
      </c>
      <c r="D243" s="107" t="s">
        <v>260</v>
      </c>
      <c r="E243" s="102">
        <v>5</v>
      </c>
      <c r="F243" s="75"/>
      <c r="G243" s="74"/>
      <c r="H243" s="71">
        <f t="shared" si="3"/>
        <v>0</v>
      </c>
    </row>
    <row r="244" spans="2:8" ht="15.75" customHeight="1">
      <c r="B244" s="101">
        <v>46050</v>
      </c>
      <c r="C244" s="107" t="s">
        <v>170</v>
      </c>
      <c r="D244" s="107" t="s">
        <v>260</v>
      </c>
      <c r="E244" s="102">
        <v>8</v>
      </c>
      <c r="F244" s="75"/>
      <c r="G244" s="74"/>
      <c r="H244" s="71">
        <f t="shared" si="3"/>
        <v>0</v>
      </c>
    </row>
    <row r="245" spans="2:8" ht="15.75" customHeight="1">
      <c r="B245" s="101">
        <v>46050</v>
      </c>
      <c r="C245" s="107" t="s">
        <v>169</v>
      </c>
      <c r="D245" s="107" t="s">
        <v>260</v>
      </c>
      <c r="E245" s="102">
        <v>20</v>
      </c>
      <c r="F245" s="75"/>
      <c r="G245" s="74"/>
      <c r="H245" s="71">
        <f t="shared" si="3"/>
        <v>0</v>
      </c>
    </row>
    <row r="246" spans="2:8" ht="15.75" customHeight="1">
      <c r="B246" s="101">
        <v>46050</v>
      </c>
      <c r="C246" s="107" t="s">
        <v>148</v>
      </c>
      <c r="D246" s="107" t="s">
        <v>260</v>
      </c>
      <c r="E246" s="102">
        <v>3</v>
      </c>
      <c r="F246" s="75"/>
      <c r="G246" s="74"/>
      <c r="H246" s="71">
        <f t="shared" si="3"/>
        <v>0</v>
      </c>
    </row>
    <row r="247" spans="2:8" ht="15.75" customHeight="1">
      <c r="B247" s="101">
        <v>46050</v>
      </c>
      <c r="C247" s="107" t="s">
        <v>178</v>
      </c>
      <c r="D247" s="107" t="s">
        <v>260</v>
      </c>
      <c r="E247" s="102">
        <v>3</v>
      </c>
      <c r="F247" s="75"/>
      <c r="G247" s="74"/>
      <c r="H247" s="71">
        <f t="shared" si="3"/>
        <v>0</v>
      </c>
    </row>
    <row r="248" spans="2:8" ht="15.75" customHeight="1">
      <c r="B248" s="101">
        <v>46050</v>
      </c>
      <c r="C248" s="107" t="s">
        <v>200</v>
      </c>
      <c r="D248" s="107" t="s">
        <v>260</v>
      </c>
      <c r="E248" s="102">
        <v>2</v>
      </c>
      <c r="F248" s="75"/>
      <c r="G248" s="74"/>
      <c r="H248" s="71">
        <f t="shared" si="3"/>
        <v>0</v>
      </c>
    </row>
    <row r="249" spans="2:8" ht="15.75" customHeight="1">
      <c r="B249" s="101">
        <v>46050</v>
      </c>
      <c r="C249" s="107" t="s">
        <v>106</v>
      </c>
      <c r="D249" s="107" t="s">
        <v>260</v>
      </c>
      <c r="E249" s="102">
        <v>3</v>
      </c>
      <c r="F249" s="75"/>
      <c r="G249" s="74"/>
      <c r="H249" s="71">
        <f t="shared" si="3"/>
        <v>0</v>
      </c>
    </row>
    <row r="250" spans="2:8" ht="15.75" customHeight="1">
      <c r="B250" s="101">
        <v>46050</v>
      </c>
      <c r="C250" s="107" t="s">
        <v>262</v>
      </c>
      <c r="D250" s="107" t="s">
        <v>260</v>
      </c>
      <c r="E250" s="102">
        <v>3</v>
      </c>
      <c r="F250" s="75"/>
      <c r="G250" s="74"/>
      <c r="H250" s="71">
        <f t="shared" si="3"/>
        <v>0</v>
      </c>
    </row>
    <row r="251" spans="2:8" ht="15.75" customHeight="1">
      <c r="B251" s="101">
        <v>46050</v>
      </c>
      <c r="C251" s="107" t="s">
        <v>194</v>
      </c>
      <c r="D251" s="107" t="s">
        <v>260</v>
      </c>
      <c r="E251" s="102">
        <v>6</v>
      </c>
      <c r="F251" s="75"/>
      <c r="G251" s="74"/>
      <c r="H251" s="71">
        <f t="shared" si="3"/>
        <v>0</v>
      </c>
    </row>
    <row r="252" spans="2:8" ht="15.75" customHeight="1">
      <c r="B252" s="101">
        <v>46050</v>
      </c>
      <c r="C252" s="107" t="s">
        <v>153</v>
      </c>
      <c r="D252" s="107" t="s">
        <v>260</v>
      </c>
      <c r="E252" s="102">
        <v>2</v>
      </c>
      <c r="F252" s="75"/>
      <c r="G252" s="74"/>
      <c r="H252" s="71">
        <f t="shared" si="3"/>
        <v>0</v>
      </c>
    </row>
    <row r="253" spans="2:8" ht="15.75" customHeight="1">
      <c r="B253" s="101">
        <v>46050</v>
      </c>
      <c r="C253" s="107" t="s">
        <v>132</v>
      </c>
      <c r="D253" s="107" t="s">
        <v>260</v>
      </c>
      <c r="E253" s="102">
        <v>3</v>
      </c>
      <c r="F253" s="75"/>
      <c r="G253" s="74"/>
      <c r="H253" s="71">
        <f t="shared" si="3"/>
        <v>0</v>
      </c>
    </row>
    <row r="254" spans="2:8" ht="15.75" customHeight="1">
      <c r="B254" s="101">
        <v>46050</v>
      </c>
      <c r="C254" s="107" t="s">
        <v>105</v>
      </c>
      <c r="D254" s="107" t="s">
        <v>260</v>
      </c>
      <c r="E254" s="102">
        <v>10</v>
      </c>
      <c r="F254" s="75"/>
      <c r="G254" s="74"/>
      <c r="H254" s="71">
        <f t="shared" si="3"/>
        <v>0</v>
      </c>
    </row>
    <row r="255" spans="2:8" ht="15.75" customHeight="1">
      <c r="B255" s="101">
        <v>46050</v>
      </c>
      <c r="C255" s="107" t="s">
        <v>158</v>
      </c>
      <c r="D255" s="107" t="s">
        <v>260</v>
      </c>
      <c r="E255" s="102">
        <v>2</v>
      </c>
      <c r="F255" s="75"/>
      <c r="G255" s="74"/>
      <c r="H255" s="71">
        <f t="shared" si="3"/>
        <v>0</v>
      </c>
    </row>
    <row r="256" spans="2:8" ht="15.75" customHeight="1">
      <c r="B256" s="101">
        <v>46050</v>
      </c>
      <c r="C256" s="107" t="s">
        <v>157</v>
      </c>
      <c r="D256" s="107" t="s">
        <v>260</v>
      </c>
      <c r="E256" s="102">
        <v>4</v>
      </c>
      <c r="F256" s="75"/>
      <c r="G256" s="74"/>
      <c r="H256" s="71">
        <f t="shared" si="3"/>
        <v>0</v>
      </c>
    </row>
    <row r="257" spans="2:8" ht="15.75" customHeight="1">
      <c r="B257" s="101">
        <v>46050</v>
      </c>
      <c r="C257" s="107" t="s">
        <v>168</v>
      </c>
      <c r="D257" s="107" t="s">
        <v>260</v>
      </c>
      <c r="E257" s="102">
        <v>20</v>
      </c>
      <c r="F257" s="75"/>
      <c r="G257" s="74"/>
      <c r="H257" s="71">
        <f t="shared" si="3"/>
        <v>0</v>
      </c>
    </row>
    <row r="258" spans="2:8" ht="15.75" customHeight="1">
      <c r="B258" s="101">
        <v>46050</v>
      </c>
      <c r="C258" s="107" t="s">
        <v>151</v>
      </c>
      <c r="D258" s="107" t="s">
        <v>260</v>
      </c>
      <c r="E258" s="102">
        <v>12</v>
      </c>
      <c r="F258" s="75"/>
      <c r="G258" s="74"/>
      <c r="H258" s="71">
        <f t="shared" si="3"/>
        <v>0</v>
      </c>
    </row>
    <row r="259" spans="2:8" ht="15.75" customHeight="1">
      <c r="B259" s="101">
        <v>46050</v>
      </c>
      <c r="C259" s="107" t="s">
        <v>110</v>
      </c>
      <c r="D259" s="107" t="s">
        <v>260</v>
      </c>
      <c r="E259" s="102">
        <v>6</v>
      </c>
      <c r="F259" s="75"/>
      <c r="G259" s="74"/>
      <c r="H259" s="71">
        <f t="shared" si="3"/>
        <v>0</v>
      </c>
    </row>
    <row r="260" spans="2:8" ht="15.75" customHeight="1">
      <c r="B260" s="101">
        <v>46050</v>
      </c>
      <c r="C260" s="107" t="s">
        <v>108</v>
      </c>
      <c r="D260" s="107" t="s">
        <v>260</v>
      </c>
      <c r="E260" s="102">
        <v>6</v>
      </c>
      <c r="F260" s="75"/>
      <c r="G260" s="74"/>
      <c r="H260" s="71">
        <f t="shared" si="3"/>
        <v>0</v>
      </c>
    </row>
    <row r="261" spans="2:8" ht="15.75" customHeight="1">
      <c r="B261" s="101">
        <v>46050</v>
      </c>
      <c r="C261" s="107" t="s">
        <v>107</v>
      </c>
      <c r="D261" s="107" t="s">
        <v>260</v>
      </c>
      <c r="E261" s="102">
        <v>6</v>
      </c>
      <c r="F261" s="75"/>
      <c r="G261" s="74"/>
      <c r="H261" s="71">
        <f t="shared" si="3"/>
        <v>0</v>
      </c>
    </row>
    <row r="262" spans="2:8" ht="15.75" customHeight="1">
      <c r="B262" s="101">
        <v>46050</v>
      </c>
      <c r="C262" s="107" t="s">
        <v>111</v>
      </c>
      <c r="D262" s="107" t="s">
        <v>260</v>
      </c>
      <c r="E262" s="102">
        <v>5</v>
      </c>
      <c r="F262" s="75"/>
      <c r="G262" s="74"/>
      <c r="H262" s="71">
        <f t="shared" si="3"/>
        <v>0</v>
      </c>
    </row>
    <row r="263" spans="2:8" ht="15.75" customHeight="1">
      <c r="B263" s="101">
        <v>46050</v>
      </c>
      <c r="C263" s="72" t="s">
        <v>215</v>
      </c>
      <c r="D263" s="107" t="s">
        <v>260</v>
      </c>
      <c r="E263" s="102">
        <v>1</v>
      </c>
      <c r="F263" s="75"/>
      <c r="G263" s="74"/>
      <c r="H263" s="71">
        <f t="shared" si="3"/>
        <v>0</v>
      </c>
    </row>
    <row r="264" spans="2:8" ht="15.75" customHeight="1">
      <c r="B264" s="101">
        <v>46050</v>
      </c>
      <c r="C264" s="72" t="s">
        <v>106</v>
      </c>
      <c r="D264" s="107" t="s">
        <v>260</v>
      </c>
      <c r="E264" s="102">
        <v>2</v>
      </c>
      <c r="F264" s="75"/>
      <c r="G264" s="74"/>
      <c r="H264" s="71">
        <f t="shared" si="3"/>
        <v>0</v>
      </c>
    </row>
    <row r="265" spans="2:8" ht="15.75" customHeight="1">
      <c r="B265" s="101">
        <v>46050</v>
      </c>
      <c r="C265" s="72" t="s">
        <v>218</v>
      </c>
      <c r="D265" s="107" t="s">
        <v>260</v>
      </c>
      <c r="E265" s="102">
        <v>9</v>
      </c>
      <c r="F265" s="75"/>
      <c r="G265" s="74"/>
      <c r="H265" s="71">
        <f t="shared" si="3"/>
        <v>0</v>
      </c>
    </row>
    <row r="266" spans="2:8" ht="15.75" customHeight="1">
      <c r="B266" s="101">
        <v>46050</v>
      </c>
      <c r="C266" s="72" t="s">
        <v>216</v>
      </c>
      <c r="D266" s="107" t="s">
        <v>260</v>
      </c>
      <c r="E266" s="102">
        <v>1</v>
      </c>
      <c r="F266" s="75"/>
      <c r="G266" s="74"/>
      <c r="H266" s="71">
        <f t="shared" si="3"/>
        <v>0</v>
      </c>
    </row>
    <row r="267" spans="2:8" s="150" customFormat="1" ht="15.75" customHeight="1">
      <c r="B267" s="101"/>
      <c r="C267" s="72" t="s">
        <v>328</v>
      </c>
      <c r="D267" s="107"/>
      <c r="E267" s="102"/>
      <c r="F267" s="75"/>
      <c r="G267" s="74"/>
      <c r="H267" s="71"/>
    </row>
    <row r="268" spans="2:8" s="150" customFormat="1" ht="15.75" customHeight="1">
      <c r="B268" s="101"/>
      <c r="C268" s="152" t="s">
        <v>329</v>
      </c>
      <c r="D268" s="107"/>
      <c r="E268" s="102"/>
      <c r="F268" s="75"/>
      <c r="G268" s="74"/>
      <c r="H268" s="71"/>
    </row>
    <row r="269" spans="2:8" ht="15.75" customHeight="1">
      <c r="B269" s="101">
        <v>46050</v>
      </c>
      <c r="C269" s="72" t="s">
        <v>318</v>
      </c>
      <c r="D269" s="107" t="s">
        <v>260</v>
      </c>
      <c r="E269" s="102">
        <v>1</v>
      </c>
      <c r="F269" s="75"/>
      <c r="G269" s="74"/>
      <c r="H269" s="71">
        <f t="shared" si="3"/>
        <v>0</v>
      </c>
    </row>
    <row r="270" spans="2:8" ht="15.75" customHeight="1">
      <c r="B270" s="101">
        <v>46050</v>
      </c>
      <c r="C270" s="72" t="s">
        <v>317</v>
      </c>
      <c r="D270" s="107" t="s">
        <v>260</v>
      </c>
      <c r="E270" s="102">
        <v>3</v>
      </c>
      <c r="F270" s="75"/>
      <c r="G270" s="74"/>
      <c r="H270" s="71">
        <f t="shared" si="3"/>
        <v>0</v>
      </c>
    </row>
    <row r="271" spans="2:8" ht="15.75" customHeight="1">
      <c r="B271" s="101">
        <v>46050</v>
      </c>
      <c r="C271" s="72" t="s">
        <v>316</v>
      </c>
      <c r="D271" s="107" t="s">
        <v>260</v>
      </c>
      <c r="E271" s="102">
        <v>2</v>
      </c>
      <c r="F271" s="75"/>
      <c r="G271" s="74"/>
      <c r="H271" s="71">
        <f t="shared" si="3"/>
        <v>0</v>
      </c>
    </row>
    <row r="272" spans="2:8" ht="15.75" customHeight="1">
      <c r="B272" s="101">
        <v>46050</v>
      </c>
      <c r="C272" s="72" t="s">
        <v>319</v>
      </c>
      <c r="D272" s="107" t="s">
        <v>260</v>
      </c>
      <c r="E272" s="102">
        <v>3</v>
      </c>
      <c r="F272" s="75"/>
      <c r="G272" s="74"/>
      <c r="H272" s="71">
        <f t="shared" si="3"/>
        <v>0</v>
      </c>
    </row>
    <row r="273" spans="2:8" ht="15.75" customHeight="1">
      <c r="B273" s="101">
        <v>46050</v>
      </c>
      <c r="C273" s="72" t="s">
        <v>320</v>
      </c>
      <c r="D273" s="107" t="s">
        <v>260</v>
      </c>
      <c r="E273" s="102">
        <v>2</v>
      </c>
      <c r="F273" s="75"/>
      <c r="G273" s="74"/>
      <c r="H273" s="71">
        <f t="shared" si="3"/>
        <v>0</v>
      </c>
    </row>
    <row r="274" spans="2:8" ht="15.75" customHeight="1">
      <c r="B274" s="101">
        <v>46050</v>
      </c>
      <c r="C274" s="72" t="s">
        <v>321</v>
      </c>
      <c r="D274" s="107" t="s">
        <v>260</v>
      </c>
      <c r="E274" s="102">
        <v>1</v>
      </c>
      <c r="F274" s="75"/>
      <c r="G274" s="74"/>
      <c r="H274" s="71">
        <f t="shared" si="3"/>
        <v>0</v>
      </c>
    </row>
    <row r="275" spans="2:8" ht="15.75" customHeight="1">
      <c r="B275" s="101">
        <v>46050</v>
      </c>
      <c r="C275" s="72" t="s">
        <v>322</v>
      </c>
      <c r="D275" s="107" t="s">
        <v>260</v>
      </c>
      <c r="E275" s="102">
        <v>3</v>
      </c>
      <c r="F275" s="75"/>
      <c r="G275" s="74"/>
      <c r="H275" s="71">
        <f t="shared" si="3"/>
        <v>0</v>
      </c>
    </row>
    <row r="276" spans="2:8" ht="15.75" customHeight="1">
      <c r="B276" s="101">
        <v>46050</v>
      </c>
      <c r="C276" s="72" t="s">
        <v>140</v>
      </c>
      <c r="D276" s="107" t="s">
        <v>260</v>
      </c>
      <c r="E276" s="102">
        <v>3</v>
      </c>
      <c r="F276" s="75"/>
      <c r="G276" s="74"/>
      <c r="H276" s="71">
        <f t="shared" si="3"/>
        <v>0</v>
      </c>
    </row>
    <row r="277" spans="2:8" ht="15.75" customHeight="1">
      <c r="B277" s="101">
        <v>46050</v>
      </c>
      <c r="C277" s="72" t="s">
        <v>141</v>
      </c>
      <c r="D277" s="107" t="s">
        <v>260</v>
      </c>
      <c r="E277" s="102">
        <v>2</v>
      </c>
      <c r="F277" s="75"/>
      <c r="G277" s="74"/>
      <c r="H277" s="71">
        <f t="shared" si="3"/>
        <v>0</v>
      </c>
    </row>
    <row r="278" spans="2:8" ht="15.75" customHeight="1">
      <c r="B278" s="101">
        <v>46050</v>
      </c>
      <c r="C278" s="72" t="s">
        <v>142</v>
      </c>
      <c r="D278" s="107" t="s">
        <v>260</v>
      </c>
      <c r="E278" s="102">
        <v>3</v>
      </c>
      <c r="F278" s="75"/>
      <c r="G278" s="74"/>
      <c r="H278" s="71">
        <f t="shared" si="3"/>
        <v>0</v>
      </c>
    </row>
    <row r="279" spans="2:8" ht="15.75" customHeight="1">
      <c r="B279" s="101">
        <v>46050</v>
      </c>
      <c r="C279" s="72" t="s">
        <v>213</v>
      </c>
      <c r="D279" s="107" t="s">
        <v>260</v>
      </c>
      <c r="E279" s="102">
        <v>2</v>
      </c>
      <c r="F279" s="75"/>
      <c r="G279" s="74"/>
      <c r="H279" s="71">
        <f t="shared" si="3"/>
        <v>0</v>
      </c>
    </row>
    <row r="280" spans="2:8" ht="15.75" customHeight="1">
      <c r="B280" s="101">
        <v>46050</v>
      </c>
      <c r="C280" s="72" t="s">
        <v>214</v>
      </c>
      <c r="D280" s="107" t="s">
        <v>260</v>
      </c>
      <c r="E280" s="102">
        <v>3</v>
      </c>
      <c r="F280" s="75"/>
      <c r="G280" s="74"/>
      <c r="H280" s="71">
        <f t="shared" si="3"/>
        <v>0</v>
      </c>
    </row>
    <row r="281" spans="2:8" ht="15.75" customHeight="1">
      <c r="B281" s="101">
        <v>46050</v>
      </c>
      <c r="C281" s="72" t="s">
        <v>215</v>
      </c>
      <c r="D281" s="107" t="s">
        <v>260</v>
      </c>
      <c r="E281" s="102">
        <v>3</v>
      </c>
      <c r="F281" s="75"/>
      <c r="G281" s="74"/>
      <c r="H281" s="71">
        <f t="shared" si="3"/>
        <v>0</v>
      </c>
    </row>
    <row r="282" spans="2:8" ht="15.75" customHeight="1">
      <c r="B282" s="101">
        <v>46050</v>
      </c>
      <c r="C282" s="72" t="s">
        <v>216</v>
      </c>
      <c r="D282" s="107" t="s">
        <v>260</v>
      </c>
      <c r="E282" s="102">
        <v>3</v>
      </c>
      <c r="F282" s="75"/>
      <c r="G282" s="74"/>
      <c r="H282" s="71">
        <f t="shared" si="3"/>
        <v>0</v>
      </c>
    </row>
    <row r="283" spans="2:8" ht="15.75" customHeight="1">
      <c r="B283" s="101">
        <v>46050</v>
      </c>
      <c r="C283" s="72" t="s">
        <v>323</v>
      </c>
      <c r="D283" s="107" t="s">
        <v>260</v>
      </c>
      <c r="E283" s="102">
        <v>2</v>
      </c>
      <c r="F283" s="75"/>
      <c r="G283" s="74"/>
      <c r="H283" s="71">
        <f t="shared" si="3"/>
        <v>0</v>
      </c>
    </row>
    <row r="284" spans="2:8" ht="15.75" customHeight="1">
      <c r="B284" s="101">
        <v>46050</v>
      </c>
      <c r="C284" s="107" t="s">
        <v>122</v>
      </c>
      <c r="D284" s="107" t="s">
        <v>260</v>
      </c>
      <c r="E284" s="102">
        <v>2</v>
      </c>
      <c r="F284" s="75"/>
      <c r="G284" s="74"/>
      <c r="H284" s="71">
        <f t="shared" ref="H284:H345" si="4">F284*E284</f>
        <v>0</v>
      </c>
    </row>
    <row r="285" spans="2:8" ht="15.75" customHeight="1">
      <c r="B285" s="101">
        <v>46050</v>
      </c>
      <c r="C285" s="107" t="s">
        <v>149</v>
      </c>
      <c r="D285" s="107" t="s">
        <v>260</v>
      </c>
      <c r="E285" s="102">
        <v>1</v>
      </c>
      <c r="F285" s="75"/>
      <c r="G285" s="74"/>
      <c r="H285" s="71">
        <f t="shared" si="4"/>
        <v>0</v>
      </c>
    </row>
    <row r="286" spans="2:8" ht="15.75" customHeight="1">
      <c r="B286" s="101">
        <v>46050</v>
      </c>
      <c r="C286" s="107" t="s">
        <v>325</v>
      </c>
      <c r="D286" s="107" t="s">
        <v>260</v>
      </c>
      <c r="E286" s="102">
        <v>1</v>
      </c>
      <c r="F286" s="75"/>
      <c r="G286" s="74"/>
      <c r="H286" s="71">
        <f t="shared" si="4"/>
        <v>0</v>
      </c>
    </row>
    <row r="287" spans="2:8" ht="15.75" customHeight="1">
      <c r="B287" s="101">
        <v>46050</v>
      </c>
      <c r="C287" s="107" t="s">
        <v>110</v>
      </c>
      <c r="D287" s="107" t="s">
        <v>260</v>
      </c>
      <c r="E287" s="102">
        <v>3</v>
      </c>
      <c r="F287" s="75"/>
      <c r="G287" s="74"/>
      <c r="H287" s="71">
        <f t="shared" si="4"/>
        <v>0</v>
      </c>
    </row>
    <row r="288" spans="2:8" ht="15.75" customHeight="1">
      <c r="B288" s="101">
        <v>46050</v>
      </c>
      <c r="C288" s="107" t="s">
        <v>112</v>
      </c>
      <c r="D288" s="107" t="s">
        <v>260</v>
      </c>
      <c r="E288" s="102">
        <v>2</v>
      </c>
      <c r="F288" s="75"/>
      <c r="G288" s="74"/>
      <c r="H288" s="71">
        <f t="shared" si="4"/>
        <v>0</v>
      </c>
    </row>
    <row r="289" spans="2:8" ht="15.75" customHeight="1">
      <c r="B289" s="101">
        <v>46050</v>
      </c>
      <c r="C289" s="107" t="s">
        <v>261</v>
      </c>
      <c r="D289" s="107" t="s">
        <v>260</v>
      </c>
      <c r="E289" s="102">
        <v>2</v>
      </c>
      <c r="F289" s="75"/>
      <c r="G289" s="74"/>
      <c r="H289" s="71">
        <f t="shared" si="4"/>
        <v>0</v>
      </c>
    </row>
    <row r="290" spans="2:8" ht="15.75" customHeight="1">
      <c r="B290" s="101">
        <v>46050</v>
      </c>
      <c r="C290" s="107" t="s">
        <v>99</v>
      </c>
      <c r="D290" s="107" t="s">
        <v>260</v>
      </c>
      <c r="E290" s="102">
        <v>2</v>
      </c>
      <c r="F290" s="75"/>
      <c r="G290" s="74"/>
      <c r="H290" s="71">
        <f t="shared" si="4"/>
        <v>0</v>
      </c>
    </row>
    <row r="291" spans="2:8" ht="15.75" customHeight="1">
      <c r="B291" s="101">
        <v>46050</v>
      </c>
      <c r="C291" s="107" t="s">
        <v>326</v>
      </c>
      <c r="D291" s="107" t="s">
        <v>260</v>
      </c>
      <c r="E291" s="102">
        <v>1</v>
      </c>
      <c r="F291" s="75"/>
      <c r="G291" s="74"/>
      <c r="H291" s="71">
        <f t="shared" si="4"/>
        <v>0</v>
      </c>
    </row>
    <row r="292" spans="2:8" ht="15.75" customHeight="1">
      <c r="B292" s="101">
        <v>46050</v>
      </c>
      <c r="C292" s="107" t="s">
        <v>225</v>
      </c>
      <c r="D292" s="107" t="s">
        <v>260</v>
      </c>
      <c r="E292" s="102">
        <v>2</v>
      </c>
      <c r="F292" s="75"/>
      <c r="G292" s="74"/>
      <c r="H292" s="71">
        <f t="shared" si="4"/>
        <v>0</v>
      </c>
    </row>
    <row r="293" spans="2:8" ht="15.75" customHeight="1">
      <c r="B293" s="101">
        <v>46050</v>
      </c>
      <c r="C293" s="107" t="s">
        <v>327</v>
      </c>
      <c r="D293" s="107" t="s">
        <v>260</v>
      </c>
      <c r="E293" s="102">
        <v>3</v>
      </c>
      <c r="F293" s="75"/>
      <c r="G293" s="74"/>
      <c r="H293" s="71">
        <f t="shared" si="4"/>
        <v>0</v>
      </c>
    </row>
    <row r="294" spans="2:8" ht="15.75" customHeight="1">
      <c r="B294" s="101">
        <v>46050</v>
      </c>
      <c r="C294" s="107" t="s">
        <v>326</v>
      </c>
      <c r="D294" s="107" t="s">
        <v>260</v>
      </c>
      <c r="E294" s="102">
        <v>1</v>
      </c>
      <c r="F294" s="75"/>
      <c r="G294" s="74"/>
      <c r="H294" s="71">
        <f t="shared" si="4"/>
        <v>0</v>
      </c>
    </row>
    <row r="295" spans="2:8" ht="15.75" customHeight="1">
      <c r="B295" s="101">
        <v>46050</v>
      </c>
      <c r="C295" s="153" t="s">
        <v>135</v>
      </c>
      <c r="D295" s="107" t="s">
        <v>260</v>
      </c>
      <c r="E295" s="102">
        <v>4</v>
      </c>
      <c r="F295" s="75"/>
      <c r="G295" s="74"/>
      <c r="H295" s="71">
        <f t="shared" si="4"/>
        <v>0</v>
      </c>
    </row>
    <row r="296" spans="2:8" ht="15.75" customHeight="1">
      <c r="B296" s="101">
        <v>46050</v>
      </c>
      <c r="C296" s="107" t="s">
        <v>139</v>
      </c>
      <c r="D296" s="107" t="s">
        <v>260</v>
      </c>
      <c r="E296" s="102">
        <v>1</v>
      </c>
      <c r="F296" s="75"/>
      <c r="G296" s="74"/>
      <c r="H296" s="71">
        <f t="shared" si="4"/>
        <v>0</v>
      </c>
    </row>
    <row r="297" spans="2:8" ht="15.75" customHeight="1">
      <c r="B297" s="101">
        <v>46050</v>
      </c>
      <c r="C297" s="107" t="s">
        <v>221</v>
      </c>
      <c r="D297" s="107" t="s">
        <v>260</v>
      </c>
      <c r="E297" s="102">
        <v>8</v>
      </c>
      <c r="F297" s="75"/>
      <c r="G297" s="74"/>
      <c r="H297" s="71">
        <f t="shared" si="4"/>
        <v>0</v>
      </c>
    </row>
    <row r="298" spans="2:8" s="150" customFormat="1" ht="15.75" customHeight="1">
      <c r="B298" s="101"/>
      <c r="C298" s="107" t="s">
        <v>329</v>
      </c>
      <c r="D298" s="107"/>
      <c r="E298" s="102"/>
      <c r="F298" s="75"/>
      <c r="G298" s="74"/>
      <c r="H298" s="71"/>
    </row>
    <row r="299" spans="2:8" s="150" customFormat="1" ht="15.75" customHeight="1">
      <c r="B299" s="101"/>
      <c r="C299" s="107" t="s">
        <v>328</v>
      </c>
      <c r="D299" s="107"/>
      <c r="E299" s="102"/>
      <c r="F299" s="75"/>
      <c r="G299" s="74"/>
      <c r="H299" s="71"/>
    </row>
    <row r="300" spans="2:8" ht="15.75" customHeight="1">
      <c r="B300" s="101">
        <v>46050</v>
      </c>
      <c r="C300" s="107" t="s">
        <v>284</v>
      </c>
      <c r="D300" s="107" t="s">
        <v>260</v>
      </c>
      <c r="E300" s="102">
        <v>1</v>
      </c>
      <c r="F300" s="75"/>
      <c r="G300" s="74"/>
      <c r="H300" s="71">
        <f t="shared" si="4"/>
        <v>0</v>
      </c>
    </row>
    <row r="301" spans="2:8" ht="15.75" customHeight="1">
      <c r="B301" s="140"/>
      <c r="C301" s="162" t="s">
        <v>104</v>
      </c>
      <c r="D301" s="162"/>
      <c r="E301" s="163">
        <v>9</v>
      </c>
      <c r="F301" s="75"/>
      <c r="G301" s="74"/>
      <c r="H301" s="71">
        <f t="shared" si="4"/>
        <v>0</v>
      </c>
    </row>
    <row r="302" spans="2:8" ht="15.75" customHeight="1">
      <c r="B302" s="140"/>
      <c r="C302" s="162" t="s">
        <v>106</v>
      </c>
      <c r="D302" s="162"/>
      <c r="E302" s="163">
        <v>20</v>
      </c>
      <c r="F302" s="75"/>
      <c r="G302" s="74"/>
      <c r="H302" s="71">
        <f t="shared" si="4"/>
        <v>0</v>
      </c>
    </row>
    <row r="303" spans="2:8" ht="15.75" customHeight="1">
      <c r="B303" s="140"/>
      <c r="C303" s="107" t="s">
        <v>107</v>
      </c>
      <c r="D303" s="107"/>
      <c r="E303" s="102">
        <v>8</v>
      </c>
      <c r="F303" s="75"/>
      <c r="G303" s="74"/>
      <c r="H303" s="71">
        <f t="shared" si="4"/>
        <v>0</v>
      </c>
    </row>
    <row r="304" spans="2:8" ht="15.75" customHeight="1">
      <c r="B304" s="140"/>
      <c r="C304" s="107" t="s">
        <v>108</v>
      </c>
      <c r="D304" s="107"/>
      <c r="E304" s="102">
        <v>30</v>
      </c>
      <c r="F304" s="75"/>
      <c r="G304" s="74"/>
      <c r="H304" s="71">
        <f t="shared" si="4"/>
        <v>0</v>
      </c>
    </row>
    <row r="305" spans="2:8" ht="15.75" customHeight="1">
      <c r="B305" s="140"/>
      <c r="C305" s="107" t="s">
        <v>110</v>
      </c>
      <c r="D305" s="107"/>
      <c r="E305" s="102">
        <v>8</v>
      </c>
      <c r="F305" s="75"/>
      <c r="G305" s="74"/>
      <c r="H305" s="71">
        <f t="shared" si="4"/>
        <v>0</v>
      </c>
    </row>
    <row r="306" spans="2:8" ht="15.75" customHeight="1">
      <c r="B306" s="140"/>
      <c r="C306" s="107" t="s">
        <v>111</v>
      </c>
      <c r="D306" s="107"/>
      <c r="E306" s="102">
        <v>6</v>
      </c>
      <c r="F306" s="75"/>
      <c r="G306" s="74"/>
      <c r="H306" s="71">
        <f t="shared" si="4"/>
        <v>0</v>
      </c>
    </row>
    <row r="307" spans="2:8" ht="15.75" customHeight="1">
      <c r="B307" s="140"/>
      <c r="C307" s="107" t="s">
        <v>113</v>
      </c>
      <c r="D307" s="107"/>
      <c r="E307" s="102">
        <v>1</v>
      </c>
      <c r="F307" s="75"/>
      <c r="G307" s="74"/>
      <c r="H307" s="71">
        <f t="shared" si="4"/>
        <v>0</v>
      </c>
    </row>
    <row r="308" spans="2:8" ht="15.75" customHeight="1">
      <c r="B308" s="140"/>
      <c r="C308" s="107" t="s">
        <v>123</v>
      </c>
      <c r="D308" s="107"/>
      <c r="E308" s="102">
        <v>1</v>
      </c>
      <c r="F308" s="75"/>
      <c r="G308" s="74"/>
      <c r="H308" s="71">
        <f t="shared" si="4"/>
        <v>0</v>
      </c>
    </row>
    <row r="309" spans="2:8" ht="15.75" customHeight="1">
      <c r="B309" s="140"/>
      <c r="C309" s="107" t="s">
        <v>124</v>
      </c>
      <c r="D309" s="107"/>
      <c r="E309" s="102">
        <v>3</v>
      </c>
      <c r="F309" s="75"/>
      <c r="G309" s="74"/>
      <c r="H309" s="71">
        <f t="shared" si="4"/>
        <v>0</v>
      </c>
    </row>
    <row r="310" spans="2:8" ht="15.75" customHeight="1">
      <c r="B310" s="76"/>
      <c r="C310" s="107" t="s">
        <v>127</v>
      </c>
      <c r="D310" s="77"/>
      <c r="E310" s="102">
        <v>4</v>
      </c>
      <c r="F310" s="75"/>
      <c r="G310" s="74"/>
      <c r="H310" s="71">
        <f t="shared" si="4"/>
        <v>0</v>
      </c>
    </row>
    <row r="311" spans="2:8" ht="15.75" customHeight="1">
      <c r="B311" s="76"/>
      <c r="C311" s="107" t="s">
        <v>130</v>
      </c>
      <c r="D311" s="77"/>
      <c r="E311" s="102">
        <v>1</v>
      </c>
      <c r="F311" s="75"/>
      <c r="G311" s="74"/>
      <c r="H311" s="71">
        <f t="shared" si="4"/>
        <v>0</v>
      </c>
    </row>
    <row r="312" spans="2:8" ht="15.75" customHeight="1">
      <c r="B312" s="76"/>
      <c r="C312" s="107" t="s">
        <v>138</v>
      </c>
      <c r="D312" s="77"/>
      <c r="E312" s="102">
        <v>1</v>
      </c>
      <c r="F312" s="75"/>
      <c r="G312" s="74"/>
      <c r="H312" s="71">
        <f t="shared" si="4"/>
        <v>0</v>
      </c>
    </row>
    <row r="313" spans="2:8" ht="15.75" customHeight="1">
      <c r="B313" s="76"/>
      <c r="C313" s="107" t="s">
        <v>151</v>
      </c>
      <c r="D313" s="77"/>
      <c r="E313" s="102">
        <v>6</v>
      </c>
      <c r="F313" s="75"/>
      <c r="G313" s="74"/>
      <c r="H313" s="71">
        <f t="shared" si="4"/>
        <v>0</v>
      </c>
    </row>
    <row r="314" spans="2:8" ht="15.75" customHeight="1">
      <c r="B314" s="76"/>
      <c r="C314" s="107" t="s">
        <v>153</v>
      </c>
      <c r="D314" s="77"/>
      <c r="E314" s="102">
        <v>1</v>
      </c>
      <c r="F314" s="75"/>
      <c r="G314" s="74"/>
      <c r="H314" s="71">
        <f t="shared" si="4"/>
        <v>0</v>
      </c>
    </row>
    <row r="315" spans="2:8" ht="15.75" customHeight="1">
      <c r="B315" s="76"/>
      <c r="C315" s="107" t="s">
        <v>164</v>
      </c>
      <c r="D315" s="77"/>
      <c r="E315" s="102">
        <v>3</v>
      </c>
      <c r="F315" s="75"/>
      <c r="G315" s="74"/>
      <c r="H315" s="71">
        <f t="shared" si="4"/>
        <v>0</v>
      </c>
    </row>
    <row r="316" spans="2:8" ht="15.75" customHeight="1">
      <c r="B316" s="76"/>
      <c r="C316" s="107" t="s">
        <v>173</v>
      </c>
      <c r="D316" s="77"/>
      <c r="E316" s="102">
        <v>1</v>
      </c>
      <c r="F316" s="75"/>
      <c r="G316" s="74"/>
      <c r="H316" s="71">
        <f t="shared" si="4"/>
        <v>0</v>
      </c>
    </row>
    <row r="317" spans="2:8" ht="15.75" customHeight="1">
      <c r="B317" s="76"/>
      <c r="C317" s="107" t="s">
        <v>174</v>
      </c>
      <c r="D317" s="77"/>
      <c r="E317" s="102">
        <v>1</v>
      </c>
      <c r="F317" s="75"/>
      <c r="G317" s="74"/>
      <c r="H317" s="71">
        <f t="shared" si="4"/>
        <v>0</v>
      </c>
    </row>
    <row r="318" spans="2:8" ht="15.75" customHeight="1">
      <c r="B318" s="76"/>
      <c r="C318" s="107" t="s">
        <v>179</v>
      </c>
      <c r="D318" s="77"/>
      <c r="E318" s="102">
        <v>3</v>
      </c>
      <c r="F318" s="75"/>
      <c r="G318" s="74"/>
      <c r="H318" s="71">
        <f t="shared" si="4"/>
        <v>0</v>
      </c>
    </row>
    <row r="319" spans="2:8" ht="15.75" customHeight="1">
      <c r="B319" s="76"/>
      <c r="C319" s="107" t="s">
        <v>193</v>
      </c>
      <c r="D319" s="77"/>
      <c r="E319" s="102">
        <v>5</v>
      </c>
      <c r="F319" s="75"/>
      <c r="G319" s="74"/>
      <c r="H319" s="71">
        <f t="shared" si="4"/>
        <v>0</v>
      </c>
    </row>
    <row r="320" spans="2:8" ht="15.75" customHeight="1">
      <c r="B320" s="76"/>
      <c r="C320" s="107" t="s">
        <v>196</v>
      </c>
      <c r="D320" s="77"/>
      <c r="E320" s="102">
        <v>5</v>
      </c>
      <c r="F320" s="75"/>
      <c r="G320" s="74"/>
      <c r="H320" s="71">
        <f t="shared" si="4"/>
        <v>0</v>
      </c>
    </row>
    <row r="321" spans="2:8" ht="15.75" customHeight="1">
      <c r="B321" s="76"/>
      <c r="C321" s="107" t="s">
        <v>197</v>
      </c>
      <c r="D321" s="77"/>
      <c r="E321" s="102">
        <v>1</v>
      </c>
      <c r="F321" s="75"/>
      <c r="G321" s="74"/>
      <c r="H321" s="71">
        <f t="shared" si="4"/>
        <v>0</v>
      </c>
    </row>
    <row r="322" spans="2:8" ht="15.75" customHeight="1">
      <c r="B322" s="76"/>
      <c r="C322" s="107" t="s">
        <v>169</v>
      </c>
      <c r="D322" s="77"/>
      <c r="E322" s="102">
        <v>2</v>
      </c>
      <c r="F322" s="75"/>
      <c r="G322" s="74"/>
      <c r="H322" s="71">
        <f t="shared" si="4"/>
        <v>0</v>
      </c>
    </row>
    <row r="323" spans="2:8" ht="15.75" customHeight="1">
      <c r="B323" s="76"/>
      <c r="C323" s="107" t="s">
        <v>204</v>
      </c>
      <c r="D323" s="77"/>
      <c r="E323" s="102">
        <v>3</v>
      </c>
      <c r="F323" s="75"/>
      <c r="G323" s="74"/>
      <c r="H323" s="71">
        <f t="shared" si="4"/>
        <v>0</v>
      </c>
    </row>
    <row r="324" spans="2:8" ht="15.75" customHeight="1" thickBot="1">
      <c r="B324" s="78"/>
      <c r="C324" s="164" t="s">
        <v>208</v>
      </c>
      <c r="D324" s="79"/>
      <c r="E324" s="128">
        <v>2</v>
      </c>
      <c r="F324" s="80"/>
      <c r="G324" s="81"/>
      <c r="H324" s="82">
        <f t="shared" si="4"/>
        <v>0</v>
      </c>
    </row>
    <row r="325" spans="2:8" s="148" customFormat="1" ht="15.75" customHeight="1">
      <c r="B325" s="140"/>
      <c r="C325" s="107" t="s">
        <v>268</v>
      </c>
      <c r="D325" s="107"/>
      <c r="E325" s="102">
        <v>3</v>
      </c>
      <c r="F325" s="75"/>
      <c r="G325" s="74"/>
      <c r="H325" s="71">
        <f t="shared" si="4"/>
        <v>0</v>
      </c>
    </row>
    <row r="326" spans="2:8" s="148" customFormat="1" ht="15.75" customHeight="1">
      <c r="B326" s="140"/>
      <c r="C326" s="107" t="s">
        <v>220</v>
      </c>
      <c r="D326" s="107"/>
      <c r="E326" s="102">
        <v>1</v>
      </c>
      <c r="F326" s="75"/>
      <c r="G326" s="74"/>
      <c r="H326" s="71">
        <f t="shared" si="4"/>
        <v>0</v>
      </c>
    </row>
    <row r="327" spans="2:8" s="148" customFormat="1" ht="15.75" customHeight="1">
      <c r="B327" s="140"/>
      <c r="C327" s="107" t="s">
        <v>222</v>
      </c>
      <c r="D327" s="107"/>
      <c r="E327" s="102">
        <v>4</v>
      </c>
      <c r="F327" s="75"/>
      <c r="G327" s="74"/>
      <c r="H327" s="71">
        <f t="shared" si="4"/>
        <v>0</v>
      </c>
    </row>
    <row r="328" spans="2:8" s="148" customFormat="1" ht="15.75" customHeight="1">
      <c r="B328" s="139"/>
      <c r="C328" s="107" t="s">
        <v>209</v>
      </c>
      <c r="D328" s="138"/>
      <c r="E328" s="102">
        <v>3</v>
      </c>
      <c r="F328" s="75"/>
      <c r="G328" s="74"/>
      <c r="H328" s="71">
        <f t="shared" si="4"/>
        <v>0</v>
      </c>
    </row>
    <row r="329" spans="2:8" s="148" customFormat="1" ht="15.75" customHeight="1">
      <c r="B329" s="76"/>
      <c r="C329" s="107" t="s">
        <v>207</v>
      </c>
      <c r="D329" s="77"/>
      <c r="E329" s="102">
        <v>2</v>
      </c>
      <c r="F329" s="75"/>
      <c r="G329" s="74"/>
      <c r="H329" s="71">
        <f t="shared" si="4"/>
        <v>0</v>
      </c>
    </row>
    <row r="330" spans="2:8" s="148" customFormat="1" ht="15.75" customHeight="1">
      <c r="B330" s="76"/>
      <c r="C330" s="107" t="s">
        <v>298</v>
      </c>
      <c r="D330" s="77"/>
      <c r="E330" s="102">
        <v>3</v>
      </c>
      <c r="F330" s="75"/>
      <c r="G330" s="74"/>
      <c r="H330" s="71">
        <f t="shared" si="4"/>
        <v>0</v>
      </c>
    </row>
    <row r="331" spans="2:8" s="148" customFormat="1" ht="15.75" customHeight="1">
      <c r="B331" s="76"/>
      <c r="C331" s="107" t="s">
        <v>300</v>
      </c>
      <c r="D331" s="77"/>
      <c r="E331" s="102">
        <v>2</v>
      </c>
      <c r="F331" s="75"/>
      <c r="G331" s="74"/>
      <c r="H331" s="71">
        <f t="shared" si="4"/>
        <v>0</v>
      </c>
    </row>
    <row r="332" spans="2:8" s="148" customFormat="1" ht="15.75" customHeight="1">
      <c r="B332" s="76"/>
      <c r="C332" s="107" t="s">
        <v>302</v>
      </c>
      <c r="D332" s="77"/>
      <c r="E332" s="102">
        <v>1</v>
      </c>
      <c r="F332" s="75"/>
      <c r="G332" s="74"/>
      <c r="H332" s="71">
        <f t="shared" si="4"/>
        <v>0</v>
      </c>
    </row>
    <row r="333" spans="2:8" s="148" customFormat="1" ht="15.75" customHeight="1">
      <c r="B333" s="76"/>
      <c r="C333" s="107" t="s">
        <v>143</v>
      </c>
      <c r="D333" s="77"/>
      <c r="E333" s="102">
        <v>1</v>
      </c>
      <c r="F333" s="75"/>
      <c r="G333" s="74"/>
      <c r="H333" s="71">
        <f t="shared" si="4"/>
        <v>0</v>
      </c>
    </row>
    <row r="334" spans="2:8" s="148" customFormat="1" ht="15.75" customHeight="1">
      <c r="B334" s="76"/>
      <c r="C334" s="107" t="s">
        <v>145</v>
      </c>
      <c r="D334" s="77"/>
      <c r="E334" s="102">
        <v>3</v>
      </c>
      <c r="F334" s="75"/>
      <c r="G334" s="74"/>
      <c r="H334" s="71">
        <f t="shared" si="4"/>
        <v>0</v>
      </c>
    </row>
    <row r="335" spans="2:8" s="148" customFormat="1" ht="15.75" customHeight="1">
      <c r="B335" s="76"/>
      <c r="C335" s="107" t="s">
        <v>339</v>
      </c>
      <c r="D335" s="77"/>
      <c r="E335" s="102">
        <v>4</v>
      </c>
      <c r="F335" s="75"/>
      <c r="G335" s="74"/>
      <c r="H335" s="71">
        <f t="shared" si="4"/>
        <v>0</v>
      </c>
    </row>
    <row r="336" spans="2:8" s="148" customFormat="1" ht="15.75" customHeight="1">
      <c r="B336" s="76"/>
      <c r="C336" s="107" t="s">
        <v>341</v>
      </c>
      <c r="D336" s="77"/>
      <c r="E336" s="102">
        <v>1</v>
      </c>
      <c r="F336" s="75"/>
      <c r="G336" s="74"/>
      <c r="H336" s="71">
        <f t="shared" si="4"/>
        <v>0</v>
      </c>
    </row>
    <row r="337" spans="2:8" s="148" customFormat="1" ht="15.75" customHeight="1">
      <c r="B337" s="76"/>
      <c r="C337" s="107" t="s">
        <v>234</v>
      </c>
      <c r="D337" s="77"/>
      <c r="E337" s="102">
        <v>30</v>
      </c>
      <c r="F337" s="75"/>
      <c r="G337" s="74"/>
      <c r="H337" s="71">
        <f t="shared" si="4"/>
        <v>0</v>
      </c>
    </row>
    <row r="338" spans="2:8" s="148" customFormat="1" ht="15.75" customHeight="1">
      <c r="B338" s="76"/>
      <c r="C338" s="107" t="s">
        <v>235</v>
      </c>
      <c r="D338" s="77"/>
      <c r="E338" s="102">
        <v>10</v>
      </c>
      <c r="F338" s="75"/>
      <c r="G338" s="74"/>
      <c r="H338" s="71">
        <f t="shared" si="4"/>
        <v>0</v>
      </c>
    </row>
    <row r="339" spans="2:8" s="148" customFormat="1" ht="15.75" customHeight="1">
      <c r="B339" s="76"/>
      <c r="C339" s="107" t="s">
        <v>236</v>
      </c>
      <c r="D339" s="77"/>
      <c r="E339" s="102">
        <v>8</v>
      </c>
      <c r="F339" s="75"/>
      <c r="G339" s="74"/>
      <c r="H339" s="71">
        <f t="shared" si="4"/>
        <v>0</v>
      </c>
    </row>
    <row r="340" spans="2:8" s="148" customFormat="1" ht="15.75" customHeight="1">
      <c r="B340" s="76"/>
      <c r="C340" s="107" t="s">
        <v>237</v>
      </c>
      <c r="D340" s="77"/>
      <c r="E340" s="102">
        <v>15</v>
      </c>
      <c r="F340" s="75"/>
      <c r="G340" s="74"/>
      <c r="H340" s="71">
        <f t="shared" si="4"/>
        <v>0</v>
      </c>
    </row>
    <row r="341" spans="2:8" s="148" customFormat="1" ht="15.75" customHeight="1">
      <c r="B341" s="76"/>
      <c r="C341" s="107" t="s">
        <v>233</v>
      </c>
      <c r="D341" s="77"/>
      <c r="E341" s="102">
        <v>20</v>
      </c>
      <c r="F341" s="75"/>
      <c r="G341" s="74"/>
      <c r="H341" s="71">
        <f t="shared" si="4"/>
        <v>0</v>
      </c>
    </row>
    <row r="342" spans="2:8" s="148" customFormat="1" ht="15.75" customHeight="1">
      <c r="B342" s="76"/>
      <c r="C342" s="107"/>
      <c r="D342" s="77"/>
      <c r="E342" s="102"/>
      <c r="F342" s="75"/>
      <c r="G342" s="74"/>
      <c r="H342" s="71">
        <f t="shared" si="4"/>
        <v>0</v>
      </c>
    </row>
    <row r="343" spans="2:8" s="148" customFormat="1" ht="15.75" customHeight="1">
      <c r="B343" s="76"/>
      <c r="C343" s="107"/>
      <c r="D343" s="77"/>
      <c r="E343" s="102"/>
      <c r="F343" s="75"/>
      <c r="G343" s="74"/>
      <c r="H343" s="71">
        <f t="shared" si="4"/>
        <v>0</v>
      </c>
    </row>
    <row r="344" spans="2:8" s="148" customFormat="1" ht="15.75" customHeight="1">
      <c r="B344" s="76"/>
      <c r="C344" s="107"/>
      <c r="D344" s="77"/>
      <c r="E344" s="102"/>
      <c r="F344" s="75"/>
      <c r="G344" s="74"/>
      <c r="H344" s="71">
        <f t="shared" si="4"/>
        <v>0</v>
      </c>
    </row>
    <row r="345" spans="2:8" s="148" customFormat="1" ht="15.75" customHeight="1">
      <c r="B345" s="76"/>
      <c r="C345" s="107"/>
      <c r="D345" s="77"/>
      <c r="E345" s="102"/>
      <c r="F345" s="75"/>
      <c r="G345" s="74"/>
      <c r="H345" s="71">
        <f t="shared" si="4"/>
        <v>0</v>
      </c>
    </row>
    <row r="346" spans="2:8" s="148" customFormat="1" ht="15.75" customHeight="1">
      <c r="B346" s="76"/>
      <c r="C346" s="107"/>
      <c r="D346" s="77"/>
      <c r="E346" s="102"/>
      <c r="F346" s="75"/>
      <c r="G346" s="74"/>
      <c r="H346" s="71">
        <f t="shared" ref="H346:H409" si="5">F346*E346</f>
        <v>0</v>
      </c>
    </row>
    <row r="347" spans="2:8" s="148" customFormat="1" ht="15.75" customHeight="1">
      <c r="B347" s="76"/>
      <c r="C347" s="107"/>
      <c r="D347" s="77"/>
      <c r="E347" s="102"/>
      <c r="F347" s="75"/>
      <c r="G347" s="74"/>
      <c r="H347" s="71">
        <f t="shared" si="5"/>
        <v>0</v>
      </c>
    </row>
    <row r="348" spans="2:8" s="148" customFormat="1" ht="15.75" customHeight="1">
      <c r="B348" s="76"/>
      <c r="C348" s="107"/>
      <c r="D348" s="77"/>
      <c r="E348" s="102"/>
      <c r="F348" s="75"/>
      <c r="G348" s="74"/>
      <c r="H348" s="71">
        <f t="shared" si="5"/>
        <v>0</v>
      </c>
    </row>
    <row r="349" spans="2:8" s="148" customFormat="1" ht="15.75" customHeight="1">
      <c r="B349" s="76"/>
      <c r="C349" s="107"/>
      <c r="D349" s="77"/>
      <c r="E349" s="102"/>
      <c r="F349" s="75"/>
      <c r="G349" s="74"/>
      <c r="H349" s="71">
        <f t="shared" si="5"/>
        <v>0</v>
      </c>
    </row>
    <row r="350" spans="2:8" s="148" customFormat="1" ht="15.75" customHeight="1">
      <c r="B350" s="76"/>
      <c r="C350" s="107"/>
      <c r="D350" s="77"/>
      <c r="E350" s="102"/>
      <c r="F350" s="75"/>
      <c r="G350" s="74"/>
      <c r="H350" s="71">
        <f t="shared" si="5"/>
        <v>0</v>
      </c>
    </row>
    <row r="351" spans="2:8" s="148" customFormat="1" ht="15.75" customHeight="1">
      <c r="B351" s="76"/>
      <c r="C351" s="107"/>
      <c r="D351" s="77"/>
      <c r="E351" s="102"/>
      <c r="F351" s="75"/>
      <c r="G351" s="74"/>
      <c r="H351" s="71">
        <f t="shared" si="5"/>
        <v>0</v>
      </c>
    </row>
    <row r="352" spans="2:8" s="148" customFormat="1" ht="15.75" customHeight="1">
      <c r="B352" s="76"/>
      <c r="C352" s="107"/>
      <c r="D352" s="77"/>
      <c r="E352" s="102"/>
      <c r="F352" s="75"/>
      <c r="G352" s="74"/>
      <c r="H352" s="71">
        <f t="shared" si="5"/>
        <v>0</v>
      </c>
    </row>
    <row r="353" spans="2:8" s="148" customFormat="1" ht="15.75" customHeight="1">
      <c r="B353" s="76"/>
      <c r="C353" s="107"/>
      <c r="D353" s="77"/>
      <c r="E353" s="102"/>
      <c r="F353" s="75"/>
      <c r="G353" s="74"/>
      <c r="H353" s="71">
        <f t="shared" si="5"/>
        <v>0</v>
      </c>
    </row>
    <row r="354" spans="2:8" s="148" customFormat="1" ht="15.75" customHeight="1">
      <c r="B354" s="76"/>
      <c r="C354" s="107"/>
      <c r="D354" s="77"/>
      <c r="E354" s="102"/>
      <c r="F354" s="75"/>
      <c r="G354" s="74"/>
      <c r="H354" s="71">
        <f t="shared" si="5"/>
        <v>0</v>
      </c>
    </row>
    <row r="355" spans="2:8" s="148" customFormat="1" ht="15.75" customHeight="1">
      <c r="B355" s="76"/>
      <c r="C355" s="107"/>
      <c r="D355" s="77"/>
      <c r="E355" s="102"/>
      <c r="F355" s="75"/>
      <c r="G355" s="74"/>
      <c r="H355" s="71">
        <f t="shared" si="5"/>
        <v>0</v>
      </c>
    </row>
    <row r="356" spans="2:8" s="148" customFormat="1" ht="15.75" customHeight="1">
      <c r="B356" s="76"/>
      <c r="C356" s="107"/>
      <c r="D356" s="77"/>
      <c r="E356" s="102"/>
      <c r="F356" s="75"/>
      <c r="G356" s="74"/>
      <c r="H356" s="71">
        <f t="shared" si="5"/>
        <v>0</v>
      </c>
    </row>
    <row r="357" spans="2:8" s="148" customFormat="1" ht="15.75" customHeight="1">
      <c r="B357" s="76"/>
      <c r="C357" s="107"/>
      <c r="D357" s="77"/>
      <c r="E357" s="102"/>
      <c r="F357" s="75"/>
      <c r="G357" s="74"/>
      <c r="H357" s="71">
        <f t="shared" si="5"/>
        <v>0</v>
      </c>
    </row>
    <row r="358" spans="2:8" s="148" customFormat="1" ht="15.75" customHeight="1">
      <c r="B358" s="76"/>
      <c r="C358" s="77"/>
      <c r="D358" s="77"/>
      <c r="E358" s="102"/>
      <c r="F358" s="75"/>
      <c r="G358" s="74"/>
      <c r="H358" s="71">
        <f t="shared" si="5"/>
        <v>0</v>
      </c>
    </row>
    <row r="359" spans="2:8" s="148" customFormat="1" ht="15.75" customHeight="1">
      <c r="B359" s="76"/>
      <c r="C359" s="77"/>
      <c r="D359" s="77"/>
      <c r="E359" s="102"/>
      <c r="F359" s="75"/>
      <c r="G359" s="74"/>
      <c r="H359" s="71">
        <f t="shared" si="5"/>
        <v>0</v>
      </c>
    </row>
    <row r="360" spans="2:8" s="148" customFormat="1" ht="15.75" customHeight="1">
      <c r="B360" s="76"/>
      <c r="C360" s="77"/>
      <c r="D360" s="77"/>
      <c r="E360" s="102"/>
      <c r="F360" s="75"/>
      <c r="G360" s="74"/>
      <c r="H360" s="71">
        <f t="shared" si="5"/>
        <v>0</v>
      </c>
    </row>
    <row r="361" spans="2:8" s="148" customFormat="1" ht="15.75" customHeight="1">
      <c r="B361" s="76"/>
      <c r="C361" s="77"/>
      <c r="D361" s="77"/>
      <c r="E361" s="102"/>
      <c r="F361" s="75"/>
      <c r="G361" s="74"/>
      <c r="H361" s="71">
        <f t="shared" si="5"/>
        <v>0</v>
      </c>
    </row>
    <row r="362" spans="2:8" s="148" customFormat="1" ht="15.75" customHeight="1">
      <c r="B362" s="76"/>
      <c r="C362" s="77"/>
      <c r="D362" s="77"/>
      <c r="E362" s="102"/>
      <c r="F362" s="75"/>
      <c r="G362" s="74"/>
      <c r="H362" s="71">
        <f t="shared" si="5"/>
        <v>0</v>
      </c>
    </row>
    <row r="363" spans="2:8" s="148" customFormat="1" ht="15.75" customHeight="1">
      <c r="B363" s="76"/>
      <c r="C363" s="77"/>
      <c r="D363" s="77"/>
      <c r="E363" s="102"/>
      <c r="F363" s="75"/>
      <c r="G363" s="74"/>
      <c r="H363" s="71">
        <f t="shared" si="5"/>
        <v>0</v>
      </c>
    </row>
    <row r="364" spans="2:8" s="148" customFormat="1" ht="15.75" customHeight="1">
      <c r="B364" s="76"/>
      <c r="C364" s="77"/>
      <c r="D364" s="77"/>
      <c r="E364" s="102"/>
      <c r="F364" s="75"/>
      <c r="G364" s="74"/>
      <c r="H364" s="71">
        <f t="shared" si="5"/>
        <v>0</v>
      </c>
    </row>
    <row r="365" spans="2:8" s="148" customFormat="1" ht="15.75" customHeight="1">
      <c r="B365" s="76"/>
      <c r="C365" s="77"/>
      <c r="D365" s="77"/>
      <c r="E365" s="102"/>
      <c r="F365" s="75"/>
      <c r="G365" s="74"/>
      <c r="H365" s="71">
        <f t="shared" si="5"/>
        <v>0</v>
      </c>
    </row>
    <row r="366" spans="2:8" s="148" customFormat="1" ht="15.75" customHeight="1">
      <c r="B366" s="76"/>
      <c r="C366" s="77"/>
      <c r="D366" s="77"/>
      <c r="E366" s="102"/>
      <c r="F366" s="75"/>
      <c r="G366" s="74"/>
      <c r="H366" s="71">
        <f t="shared" si="5"/>
        <v>0</v>
      </c>
    </row>
    <row r="367" spans="2:8" s="148" customFormat="1" ht="15.75" customHeight="1">
      <c r="B367" s="76"/>
      <c r="C367" s="77"/>
      <c r="D367" s="77"/>
      <c r="E367" s="102"/>
      <c r="F367" s="75"/>
      <c r="G367" s="74"/>
      <c r="H367" s="71">
        <f t="shared" si="5"/>
        <v>0</v>
      </c>
    </row>
    <row r="368" spans="2:8" s="148" customFormat="1" ht="15.75" customHeight="1">
      <c r="B368" s="76"/>
      <c r="C368" s="77"/>
      <c r="D368" s="77"/>
      <c r="E368" s="102"/>
      <c r="F368" s="75"/>
      <c r="G368" s="74"/>
      <c r="H368" s="71">
        <f t="shared" si="5"/>
        <v>0</v>
      </c>
    </row>
    <row r="369" spans="2:8" s="148" customFormat="1" ht="15.75" customHeight="1">
      <c r="B369" s="76"/>
      <c r="C369" s="77"/>
      <c r="D369" s="77"/>
      <c r="E369" s="102"/>
      <c r="F369" s="75"/>
      <c r="G369" s="74"/>
      <c r="H369" s="71">
        <f t="shared" si="5"/>
        <v>0</v>
      </c>
    </row>
    <row r="370" spans="2:8" s="148" customFormat="1" ht="15.75" customHeight="1">
      <c r="B370" s="76"/>
      <c r="C370" s="77"/>
      <c r="D370" s="77"/>
      <c r="E370" s="102"/>
      <c r="F370" s="75"/>
      <c r="G370" s="74"/>
      <c r="H370" s="71">
        <f t="shared" si="5"/>
        <v>0</v>
      </c>
    </row>
    <row r="371" spans="2:8" s="148" customFormat="1" ht="15.75" customHeight="1">
      <c r="B371" s="76"/>
      <c r="C371" s="77"/>
      <c r="D371" s="77"/>
      <c r="E371" s="102"/>
      <c r="F371" s="75"/>
      <c r="G371" s="74"/>
      <c r="H371" s="71">
        <f t="shared" si="5"/>
        <v>0</v>
      </c>
    </row>
    <row r="372" spans="2:8" s="148" customFormat="1" ht="15.75" customHeight="1">
      <c r="B372" s="76"/>
      <c r="C372" s="77"/>
      <c r="D372" s="77"/>
      <c r="E372" s="102"/>
      <c r="F372" s="75"/>
      <c r="G372" s="74"/>
      <c r="H372" s="71">
        <f t="shared" si="5"/>
        <v>0</v>
      </c>
    </row>
    <row r="373" spans="2:8" s="148" customFormat="1" ht="15.75" customHeight="1">
      <c r="B373" s="76"/>
      <c r="C373" s="77"/>
      <c r="D373" s="77"/>
      <c r="E373" s="102"/>
      <c r="F373" s="75"/>
      <c r="G373" s="74"/>
      <c r="H373" s="71">
        <f t="shared" si="5"/>
        <v>0</v>
      </c>
    </row>
    <row r="374" spans="2:8" s="148" customFormat="1" ht="15.75" customHeight="1">
      <c r="B374" s="76"/>
      <c r="C374" s="77"/>
      <c r="D374" s="77"/>
      <c r="E374" s="102"/>
      <c r="F374" s="75"/>
      <c r="G374" s="74"/>
      <c r="H374" s="71">
        <f t="shared" si="5"/>
        <v>0</v>
      </c>
    </row>
    <row r="375" spans="2:8" s="148" customFormat="1" ht="15.75" customHeight="1">
      <c r="B375" s="76"/>
      <c r="C375" s="77"/>
      <c r="D375" s="77"/>
      <c r="E375" s="102"/>
      <c r="F375" s="75"/>
      <c r="G375" s="74"/>
      <c r="H375" s="71">
        <f t="shared" si="5"/>
        <v>0</v>
      </c>
    </row>
    <row r="376" spans="2:8" s="148" customFormat="1" ht="15.75" customHeight="1">
      <c r="B376" s="76"/>
      <c r="C376" s="77"/>
      <c r="D376" s="77"/>
      <c r="E376" s="102"/>
      <c r="F376" s="75"/>
      <c r="G376" s="74"/>
      <c r="H376" s="71">
        <f t="shared" si="5"/>
        <v>0</v>
      </c>
    </row>
    <row r="377" spans="2:8" s="148" customFormat="1" ht="15.75" customHeight="1">
      <c r="B377" s="76"/>
      <c r="C377" s="77"/>
      <c r="D377" s="77"/>
      <c r="E377" s="102"/>
      <c r="F377" s="75"/>
      <c r="G377" s="74"/>
      <c r="H377" s="71">
        <f t="shared" si="5"/>
        <v>0</v>
      </c>
    </row>
    <row r="378" spans="2:8" s="148" customFormat="1" ht="15.75" customHeight="1">
      <c r="B378" s="76"/>
      <c r="C378" s="77"/>
      <c r="D378" s="77"/>
      <c r="E378" s="102"/>
      <c r="F378" s="75"/>
      <c r="G378" s="74"/>
      <c r="H378" s="71">
        <f t="shared" si="5"/>
        <v>0</v>
      </c>
    </row>
    <row r="379" spans="2:8" s="148" customFormat="1" ht="15.75" customHeight="1">
      <c r="B379" s="76"/>
      <c r="C379" s="77"/>
      <c r="D379" s="77"/>
      <c r="E379" s="102"/>
      <c r="F379" s="75"/>
      <c r="G379" s="74"/>
      <c r="H379" s="71">
        <f t="shared" si="5"/>
        <v>0</v>
      </c>
    </row>
    <row r="380" spans="2:8" s="148" customFormat="1" ht="15.75" customHeight="1">
      <c r="B380" s="76"/>
      <c r="C380" s="77"/>
      <c r="D380" s="77"/>
      <c r="E380" s="102"/>
      <c r="F380" s="75"/>
      <c r="G380" s="74"/>
      <c r="H380" s="71">
        <f t="shared" si="5"/>
        <v>0</v>
      </c>
    </row>
    <row r="381" spans="2:8" s="148" customFormat="1" ht="15.75" customHeight="1">
      <c r="B381" s="76"/>
      <c r="C381" s="77"/>
      <c r="D381" s="77"/>
      <c r="E381" s="102"/>
      <c r="F381" s="75"/>
      <c r="G381" s="74"/>
      <c r="H381" s="71">
        <f t="shared" si="5"/>
        <v>0</v>
      </c>
    </row>
    <row r="382" spans="2:8" s="148" customFormat="1" ht="15.75" customHeight="1">
      <c r="B382" s="76"/>
      <c r="C382" s="77"/>
      <c r="D382" s="77"/>
      <c r="E382" s="102"/>
      <c r="F382" s="75"/>
      <c r="G382" s="74"/>
      <c r="H382" s="71">
        <f t="shared" si="5"/>
        <v>0</v>
      </c>
    </row>
    <row r="383" spans="2:8" s="148" customFormat="1" ht="15.75" customHeight="1">
      <c r="B383" s="76"/>
      <c r="C383" s="77"/>
      <c r="D383" s="77"/>
      <c r="E383" s="102"/>
      <c r="F383" s="75"/>
      <c r="G383" s="74"/>
      <c r="H383" s="71">
        <f t="shared" si="5"/>
        <v>0</v>
      </c>
    </row>
    <row r="384" spans="2:8" s="148" customFormat="1" ht="15.75" customHeight="1" thickBot="1">
      <c r="B384" s="78"/>
      <c r="C384" s="79"/>
      <c r="D384" s="79"/>
      <c r="E384" s="128"/>
      <c r="F384" s="80"/>
      <c r="G384" s="81"/>
      <c r="H384" s="82">
        <f t="shared" si="5"/>
        <v>0</v>
      </c>
    </row>
    <row r="385" spans="2:8" s="148" customFormat="1" ht="15.75" customHeight="1">
      <c r="B385" s="140"/>
      <c r="C385" s="107"/>
      <c r="D385" s="107"/>
      <c r="E385" s="102"/>
      <c r="F385" s="75"/>
      <c r="G385" s="74"/>
      <c r="H385" s="71">
        <f t="shared" si="5"/>
        <v>0</v>
      </c>
    </row>
    <row r="386" spans="2:8" s="148" customFormat="1" ht="15.75" customHeight="1">
      <c r="B386" s="140"/>
      <c r="C386" s="107"/>
      <c r="D386" s="107"/>
      <c r="E386" s="102"/>
      <c r="F386" s="75"/>
      <c r="G386" s="74"/>
      <c r="H386" s="71">
        <f t="shared" si="5"/>
        <v>0</v>
      </c>
    </row>
    <row r="387" spans="2:8" s="148" customFormat="1" ht="15.75" customHeight="1">
      <c r="B387" s="140"/>
      <c r="C387" s="107"/>
      <c r="D387" s="107"/>
      <c r="E387" s="102"/>
      <c r="F387" s="75"/>
      <c r="G387" s="74"/>
      <c r="H387" s="71">
        <f t="shared" si="5"/>
        <v>0</v>
      </c>
    </row>
    <row r="388" spans="2:8" s="148" customFormat="1" ht="15.75" customHeight="1">
      <c r="B388" s="139"/>
      <c r="C388" s="138"/>
      <c r="D388" s="138"/>
      <c r="E388" s="102"/>
      <c r="F388" s="75"/>
      <c r="G388" s="74"/>
      <c r="H388" s="71">
        <f t="shared" si="5"/>
        <v>0</v>
      </c>
    </row>
    <row r="389" spans="2:8" s="148" customFormat="1" ht="15.75" customHeight="1">
      <c r="B389" s="76"/>
      <c r="C389" s="107"/>
      <c r="D389" s="77"/>
      <c r="E389" s="102"/>
      <c r="F389" s="75"/>
      <c r="G389" s="74"/>
      <c r="H389" s="71">
        <f t="shared" si="5"/>
        <v>0</v>
      </c>
    </row>
    <row r="390" spans="2:8" s="148" customFormat="1" ht="15.75" customHeight="1">
      <c r="B390" s="76"/>
      <c r="C390" s="107"/>
      <c r="D390" s="77"/>
      <c r="E390" s="102"/>
      <c r="F390" s="75"/>
      <c r="G390" s="74"/>
      <c r="H390" s="71">
        <f t="shared" si="5"/>
        <v>0</v>
      </c>
    </row>
    <row r="391" spans="2:8" s="148" customFormat="1" ht="15.75" customHeight="1">
      <c r="B391" s="76"/>
      <c r="C391" s="107"/>
      <c r="D391" s="77"/>
      <c r="E391" s="102"/>
      <c r="F391" s="75"/>
      <c r="G391" s="74"/>
      <c r="H391" s="71">
        <f t="shared" si="5"/>
        <v>0</v>
      </c>
    </row>
    <row r="392" spans="2:8" s="148" customFormat="1" ht="15.75" customHeight="1">
      <c r="B392" s="76"/>
      <c r="C392" s="107"/>
      <c r="D392" s="77"/>
      <c r="E392" s="102"/>
      <c r="F392" s="75"/>
      <c r="G392" s="74"/>
      <c r="H392" s="71">
        <f t="shared" si="5"/>
        <v>0</v>
      </c>
    </row>
    <row r="393" spans="2:8" s="148" customFormat="1" ht="15.75" customHeight="1">
      <c r="B393" s="76"/>
      <c r="C393" s="107"/>
      <c r="D393" s="77"/>
      <c r="E393" s="102"/>
      <c r="F393" s="75"/>
      <c r="G393" s="74"/>
      <c r="H393" s="71">
        <f t="shared" si="5"/>
        <v>0</v>
      </c>
    </row>
    <row r="394" spans="2:8" s="148" customFormat="1" ht="15.75" customHeight="1">
      <c r="B394" s="76"/>
      <c r="C394" s="107"/>
      <c r="D394" s="77"/>
      <c r="E394" s="102"/>
      <c r="F394" s="75"/>
      <c r="G394" s="74"/>
      <c r="H394" s="71">
        <f t="shared" si="5"/>
        <v>0</v>
      </c>
    </row>
    <row r="395" spans="2:8" s="148" customFormat="1" ht="15.75" customHeight="1">
      <c r="B395" s="76"/>
      <c r="C395" s="107"/>
      <c r="D395" s="77"/>
      <c r="E395" s="102"/>
      <c r="F395" s="75"/>
      <c r="G395" s="74"/>
      <c r="H395" s="71">
        <f t="shared" si="5"/>
        <v>0</v>
      </c>
    </row>
    <row r="396" spans="2:8" s="148" customFormat="1" ht="15.75" customHeight="1">
      <c r="B396" s="76"/>
      <c r="C396" s="107"/>
      <c r="D396" s="77"/>
      <c r="E396" s="102"/>
      <c r="F396" s="75"/>
      <c r="G396" s="74"/>
      <c r="H396" s="71">
        <f t="shared" si="5"/>
        <v>0</v>
      </c>
    </row>
    <row r="397" spans="2:8" s="148" customFormat="1" ht="15.75" customHeight="1">
      <c r="B397" s="76"/>
      <c r="C397" s="107"/>
      <c r="D397" s="77"/>
      <c r="E397" s="102"/>
      <c r="F397" s="75"/>
      <c r="G397" s="74"/>
      <c r="H397" s="71">
        <f t="shared" si="5"/>
        <v>0</v>
      </c>
    </row>
    <row r="398" spans="2:8" s="148" customFormat="1" ht="15.75" customHeight="1">
      <c r="B398" s="76"/>
      <c r="C398" s="107"/>
      <c r="D398" s="77"/>
      <c r="E398" s="102"/>
      <c r="F398" s="75"/>
      <c r="G398" s="74"/>
      <c r="H398" s="71">
        <f t="shared" si="5"/>
        <v>0</v>
      </c>
    </row>
    <row r="399" spans="2:8" s="148" customFormat="1" ht="15.75" customHeight="1">
      <c r="B399" s="76"/>
      <c r="C399" s="107"/>
      <c r="D399" s="77"/>
      <c r="E399" s="102"/>
      <c r="F399" s="75"/>
      <c r="G399" s="74"/>
      <c r="H399" s="71">
        <f t="shared" si="5"/>
        <v>0</v>
      </c>
    </row>
    <row r="400" spans="2:8" s="148" customFormat="1" ht="15.75" customHeight="1">
      <c r="B400" s="76"/>
      <c r="C400" s="107"/>
      <c r="D400" s="77"/>
      <c r="E400" s="102"/>
      <c r="F400" s="75"/>
      <c r="G400" s="74"/>
      <c r="H400" s="71">
        <f t="shared" si="5"/>
        <v>0</v>
      </c>
    </row>
    <row r="401" spans="2:8" s="148" customFormat="1" ht="15.75" customHeight="1">
      <c r="B401" s="76"/>
      <c r="C401" s="107"/>
      <c r="D401" s="77"/>
      <c r="E401" s="102"/>
      <c r="F401" s="75"/>
      <c r="G401" s="74"/>
      <c r="H401" s="71">
        <f t="shared" si="5"/>
        <v>0</v>
      </c>
    </row>
    <row r="402" spans="2:8" s="148" customFormat="1" ht="15.75" customHeight="1">
      <c r="B402" s="76"/>
      <c r="C402" s="107"/>
      <c r="D402" s="77"/>
      <c r="E402" s="102"/>
      <c r="F402" s="75"/>
      <c r="G402" s="74"/>
      <c r="H402" s="71">
        <f t="shared" si="5"/>
        <v>0</v>
      </c>
    </row>
    <row r="403" spans="2:8" s="148" customFormat="1" ht="15.75" customHeight="1">
      <c r="B403" s="76"/>
      <c r="C403" s="107"/>
      <c r="D403" s="77"/>
      <c r="E403" s="102"/>
      <c r="F403" s="75"/>
      <c r="G403" s="74"/>
      <c r="H403" s="71">
        <f t="shared" si="5"/>
        <v>0</v>
      </c>
    </row>
    <row r="404" spans="2:8" s="148" customFormat="1" ht="15.75" customHeight="1">
      <c r="B404" s="76"/>
      <c r="C404" s="107"/>
      <c r="D404" s="77"/>
      <c r="E404" s="102"/>
      <c r="F404" s="75"/>
      <c r="G404" s="74"/>
      <c r="H404" s="71">
        <f t="shared" si="5"/>
        <v>0</v>
      </c>
    </row>
    <row r="405" spans="2:8" s="148" customFormat="1" ht="15.75" customHeight="1">
      <c r="B405" s="76"/>
      <c r="C405" s="107"/>
      <c r="D405" s="77"/>
      <c r="E405" s="102"/>
      <c r="F405" s="75"/>
      <c r="G405" s="74"/>
      <c r="H405" s="71">
        <f t="shared" si="5"/>
        <v>0</v>
      </c>
    </row>
    <row r="406" spans="2:8" s="148" customFormat="1" ht="15.75" customHeight="1">
      <c r="B406" s="76"/>
      <c r="C406" s="107"/>
      <c r="D406" s="77"/>
      <c r="E406" s="102"/>
      <c r="F406" s="75"/>
      <c r="G406" s="74"/>
      <c r="H406" s="71">
        <f t="shared" si="5"/>
        <v>0</v>
      </c>
    </row>
    <row r="407" spans="2:8" s="148" customFormat="1" ht="15.75" customHeight="1">
      <c r="B407" s="76"/>
      <c r="C407" s="107"/>
      <c r="D407" s="77"/>
      <c r="E407" s="102"/>
      <c r="F407" s="75"/>
      <c r="G407" s="74"/>
      <c r="H407" s="71">
        <f t="shared" si="5"/>
        <v>0</v>
      </c>
    </row>
    <row r="408" spans="2:8" s="148" customFormat="1" ht="15.75" customHeight="1">
      <c r="B408" s="76"/>
      <c r="C408" s="107"/>
      <c r="D408" s="77"/>
      <c r="E408" s="102"/>
      <c r="F408" s="75"/>
      <c r="G408" s="74"/>
      <c r="H408" s="71">
        <f t="shared" si="5"/>
        <v>0</v>
      </c>
    </row>
    <row r="409" spans="2:8" s="148" customFormat="1" ht="15.75" customHeight="1">
      <c r="B409" s="76"/>
      <c r="C409" s="107"/>
      <c r="D409" s="77"/>
      <c r="E409" s="102"/>
      <c r="F409" s="75"/>
      <c r="G409" s="74"/>
      <c r="H409" s="71">
        <f t="shared" si="5"/>
        <v>0</v>
      </c>
    </row>
    <row r="410" spans="2:8" s="148" customFormat="1" ht="15.75" customHeight="1">
      <c r="B410" s="76"/>
      <c r="C410" s="107"/>
      <c r="D410" s="77"/>
      <c r="E410" s="102"/>
      <c r="F410" s="75"/>
      <c r="G410" s="74"/>
      <c r="H410" s="71">
        <f t="shared" ref="H410:H473" si="6">F410*E410</f>
        <v>0</v>
      </c>
    </row>
    <row r="411" spans="2:8" s="148" customFormat="1" ht="15.75" customHeight="1">
      <c r="B411" s="76"/>
      <c r="C411" s="107"/>
      <c r="D411" s="77"/>
      <c r="E411" s="102"/>
      <c r="F411" s="75"/>
      <c r="G411" s="74"/>
      <c r="H411" s="71">
        <f t="shared" si="6"/>
        <v>0</v>
      </c>
    </row>
    <row r="412" spans="2:8" s="148" customFormat="1" ht="15.75" customHeight="1">
      <c r="B412" s="76"/>
      <c r="C412" s="107"/>
      <c r="D412" s="77"/>
      <c r="E412" s="102"/>
      <c r="F412" s="75"/>
      <c r="G412" s="74"/>
      <c r="H412" s="71">
        <f t="shared" si="6"/>
        <v>0</v>
      </c>
    </row>
    <row r="413" spans="2:8" s="148" customFormat="1" ht="15.75" customHeight="1">
      <c r="B413" s="76"/>
      <c r="C413" s="107"/>
      <c r="D413" s="77"/>
      <c r="E413" s="102"/>
      <c r="F413" s="75"/>
      <c r="G413" s="74"/>
      <c r="H413" s="71">
        <f t="shared" si="6"/>
        <v>0</v>
      </c>
    </row>
    <row r="414" spans="2:8" s="148" customFormat="1" ht="15.75" customHeight="1">
      <c r="B414" s="76"/>
      <c r="C414" s="107"/>
      <c r="D414" s="77"/>
      <c r="E414" s="102"/>
      <c r="F414" s="75"/>
      <c r="G414" s="74"/>
      <c r="H414" s="71">
        <f t="shared" si="6"/>
        <v>0</v>
      </c>
    </row>
    <row r="415" spans="2:8" s="148" customFormat="1" ht="15.75" customHeight="1">
      <c r="B415" s="76"/>
      <c r="C415" s="107"/>
      <c r="D415" s="77"/>
      <c r="E415" s="102"/>
      <c r="F415" s="75"/>
      <c r="G415" s="74"/>
      <c r="H415" s="71">
        <f t="shared" si="6"/>
        <v>0</v>
      </c>
    </row>
    <row r="416" spans="2:8" s="148" customFormat="1" ht="15.75" customHeight="1">
      <c r="B416" s="76"/>
      <c r="C416" s="107"/>
      <c r="D416" s="77"/>
      <c r="E416" s="102"/>
      <c r="F416" s="75"/>
      <c r="G416" s="74"/>
      <c r="H416" s="71">
        <f t="shared" si="6"/>
        <v>0</v>
      </c>
    </row>
    <row r="417" spans="2:8" s="148" customFormat="1" ht="15.75" customHeight="1">
      <c r="B417" s="76"/>
      <c r="C417" s="107"/>
      <c r="D417" s="77"/>
      <c r="E417" s="102"/>
      <c r="F417" s="75"/>
      <c r="G417" s="74"/>
      <c r="H417" s="71">
        <f t="shared" si="6"/>
        <v>0</v>
      </c>
    </row>
    <row r="418" spans="2:8" s="148" customFormat="1" ht="15.75" customHeight="1">
      <c r="B418" s="76"/>
      <c r="C418" s="107"/>
      <c r="D418" s="77"/>
      <c r="E418" s="102"/>
      <c r="F418" s="75"/>
      <c r="G418" s="74"/>
      <c r="H418" s="71">
        <f t="shared" si="6"/>
        <v>0</v>
      </c>
    </row>
    <row r="419" spans="2:8" s="148" customFormat="1" ht="15.75" customHeight="1">
      <c r="B419" s="76"/>
      <c r="C419" s="77"/>
      <c r="D419" s="77"/>
      <c r="E419" s="102"/>
      <c r="F419" s="75"/>
      <c r="G419" s="74"/>
      <c r="H419" s="71">
        <f t="shared" si="6"/>
        <v>0</v>
      </c>
    </row>
    <row r="420" spans="2:8" s="148" customFormat="1" ht="15.75" customHeight="1">
      <c r="B420" s="76"/>
      <c r="C420" s="77"/>
      <c r="D420" s="77"/>
      <c r="E420" s="102"/>
      <c r="F420" s="75"/>
      <c r="G420" s="74"/>
      <c r="H420" s="71">
        <f t="shared" si="6"/>
        <v>0</v>
      </c>
    </row>
    <row r="421" spans="2:8" s="148" customFormat="1" ht="15.75" customHeight="1">
      <c r="B421" s="76"/>
      <c r="C421" s="77"/>
      <c r="D421" s="77"/>
      <c r="E421" s="102"/>
      <c r="F421" s="75"/>
      <c r="G421" s="74"/>
      <c r="H421" s="71">
        <f t="shared" si="6"/>
        <v>0</v>
      </c>
    </row>
    <row r="422" spans="2:8" s="148" customFormat="1" ht="15.75" customHeight="1">
      <c r="B422" s="76"/>
      <c r="C422" s="77"/>
      <c r="D422" s="77"/>
      <c r="E422" s="102"/>
      <c r="F422" s="75"/>
      <c r="G422" s="74"/>
      <c r="H422" s="71">
        <f t="shared" si="6"/>
        <v>0</v>
      </c>
    </row>
    <row r="423" spans="2:8" s="148" customFormat="1" ht="15.75" customHeight="1">
      <c r="B423" s="76"/>
      <c r="C423" s="77"/>
      <c r="D423" s="77"/>
      <c r="E423" s="102"/>
      <c r="F423" s="75"/>
      <c r="G423" s="74"/>
      <c r="H423" s="71">
        <f t="shared" si="6"/>
        <v>0</v>
      </c>
    </row>
    <row r="424" spans="2:8" s="148" customFormat="1" ht="15.75" customHeight="1">
      <c r="B424" s="76"/>
      <c r="C424" s="77"/>
      <c r="D424" s="77"/>
      <c r="E424" s="102"/>
      <c r="F424" s="75"/>
      <c r="G424" s="74"/>
      <c r="H424" s="71">
        <f t="shared" si="6"/>
        <v>0</v>
      </c>
    </row>
    <row r="425" spans="2:8" s="148" customFormat="1" ht="15.75" customHeight="1">
      <c r="B425" s="76"/>
      <c r="C425" s="77"/>
      <c r="D425" s="77"/>
      <c r="E425" s="102"/>
      <c r="F425" s="75"/>
      <c r="G425" s="74"/>
      <c r="H425" s="71">
        <f t="shared" si="6"/>
        <v>0</v>
      </c>
    </row>
    <row r="426" spans="2:8" s="148" customFormat="1" ht="15.75" customHeight="1">
      <c r="B426" s="76"/>
      <c r="C426" s="77"/>
      <c r="D426" s="77"/>
      <c r="E426" s="102"/>
      <c r="F426" s="75"/>
      <c r="G426" s="74"/>
      <c r="H426" s="71">
        <f t="shared" si="6"/>
        <v>0</v>
      </c>
    </row>
    <row r="427" spans="2:8" s="148" customFormat="1" ht="15.75" customHeight="1">
      <c r="B427" s="76"/>
      <c r="C427" s="77"/>
      <c r="D427" s="77"/>
      <c r="E427" s="102"/>
      <c r="F427" s="75"/>
      <c r="G427" s="74"/>
      <c r="H427" s="71">
        <f t="shared" si="6"/>
        <v>0</v>
      </c>
    </row>
    <row r="428" spans="2:8" s="148" customFormat="1" ht="15.75" customHeight="1">
      <c r="B428" s="76"/>
      <c r="C428" s="77"/>
      <c r="D428" s="77"/>
      <c r="E428" s="102"/>
      <c r="F428" s="75"/>
      <c r="G428" s="74"/>
      <c r="H428" s="71">
        <f t="shared" si="6"/>
        <v>0</v>
      </c>
    </row>
    <row r="429" spans="2:8" s="148" customFormat="1" ht="15.75" customHeight="1">
      <c r="B429" s="76"/>
      <c r="C429" s="77"/>
      <c r="D429" s="77"/>
      <c r="E429" s="102"/>
      <c r="F429" s="75"/>
      <c r="G429" s="74"/>
      <c r="H429" s="71">
        <f t="shared" si="6"/>
        <v>0</v>
      </c>
    </row>
    <row r="430" spans="2:8" s="148" customFormat="1" ht="15.75" customHeight="1">
      <c r="B430" s="76"/>
      <c r="C430" s="77"/>
      <c r="D430" s="77"/>
      <c r="E430" s="102"/>
      <c r="F430" s="75"/>
      <c r="G430" s="74"/>
      <c r="H430" s="71">
        <f t="shared" si="6"/>
        <v>0</v>
      </c>
    </row>
    <row r="431" spans="2:8" s="148" customFormat="1" ht="15.75" customHeight="1">
      <c r="B431" s="76"/>
      <c r="C431" s="77"/>
      <c r="D431" s="77"/>
      <c r="E431" s="102"/>
      <c r="F431" s="75"/>
      <c r="G431" s="74"/>
      <c r="H431" s="71">
        <f t="shared" si="6"/>
        <v>0</v>
      </c>
    </row>
    <row r="432" spans="2:8" s="148" customFormat="1" ht="15.75" customHeight="1">
      <c r="B432" s="76"/>
      <c r="C432" s="77"/>
      <c r="D432" s="77"/>
      <c r="E432" s="102"/>
      <c r="F432" s="75"/>
      <c r="G432" s="74"/>
      <c r="H432" s="71">
        <f t="shared" si="6"/>
        <v>0</v>
      </c>
    </row>
    <row r="433" spans="2:8" s="148" customFormat="1" ht="15.75" customHeight="1">
      <c r="B433" s="76"/>
      <c r="C433" s="77"/>
      <c r="D433" s="77"/>
      <c r="E433" s="102"/>
      <c r="F433" s="75"/>
      <c r="G433" s="74"/>
      <c r="H433" s="71">
        <f t="shared" si="6"/>
        <v>0</v>
      </c>
    </row>
    <row r="434" spans="2:8" s="148" customFormat="1" ht="15.75" customHeight="1">
      <c r="B434" s="76"/>
      <c r="C434" s="77"/>
      <c r="D434" s="77"/>
      <c r="E434" s="102"/>
      <c r="F434" s="75"/>
      <c r="G434" s="74"/>
      <c r="H434" s="71">
        <f t="shared" si="6"/>
        <v>0</v>
      </c>
    </row>
    <row r="435" spans="2:8" s="148" customFormat="1" ht="15.75" customHeight="1">
      <c r="B435" s="76"/>
      <c r="C435" s="77"/>
      <c r="D435" s="77"/>
      <c r="E435" s="102"/>
      <c r="F435" s="75"/>
      <c r="G435" s="74"/>
      <c r="H435" s="71">
        <f t="shared" si="6"/>
        <v>0</v>
      </c>
    </row>
    <row r="436" spans="2:8" s="148" customFormat="1" ht="15.75" customHeight="1">
      <c r="B436" s="76"/>
      <c r="C436" s="77"/>
      <c r="D436" s="77"/>
      <c r="E436" s="102"/>
      <c r="F436" s="75"/>
      <c r="G436" s="74"/>
      <c r="H436" s="71">
        <f t="shared" si="6"/>
        <v>0</v>
      </c>
    </row>
    <row r="437" spans="2:8" s="148" customFormat="1" ht="15.75" customHeight="1">
      <c r="B437" s="76"/>
      <c r="C437" s="77"/>
      <c r="D437" s="77"/>
      <c r="E437" s="102"/>
      <c r="F437" s="75"/>
      <c r="G437" s="74"/>
      <c r="H437" s="71">
        <f t="shared" si="6"/>
        <v>0</v>
      </c>
    </row>
    <row r="438" spans="2:8" s="148" customFormat="1" ht="15.75" customHeight="1">
      <c r="B438" s="76"/>
      <c r="C438" s="77"/>
      <c r="D438" s="77"/>
      <c r="E438" s="102"/>
      <c r="F438" s="75"/>
      <c r="G438" s="74"/>
      <c r="H438" s="71">
        <f t="shared" si="6"/>
        <v>0</v>
      </c>
    </row>
    <row r="439" spans="2:8" s="148" customFormat="1" ht="15.75" customHeight="1">
      <c r="B439" s="76"/>
      <c r="C439" s="77"/>
      <c r="D439" s="77"/>
      <c r="E439" s="102"/>
      <c r="F439" s="75"/>
      <c r="G439" s="74"/>
      <c r="H439" s="71">
        <f t="shared" si="6"/>
        <v>0</v>
      </c>
    </row>
    <row r="440" spans="2:8" s="148" customFormat="1" ht="15.75" customHeight="1">
      <c r="B440" s="76"/>
      <c r="C440" s="77"/>
      <c r="D440" s="77"/>
      <c r="E440" s="102"/>
      <c r="F440" s="75"/>
      <c r="G440" s="74"/>
      <c r="H440" s="71">
        <f t="shared" si="6"/>
        <v>0</v>
      </c>
    </row>
    <row r="441" spans="2:8" s="148" customFormat="1" ht="15.75" customHeight="1">
      <c r="B441" s="76"/>
      <c r="C441" s="77"/>
      <c r="D441" s="77"/>
      <c r="E441" s="102"/>
      <c r="F441" s="75"/>
      <c r="G441" s="74"/>
      <c r="H441" s="71">
        <f t="shared" si="6"/>
        <v>0</v>
      </c>
    </row>
    <row r="442" spans="2:8" s="148" customFormat="1" ht="15.75" customHeight="1">
      <c r="B442" s="76"/>
      <c r="C442" s="77"/>
      <c r="D442" s="77"/>
      <c r="E442" s="102"/>
      <c r="F442" s="75"/>
      <c r="G442" s="74"/>
      <c r="H442" s="71">
        <f t="shared" si="6"/>
        <v>0</v>
      </c>
    </row>
    <row r="443" spans="2:8" s="148" customFormat="1" ht="15.75" customHeight="1">
      <c r="B443" s="76"/>
      <c r="C443" s="77"/>
      <c r="D443" s="77"/>
      <c r="E443" s="102"/>
      <c r="F443" s="75"/>
      <c r="G443" s="74"/>
      <c r="H443" s="71">
        <f t="shared" si="6"/>
        <v>0</v>
      </c>
    </row>
    <row r="444" spans="2:8" s="148" customFormat="1" ht="15.75" customHeight="1">
      <c r="B444" s="76"/>
      <c r="C444" s="77"/>
      <c r="D444" s="77"/>
      <c r="E444" s="102"/>
      <c r="F444" s="75"/>
      <c r="G444" s="74"/>
      <c r="H444" s="71">
        <f t="shared" si="6"/>
        <v>0</v>
      </c>
    </row>
    <row r="445" spans="2:8" s="148" customFormat="1" ht="15.75" customHeight="1">
      <c r="B445" s="140"/>
      <c r="C445" s="107"/>
      <c r="D445" s="107"/>
      <c r="E445" s="102"/>
      <c r="F445" s="75"/>
      <c r="G445" s="74"/>
      <c r="H445" s="71">
        <f t="shared" si="6"/>
        <v>0</v>
      </c>
    </row>
    <row r="446" spans="2:8" s="148" customFormat="1" ht="15.75" customHeight="1">
      <c r="B446" s="140"/>
      <c r="C446" s="107"/>
      <c r="D446" s="107"/>
      <c r="E446" s="102"/>
      <c r="F446" s="75"/>
      <c r="G446" s="74"/>
      <c r="H446" s="71">
        <f t="shared" si="6"/>
        <v>0</v>
      </c>
    </row>
    <row r="447" spans="2:8" s="148" customFormat="1" ht="15.75" customHeight="1">
      <c r="B447" s="140"/>
      <c r="C447" s="107"/>
      <c r="D447" s="107"/>
      <c r="E447" s="102"/>
      <c r="F447" s="75"/>
      <c r="G447" s="74"/>
      <c r="H447" s="71">
        <f t="shared" si="6"/>
        <v>0</v>
      </c>
    </row>
    <row r="448" spans="2:8" s="148" customFormat="1" ht="15.75" customHeight="1">
      <c r="B448" s="139"/>
      <c r="C448" s="138"/>
      <c r="D448" s="138"/>
      <c r="E448" s="102"/>
      <c r="F448" s="75"/>
      <c r="G448" s="74"/>
      <c r="H448" s="71">
        <f t="shared" si="6"/>
        <v>0</v>
      </c>
    </row>
    <row r="449" spans="2:8" s="148" customFormat="1" ht="15.75" customHeight="1">
      <c r="B449" s="76"/>
      <c r="C449" s="107"/>
      <c r="D449" s="77"/>
      <c r="E449" s="102"/>
      <c r="F449" s="75"/>
      <c r="G449" s="74"/>
      <c r="H449" s="71">
        <f t="shared" si="6"/>
        <v>0</v>
      </c>
    </row>
    <row r="450" spans="2:8" s="148" customFormat="1" ht="15.75" customHeight="1">
      <c r="B450" s="76"/>
      <c r="C450" s="107"/>
      <c r="D450" s="77"/>
      <c r="E450" s="102"/>
      <c r="F450" s="75"/>
      <c r="G450" s="74"/>
      <c r="H450" s="71">
        <f t="shared" si="6"/>
        <v>0</v>
      </c>
    </row>
    <row r="451" spans="2:8" s="148" customFormat="1" ht="15.75" customHeight="1">
      <c r="B451" s="76"/>
      <c r="C451" s="107"/>
      <c r="D451" s="77"/>
      <c r="E451" s="102"/>
      <c r="F451" s="75"/>
      <c r="G451" s="74"/>
      <c r="H451" s="71">
        <f t="shared" si="6"/>
        <v>0</v>
      </c>
    </row>
    <row r="452" spans="2:8" s="148" customFormat="1" ht="15.75" customHeight="1">
      <c r="B452" s="76"/>
      <c r="C452" s="107"/>
      <c r="D452" s="77"/>
      <c r="E452" s="102"/>
      <c r="F452" s="75"/>
      <c r="G452" s="74"/>
      <c r="H452" s="71">
        <f t="shared" si="6"/>
        <v>0</v>
      </c>
    </row>
    <row r="453" spans="2:8" s="148" customFormat="1" ht="15.75" customHeight="1">
      <c r="B453" s="76"/>
      <c r="C453" s="107"/>
      <c r="D453" s="77"/>
      <c r="E453" s="102"/>
      <c r="F453" s="75"/>
      <c r="G453" s="74"/>
      <c r="H453" s="71">
        <f t="shared" si="6"/>
        <v>0</v>
      </c>
    </row>
    <row r="454" spans="2:8" s="148" customFormat="1" ht="15.75" customHeight="1">
      <c r="B454" s="76"/>
      <c r="C454" s="107"/>
      <c r="D454" s="77"/>
      <c r="E454" s="102"/>
      <c r="F454" s="75"/>
      <c r="G454" s="74"/>
      <c r="H454" s="71">
        <f t="shared" si="6"/>
        <v>0</v>
      </c>
    </row>
    <row r="455" spans="2:8" s="148" customFormat="1" ht="15.75" customHeight="1">
      <c r="B455" s="76"/>
      <c r="C455" s="107"/>
      <c r="D455" s="77"/>
      <c r="E455" s="102"/>
      <c r="F455" s="75"/>
      <c r="G455" s="74"/>
      <c r="H455" s="71">
        <f t="shared" si="6"/>
        <v>0</v>
      </c>
    </row>
    <row r="456" spans="2:8" s="148" customFormat="1" ht="15.75" customHeight="1">
      <c r="B456" s="76"/>
      <c r="C456" s="107"/>
      <c r="D456" s="77"/>
      <c r="E456" s="102"/>
      <c r="F456" s="75"/>
      <c r="G456" s="74"/>
      <c r="H456" s="71">
        <f t="shared" si="6"/>
        <v>0</v>
      </c>
    </row>
    <row r="457" spans="2:8" s="148" customFormat="1" ht="15.75" customHeight="1">
      <c r="B457" s="76"/>
      <c r="C457" s="107"/>
      <c r="D457" s="77"/>
      <c r="E457" s="102"/>
      <c r="F457" s="75"/>
      <c r="G457" s="74"/>
      <c r="H457" s="71">
        <f t="shared" si="6"/>
        <v>0</v>
      </c>
    </row>
    <row r="458" spans="2:8" s="148" customFormat="1" ht="15.75" customHeight="1">
      <c r="B458" s="76"/>
      <c r="C458" s="107"/>
      <c r="D458" s="77"/>
      <c r="E458" s="102"/>
      <c r="F458" s="75"/>
      <c r="G458" s="74"/>
      <c r="H458" s="71">
        <f t="shared" si="6"/>
        <v>0</v>
      </c>
    </row>
    <row r="459" spans="2:8" s="148" customFormat="1" ht="15.75" customHeight="1">
      <c r="B459" s="76"/>
      <c r="C459" s="107"/>
      <c r="D459" s="77"/>
      <c r="E459" s="102"/>
      <c r="F459" s="75"/>
      <c r="G459" s="74"/>
      <c r="H459" s="71">
        <f t="shared" si="6"/>
        <v>0</v>
      </c>
    </row>
    <row r="460" spans="2:8" s="148" customFormat="1" ht="15.75" customHeight="1">
      <c r="B460" s="76"/>
      <c r="C460" s="107"/>
      <c r="D460" s="77"/>
      <c r="E460" s="102"/>
      <c r="F460" s="75"/>
      <c r="G460" s="74"/>
      <c r="H460" s="71">
        <f t="shared" si="6"/>
        <v>0</v>
      </c>
    </row>
    <row r="461" spans="2:8" s="148" customFormat="1" ht="15.75" customHeight="1">
      <c r="B461" s="76"/>
      <c r="C461" s="107"/>
      <c r="D461" s="77"/>
      <c r="E461" s="102"/>
      <c r="F461" s="75"/>
      <c r="G461" s="74"/>
      <c r="H461" s="71">
        <f t="shared" si="6"/>
        <v>0</v>
      </c>
    </row>
    <row r="462" spans="2:8" s="148" customFormat="1" ht="15.75" customHeight="1">
      <c r="B462" s="76"/>
      <c r="C462" s="107"/>
      <c r="D462" s="77"/>
      <c r="E462" s="102"/>
      <c r="F462" s="75"/>
      <c r="G462" s="74"/>
      <c r="H462" s="71">
        <f t="shared" si="6"/>
        <v>0</v>
      </c>
    </row>
    <row r="463" spans="2:8" s="148" customFormat="1" ht="15.75" customHeight="1">
      <c r="B463" s="76"/>
      <c r="C463" s="107"/>
      <c r="D463" s="77"/>
      <c r="E463" s="102"/>
      <c r="F463" s="75"/>
      <c r="G463" s="74"/>
      <c r="H463" s="71">
        <f t="shared" si="6"/>
        <v>0</v>
      </c>
    </row>
    <row r="464" spans="2:8" s="148" customFormat="1" ht="15.75" customHeight="1">
      <c r="B464" s="76"/>
      <c r="C464" s="107"/>
      <c r="D464" s="77"/>
      <c r="E464" s="102"/>
      <c r="F464" s="75"/>
      <c r="G464" s="74"/>
      <c r="H464" s="71">
        <f t="shared" si="6"/>
        <v>0</v>
      </c>
    </row>
    <row r="465" spans="2:8" s="148" customFormat="1" ht="15.75" customHeight="1">
      <c r="B465" s="76"/>
      <c r="C465" s="107"/>
      <c r="D465" s="77"/>
      <c r="E465" s="102"/>
      <c r="F465" s="75"/>
      <c r="G465" s="74"/>
      <c r="H465" s="71">
        <f t="shared" si="6"/>
        <v>0</v>
      </c>
    </row>
    <row r="466" spans="2:8" s="148" customFormat="1" ht="15.75" customHeight="1">
      <c r="B466" s="76"/>
      <c r="C466" s="107"/>
      <c r="D466" s="77"/>
      <c r="E466" s="102"/>
      <c r="F466" s="75"/>
      <c r="G466" s="74"/>
      <c r="H466" s="71">
        <f t="shared" si="6"/>
        <v>0</v>
      </c>
    </row>
    <row r="467" spans="2:8" s="148" customFormat="1" ht="15.75" customHeight="1">
      <c r="B467" s="76"/>
      <c r="C467" s="107"/>
      <c r="D467" s="77"/>
      <c r="E467" s="102"/>
      <c r="F467" s="75"/>
      <c r="G467" s="74"/>
      <c r="H467" s="71">
        <f t="shared" si="6"/>
        <v>0</v>
      </c>
    </row>
    <row r="468" spans="2:8" s="148" customFormat="1" ht="15.75" customHeight="1">
      <c r="B468" s="76"/>
      <c r="C468" s="107"/>
      <c r="D468" s="77"/>
      <c r="E468" s="102"/>
      <c r="F468" s="75"/>
      <c r="G468" s="74"/>
      <c r="H468" s="71">
        <f t="shared" si="6"/>
        <v>0</v>
      </c>
    </row>
    <row r="469" spans="2:8" s="148" customFormat="1" ht="15.75" customHeight="1">
      <c r="B469" s="76"/>
      <c r="C469" s="107"/>
      <c r="D469" s="77"/>
      <c r="E469" s="102"/>
      <c r="F469" s="75"/>
      <c r="G469" s="74"/>
      <c r="H469" s="71">
        <f t="shared" si="6"/>
        <v>0</v>
      </c>
    </row>
    <row r="470" spans="2:8" s="148" customFormat="1" ht="15.75" customHeight="1">
      <c r="B470" s="76"/>
      <c r="C470" s="107"/>
      <c r="D470" s="77"/>
      <c r="E470" s="102"/>
      <c r="F470" s="75"/>
      <c r="G470" s="74"/>
      <c r="H470" s="71">
        <f t="shared" si="6"/>
        <v>0</v>
      </c>
    </row>
    <row r="471" spans="2:8" s="148" customFormat="1" ht="15.75" customHeight="1">
      <c r="B471" s="76"/>
      <c r="C471" s="107"/>
      <c r="D471" s="77"/>
      <c r="E471" s="102"/>
      <c r="F471" s="75"/>
      <c r="G471" s="74"/>
      <c r="H471" s="71">
        <f t="shared" si="6"/>
        <v>0</v>
      </c>
    </row>
    <row r="472" spans="2:8" s="148" customFormat="1" ht="15.75" customHeight="1">
      <c r="B472" s="76"/>
      <c r="C472" s="107"/>
      <c r="D472" s="77"/>
      <c r="E472" s="102"/>
      <c r="F472" s="75"/>
      <c r="G472" s="74"/>
      <c r="H472" s="71">
        <f t="shared" si="6"/>
        <v>0</v>
      </c>
    </row>
    <row r="473" spans="2:8" s="148" customFormat="1" ht="15.75" customHeight="1">
      <c r="B473" s="76"/>
      <c r="C473" s="107"/>
      <c r="D473" s="77"/>
      <c r="E473" s="102"/>
      <c r="F473" s="75"/>
      <c r="G473" s="74"/>
      <c r="H473" s="71">
        <f t="shared" si="6"/>
        <v>0</v>
      </c>
    </row>
    <row r="474" spans="2:8" s="148" customFormat="1" ht="15.75" customHeight="1">
      <c r="B474" s="76"/>
      <c r="C474" s="107"/>
      <c r="D474" s="77"/>
      <c r="E474" s="102"/>
      <c r="F474" s="75"/>
      <c r="G474" s="74"/>
      <c r="H474" s="71">
        <f t="shared" ref="H474:H485" si="7">F474*E474</f>
        <v>0</v>
      </c>
    </row>
    <row r="475" spans="2:8" s="148" customFormat="1" ht="15.75" customHeight="1">
      <c r="B475" s="76"/>
      <c r="C475" s="107"/>
      <c r="D475" s="77"/>
      <c r="E475" s="102"/>
      <c r="F475" s="75"/>
      <c r="G475" s="74"/>
      <c r="H475" s="71">
        <f t="shared" si="7"/>
        <v>0</v>
      </c>
    </row>
    <row r="476" spans="2:8" s="148" customFormat="1" ht="15.75" customHeight="1">
      <c r="B476" s="76"/>
      <c r="C476" s="107"/>
      <c r="D476" s="77"/>
      <c r="E476" s="102"/>
      <c r="F476" s="75"/>
      <c r="G476" s="74"/>
      <c r="H476" s="71">
        <f t="shared" si="7"/>
        <v>0</v>
      </c>
    </row>
    <row r="477" spans="2:8" s="148" customFormat="1" ht="15.75" customHeight="1">
      <c r="B477" s="76"/>
      <c r="C477" s="107"/>
      <c r="D477" s="77"/>
      <c r="E477" s="102"/>
      <c r="F477" s="75"/>
      <c r="G477" s="74"/>
      <c r="H477" s="71">
        <f t="shared" si="7"/>
        <v>0</v>
      </c>
    </row>
    <row r="478" spans="2:8" s="148" customFormat="1" ht="15.75" customHeight="1">
      <c r="B478" s="76"/>
      <c r="C478" s="107"/>
      <c r="D478" s="77"/>
      <c r="E478" s="102"/>
      <c r="F478" s="75"/>
      <c r="G478" s="74"/>
      <c r="H478" s="71">
        <f t="shared" si="7"/>
        <v>0</v>
      </c>
    </row>
    <row r="479" spans="2:8" s="148" customFormat="1" ht="15.75" customHeight="1">
      <c r="B479" s="76"/>
      <c r="C479" s="77"/>
      <c r="D479" s="77"/>
      <c r="E479" s="102"/>
      <c r="F479" s="75"/>
      <c r="G479" s="74"/>
      <c r="H479" s="71">
        <f t="shared" si="7"/>
        <v>0</v>
      </c>
    </row>
    <row r="480" spans="2:8" s="148" customFormat="1" ht="15.75" customHeight="1">
      <c r="B480" s="76"/>
      <c r="C480" s="77"/>
      <c r="D480" s="77"/>
      <c r="E480" s="102"/>
      <c r="F480" s="75"/>
      <c r="G480" s="74"/>
      <c r="H480" s="71">
        <f t="shared" si="7"/>
        <v>0</v>
      </c>
    </row>
    <row r="481" spans="2:8" s="148" customFormat="1" ht="15.75" customHeight="1">
      <c r="B481" s="76"/>
      <c r="C481" s="77"/>
      <c r="D481" s="77"/>
      <c r="E481" s="102"/>
      <c r="F481" s="75"/>
      <c r="G481" s="74"/>
      <c r="H481" s="71">
        <f t="shared" si="7"/>
        <v>0</v>
      </c>
    </row>
    <row r="482" spans="2:8" s="148" customFormat="1" ht="15.75" customHeight="1">
      <c r="B482" s="76"/>
      <c r="C482" s="77"/>
      <c r="D482" s="77"/>
      <c r="E482" s="102"/>
      <c r="F482" s="75"/>
      <c r="G482" s="74"/>
      <c r="H482" s="71">
        <f t="shared" si="7"/>
        <v>0</v>
      </c>
    </row>
    <row r="483" spans="2:8" s="148" customFormat="1" ht="15.75" customHeight="1">
      <c r="B483" s="76"/>
      <c r="C483" s="77"/>
      <c r="D483" s="77"/>
      <c r="E483" s="102"/>
      <c r="F483" s="75"/>
      <c r="G483" s="74"/>
      <c r="H483" s="71">
        <f t="shared" si="7"/>
        <v>0</v>
      </c>
    </row>
    <row r="484" spans="2:8" s="148" customFormat="1" ht="15.75" customHeight="1">
      <c r="B484" s="76"/>
      <c r="C484" s="77"/>
      <c r="D484" s="77"/>
      <c r="E484" s="102"/>
      <c r="F484" s="75"/>
      <c r="G484" s="74"/>
      <c r="H484" s="71">
        <f t="shared" si="7"/>
        <v>0</v>
      </c>
    </row>
    <row r="485" spans="2:8" s="148" customFormat="1" ht="15.75" customHeight="1">
      <c r="B485" s="76"/>
      <c r="C485" s="77"/>
      <c r="D485" s="77"/>
      <c r="E485" s="102"/>
      <c r="F485" s="75"/>
      <c r="G485" s="74"/>
      <c r="H485" s="71">
        <f t="shared" si="7"/>
        <v>0</v>
      </c>
    </row>
    <row r="486" spans="2:8" ht="15.75" customHeight="1"/>
    <row r="487" spans="2:8" ht="15.75" customHeight="1"/>
    <row r="488" spans="2:8" ht="15.75" customHeight="1"/>
    <row r="489" spans="2:8" ht="15.75" customHeight="1"/>
    <row r="490" spans="2:8" ht="15.75" customHeight="1"/>
    <row r="491" spans="2:8" ht="15.75" customHeight="1"/>
    <row r="492" spans="2:8" ht="15.75" customHeight="1"/>
    <row r="493" spans="2:8" ht="15.75" customHeight="1"/>
    <row r="494" spans="2:8" ht="15.75" customHeight="1"/>
    <row r="495" spans="2:8" ht="15.75" customHeight="1"/>
    <row r="496" spans="2:8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dataValidations count="1">
    <dataValidation type="list" allowBlank="1" sqref="D385:D485 D7:D323 D325:D383">
      <formula1>FORN!$B$7:$B$300</formula1>
    </dataValidation>
  </dataValidations>
  <hyperlinks>
    <hyperlink ref="J1" location="'Instruções'!A1" display="Dúvidas?"/>
  </hyperlinks>
  <pageMargins left="0.511811024" right="0.511811024" top="0.78740157499999996" bottom="0.78740157499999996" header="0" footer="0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1:AA986"/>
  <sheetViews>
    <sheetView showGridLines="0" tabSelected="1" topLeftCell="A456" zoomScale="85" zoomScaleNormal="85" workbookViewId="0">
      <selection activeCell="C475" sqref="C475"/>
    </sheetView>
  </sheetViews>
  <sheetFormatPr defaultColWidth="14.42578125" defaultRowHeight="15" customHeight="1"/>
  <cols>
    <col min="1" max="1" width="14.42578125" customWidth="1"/>
    <col min="2" max="2" width="27.7109375" bestFit="1" customWidth="1"/>
    <col min="3" max="3" width="44.28515625" bestFit="1" customWidth="1"/>
    <col min="4" max="4" width="18" customWidth="1"/>
    <col min="5" max="5" width="32.7109375" bestFit="1" customWidth="1"/>
    <col min="6" max="6" width="18" customWidth="1"/>
    <col min="7" max="7" width="19.140625" customWidth="1"/>
    <col min="8" max="8" width="17.140625" customWidth="1"/>
    <col min="9" max="9" width="16.140625" customWidth="1"/>
    <col min="10" max="10" width="17.42578125" customWidth="1"/>
    <col min="11" max="11" width="16.85546875" customWidth="1"/>
    <col min="12" max="12" width="16.140625" customWidth="1"/>
    <col min="13" max="13" width="11.5703125" customWidth="1"/>
    <col min="14" max="14" width="12.5703125" customWidth="1"/>
    <col min="15" max="15" width="8.7109375" customWidth="1"/>
    <col min="16" max="16" width="12.42578125" customWidth="1"/>
    <col min="17" max="27" width="8.7109375" customWidth="1"/>
  </cols>
  <sheetData>
    <row r="1" spans="1:27" ht="48.75" customHeight="1">
      <c r="A1" s="21"/>
      <c r="B1" s="22" t="s">
        <v>48</v>
      </c>
      <c r="D1" s="2"/>
      <c r="E1" s="96"/>
      <c r="F1" s="96"/>
      <c r="G1" s="2"/>
      <c r="H1" s="2"/>
      <c r="I1" s="83"/>
      <c r="J1" s="2"/>
      <c r="K1" s="2"/>
      <c r="L1" s="20"/>
      <c r="M1" s="24" t="s">
        <v>23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 ht="3.75" customHeight="1">
      <c r="A2" s="13"/>
      <c r="B2" s="13"/>
      <c r="C2" s="13"/>
      <c r="D2" s="13"/>
      <c r="E2" s="95"/>
      <c r="F2" s="95"/>
      <c r="G2" s="13"/>
      <c r="H2" s="13"/>
      <c r="I2" s="84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</row>
    <row r="3" spans="1:27" ht="15" customHeight="1">
      <c r="I3" s="85"/>
    </row>
    <row r="4" spans="1:27" ht="15" customHeight="1">
      <c r="I4" s="85"/>
    </row>
    <row r="5" spans="1:27" ht="15" customHeight="1">
      <c r="B5" s="30"/>
      <c r="C5" s="31"/>
      <c r="D5" s="31"/>
      <c r="E5" s="31"/>
      <c r="F5" s="31"/>
      <c r="G5" s="31"/>
      <c r="H5" s="31"/>
      <c r="I5" s="85"/>
      <c r="J5" s="86"/>
      <c r="K5" s="31"/>
    </row>
    <row r="6" spans="1:27" ht="35.25" customHeight="1" thickBot="1">
      <c r="A6" s="165"/>
      <c r="B6" s="171" t="s">
        <v>64</v>
      </c>
      <c r="C6" s="171" t="s">
        <v>63</v>
      </c>
      <c r="D6" s="171" t="s">
        <v>44</v>
      </c>
      <c r="E6" s="171" t="s">
        <v>65</v>
      </c>
      <c r="F6" s="171" t="s">
        <v>61</v>
      </c>
      <c r="G6" s="171" t="s">
        <v>49</v>
      </c>
      <c r="H6" s="171" t="s">
        <v>50</v>
      </c>
      <c r="I6" s="172" t="s">
        <v>32</v>
      </c>
      <c r="J6" s="171" t="s">
        <v>51</v>
      </c>
      <c r="K6" s="171" t="s">
        <v>52</v>
      </c>
      <c r="L6" s="171" t="s">
        <v>53</v>
      </c>
      <c r="M6" s="165"/>
    </row>
    <row r="7" spans="1:27" ht="15.75" customHeight="1">
      <c r="A7" s="166"/>
      <c r="B7" s="173">
        <v>46048</v>
      </c>
      <c r="C7" s="174" t="s">
        <v>233</v>
      </c>
      <c r="D7" s="174">
        <v>2</v>
      </c>
      <c r="E7" s="174" t="s">
        <v>311</v>
      </c>
      <c r="F7" s="174"/>
      <c r="G7" s="175"/>
      <c r="H7" s="176"/>
      <c r="I7" s="177"/>
      <c r="J7" s="178">
        <f>SAÍDAS!$D7-SAÍDAS!$G7</f>
        <v>2</v>
      </c>
      <c r="K7" s="178">
        <f>SUMIFS(ENTRADAS!$E$7:$E$1002,ENTRADAS!$B$7:$B$1002,"&lt;=" &amp; SAÍDAS!$B7,ENTRADAS!$C$7:$C$1002,SAÍDAS!$C7)-SUMIFS(SAÍDAS!$J$7:$J$289,SAÍDAS!$B$7:$B$289,"&lt;=" &amp; SAÍDAS!$B7,SAÍDAS!$C$7:$C$289,SAÍDAS!$C7)</f>
        <v>79</v>
      </c>
      <c r="L7" s="179">
        <f t="shared" ref="L7:L65" si="0">I7*J7</f>
        <v>0</v>
      </c>
      <c r="M7" s="170"/>
      <c r="Q7" s="32"/>
    </row>
    <row r="8" spans="1:27">
      <c r="A8" s="167"/>
      <c r="B8" s="173">
        <v>46048</v>
      </c>
      <c r="C8" s="180" t="s">
        <v>234</v>
      </c>
      <c r="D8" s="174">
        <v>6</v>
      </c>
      <c r="E8" s="174" t="s">
        <v>311</v>
      </c>
      <c r="F8" s="174"/>
      <c r="G8" s="175"/>
      <c r="H8" s="176"/>
      <c r="I8" s="177"/>
      <c r="J8" s="178">
        <f>SAÍDAS!$D8-SAÍDAS!$G8</f>
        <v>6</v>
      </c>
      <c r="K8" s="178">
        <f>SUMIFS(ENTRADAS!$E$7:$E$1002,ENTRADAS!$B$7:$B$1002,"&lt;=" &amp; SAÍDAS!$B8,ENTRADAS!$C$7:$C$1002,SAÍDAS!$C8)-SUMIFS(SAÍDAS!$J$7:$J$289,SAÍDAS!$B$7:$B$289,"&lt;=" &amp; SAÍDAS!$B8,SAÍDAS!$C$7:$C$289,SAÍDAS!$C8)</f>
        <v>55</v>
      </c>
      <c r="L8" s="179">
        <f t="shared" si="0"/>
        <v>0</v>
      </c>
      <c r="M8" s="170"/>
      <c r="Q8" s="32"/>
    </row>
    <row r="9" spans="1:27">
      <c r="A9" s="167"/>
      <c r="B9" s="173">
        <v>46048</v>
      </c>
      <c r="C9" s="174" t="s">
        <v>236</v>
      </c>
      <c r="D9" s="174">
        <v>1</v>
      </c>
      <c r="E9" s="174" t="s">
        <v>311</v>
      </c>
      <c r="F9" s="181"/>
      <c r="G9" s="175"/>
      <c r="H9" s="176"/>
      <c r="I9" s="177"/>
      <c r="J9" s="178">
        <f>SAÍDAS!$D9-SAÍDAS!$G9</f>
        <v>1</v>
      </c>
      <c r="K9" s="178">
        <f>SUMIFS(ENTRADAS!$E$7:$E$1002,ENTRADAS!$B$7:$B$1002,"&lt;=" &amp; SAÍDAS!$B9,ENTRADAS!$C$7:$C$1002,SAÍDAS!$C9)-SUMIFS(SAÍDAS!$J$7:$J$289,SAÍDAS!$B$7:$B$289,"&lt;=" &amp; SAÍDAS!$B9,SAÍDAS!$C$7:$C$289,SAÍDAS!$C9)</f>
        <v>12</v>
      </c>
      <c r="L9" s="179">
        <f t="shared" si="0"/>
        <v>0</v>
      </c>
      <c r="M9" s="170"/>
      <c r="Q9" s="32"/>
    </row>
    <row r="10" spans="1:27">
      <c r="A10" s="167"/>
      <c r="B10" s="173">
        <v>46048</v>
      </c>
      <c r="C10" s="174" t="s">
        <v>101</v>
      </c>
      <c r="D10" s="174">
        <v>3</v>
      </c>
      <c r="E10" s="174" t="s">
        <v>312</v>
      </c>
      <c r="F10" s="174"/>
      <c r="G10" s="175"/>
      <c r="H10" s="176"/>
      <c r="I10" s="177"/>
      <c r="J10" s="178">
        <f>SAÍDAS!$D10-SAÍDAS!$G10</f>
        <v>3</v>
      </c>
      <c r="K10" s="178">
        <f>SUMIFS(ENTRADAS!$E$7:$E$1002,ENTRADAS!$B$7:$B$1002,"&lt;=" &amp; SAÍDAS!$B10,ENTRADAS!$C$7:$C$1002,SAÍDAS!$C10)-SUMIFS(SAÍDAS!$J$7:$J$289,SAÍDAS!$B$7:$B$289,"&lt;=" &amp; SAÍDAS!$B10,SAÍDAS!$C$7:$C$289,SAÍDAS!$C10)</f>
        <v>10</v>
      </c>
      <c r="L10" s="179">
        <f t="shared" si="0"/>
        <v>0</v>
      </c>
      <c r="M10" s="170"/>
      <c r="Q10" s="32"/>
    </row>
    <row r="11" spans="1:27">
      <c r="A11" s="167"/>
      <c r="B11" s="173">
        <v>46048</v>
      </c>
      <c r="C11" s="174" t="s">
        <v>102</v>
      </c>
      <c r="D11" s="174">
        <v>3</v>
      </c>
      <c r="E11" s="174" t="s">
        <v>312</v>
      </c>
      <c r="F11" s="174"/>
      <c r="G11" s="175"/>
      <c r="H11" s="176"/>
      <c r="I11" s="177"/>
      <c r="J11" s="178">
        <f>SAÍDAS!$D11-SAÍDAS!$G11</f>
        <v>3</v>
      </c>
      <c r="K11" s="178">
        <f>SUMIFS(ENTRADAS!$E$7:$E$1002,ENTRADAS!$B$7:$B$1002,"&lt;=" &amp; SAÍDAS!$B11,ENTRADAS!$C$7:$C$1002,SAÍDAS!$C11)-SUMIFS(SAÍDAS!$J$7:$J$289,SAÍDAS!$B$7:$B$289,"&lt;=" &amp; SAÍDAS!$B11,SAÍDAS!$C$7:$C$289,SAÍDAS!$C11)</f>
        <v>119</v>
      </c>
      <c r="L11" s="179">
        <f t="shared" si="0"/>
        <v>0</v>
      </c>
      <c r="M11" s="170"/>
      <c r="Q11" s="32"/>
    </row>
    <row r="12" spans="1:27">
      <c r="A12" s="167"/>
      <c r="B12" s="173">
        <v>46048</v>
      </c>
      <c r="C12" s="180" t="s">
        <v>103</v>
      </c>
      <c r="D12" s="174">
        <v>5</v>
      </c>
      <c r="E12" s="174" t="s">
        <v>312</v>
      </c>
      <c r="F12" s="181"/>
      <c r="G12" s="175"/>
      <c r="H12" s="176"/>
      <c r="I12" s="177"/>
      <c r="J12" s="178">
        <f>SAÍDAS!$D12-SAÍDAS!$G12</f>
        <v>5</v>
      </c>
      <c r="K12" s="178">
        <f>SUMIFS(ENTRADAS!$E$7:$E$1002,ENTRADAS!$B$7:$B$1002,"&lt;=" &amp; SAÍDAS!$B12,ENTRADAS!$C$7:$C$1002,SAÍDAS!$C12)-SUMIFS(SAÍDAS!$J$7:$J$289,SAÍDAS!$B$7:$B$289,"&lt;=" &amp; SAÍDAS!$B12,SAÍDAS!$C$7:$C$289,SAÍDAS!$C12)</f>
        <v>149</v>
      </c>
      <c r="L12" s="179">
        <f t="shared" si="0"/>
        <v>0</v>
      </c>
      <c r="M12" s="170"/>
      <c r="Q12" s="32"/>
    </row>
    <row r="13" spans="1:27">
      <c r="A13" s="167"/>
      <c r="B13" s="173">
        <v>46048</v>
      </c>
      <c r="C13" s="174" t="s">
        <v>104</v>
      </c>
      <c r="D13" s="174">
        <v>1</v>
      </c>
      <c r="E13" s="174" t="s">
        <v>312</v>
      </c>
      <c r="F13" s="181"/>
      <c r="G13" s="175"/>
      <c r="H13" s="176"/>
      <c r="I13" s="177"/>
      <c r="J13" s="178">
        <f>SAÍDAS!$D13-SAÍDAS!$G13</f>
        <v>1</v>
      </c>
      <c r="K13" s="178">
        <f>SUMIFS(ENTRADAS!$E$7:$E$1002,ENTRADAS!$B$7:$B$1002,"&lt;=" &amp; SAÍDAS!$B13,ENTRADAS!$C$7:$C$1002,SAÍDAS!$C13)-SUMIFS(SAÍDAS!$J$7:$J$289,SAÍDAS!$B$7:$B$289,"&lt;=" &amp; SAÍDAS!$B13,SAÍDAS!$C$7:$C$289,SAÍDAS!$C13)</f>
        <v>37</v>
      </c>
      <c r="L13" s="179">
        <f t="shared" si="0"/>
        <v>0</v>
      </c>
      <c r="M13" s="170"/>
    </row>
    <row r="14" spans="1:27">
      <c r="A14" s="167"/>
      <c r="B14" s="173">
        <v>46048</v>
      </c>
      <c r="C14" s="174" t="s">
        <v>105</v>
      </c>
      <c r="D14" s="174">
        <v>1</v>
      </c>
      <c r="E14" s="174" t="s">
        <v>312</v>
      </c>
      <c r="F14" s="174"/>
      <c r="G14" s="175"/>
      <c r="H14" s="176"/>
      <c r="I14" s="177"/>
      <c r="J14" s="178">
        <f>SAÍDAS!$D14-SAÍDAS!$G14</f>
        <v>1</v>
      </c>
      <c r="K14" s="178">
        <f>SUMIFS(ENTRADAS!$E$7:$E$1002,ENTRADAS!$B$7:$B$1002,"&lt;=" &amp; SAÍDAS!$B14,ENTRADAS!$C$7:$C$1002,SAÍDAS!$C14)-SUMIFS(SAÍDAS!$J$7:$J$289,SAÍDAS!$B$7:$B$289,"&lt;=" &amp; SAÍDAS!$B14,SAÍDAS!$C$7:$C$289,SAÍDAS!$C14)</f>
        <v>18</v>
      </c>
      <c r="L14" s="179">
        <f t="shared" si="0"/>
        <v>0</v>
      </c>
      <c r="M14" s="170"/>
    </row>
    <row r="15" spans="1:27">
      <c r="A15" s="167"/>
      <c r="B15" s="173">
        <v>46048</v>
      </c>
      <c r="C15" s="174" t="s">
        <v>108</v>
      </c>
      <c r="D15" s="174">
        <v>1</v>
      </c>
      <c r="E15" s="174" t="s">
        <v>312</v>
      </c>
      <c r="F15" s="181"/>
      <c r="G15" s="175"/>
      <c r="H15" s="176"/>
      <c r="I15" s="177"/>
      <c r="J15" s="178">
        <f>SAÍDAS!$D15-SAÍDAS!$G15</f>
        <v>1</v>
      </c>
      <c r="K15" s="178">
        <f>SUMIFS(ENTRADAS!$E$7:$E$1002,ENTRADAS!$B$7:$B$1002,"&lt;=" &amp; SAÍDAS!$B15,ENTRADAS!$C$7:$C$1002,SAÍDAS!$C15)-SUMIFS(SAÍDAS!$J$7:$J$289,SAÍDAS!$B$7:$B$289,"&lt;=" &amp; SAÍDAS!$B15,SAÍDAS!$C$7:$C$289,SAÍDAS!$C15)</f>
        <v>39</v>
      </c>
      <c r="L15" s="179">
        <f t="shared" si="0"/>
        <v>0</v>
      </c>
      <c r="M15" s="170"/>
    </row>
    <row r="16" spans="1:27">
      <c r="A16" s="167"/>
      <c r="B16" s="173">
        <v>46048</v>
      </c>
      <c r="C16" s="182" t="s">
        <v>109</v>
      </c>
      <c r="D16" s="174">
        <v>2</v>
      </c>
      <c r="E16" s="174" t="s">
        <v>312</v>
      </c>
      <c r="F16" s="174"/>
      <c r="G16" s="175"/>
      <c r="H16" s="176"/>
      <c r="I16" s="177"/>
      <c r="J16" s="178">
        <f>SAÍDAS!$D16-SAÍDAS!$G16</f>
        <v>2</v>
      </c>
      <c r="K16" s="178">
        <f>SUMIFS(ENTRADAS!$E$7:$E$1002,ENTRADAS!$B$7:$B$1002,"&lt;=" &amp; SAÍDAS!$B16,ENTRADAS!$C$7:$C$1002,SAÍDAS!$C16)-SUMIFS(SAÍDAS!$J$7:$J$289,SAÍDAS!$B$7:$B$289,"&lt;=" &amp; SAÍDAS!$B16,SAÍDAS!$C$7:$C$289,SAÍDAS!$C16)</f>
        <v>45</v>
      </c>
      <c r="L16" s="179">
        <f t="shared" si="0"/>
        <v>0</v>
      </c>
      <c r="M16" s="170"/>
    </row>
    <row r="17" spans="1:13">
      <c r="A17" s="167"/>
      <c r="B17" s="173">
        <v>46048</v>
      </c>
      <c r="C17" s="182" t="s">
        <v>110</v>
      </c>
      <c r="D17" s="174">
        <v>1</v>
      </c>
      <c r="E17" s="174" t="s">
        <v>312</v>
      </c>
      <c r="F17" s="181"/>
      <c r="G17" s="175"/>
      <c r="H17" s="176"/>
      <c r="I17" s="177"/>
      <c r="J17" s="178">
        <f>SAÍDAS!$D17-SAÍDAS!$G17</f>
        <v>1</v>
      </c>
      <c r="K17" s="178">
        <f>SUMIFS(ENTRADAS!$E$7:$E$1002,ENTRADAS!$B$7:$B$1002,"&lt;=" &amp; SAÍDAS!$B17,ENTRADAS!$C$7:$C$1002,SAÍDAS!$C17)-SUMIFS(SAÍDAS!$J$7:$J$289,SAÍDAS!$B$7:$B$289,"&lt;=" &amp; SAÍDAS!$B17,SAÍDAS!$C$7:$C$289,SAÍDAS!$C17)</f>
        <v>24</v>
      </c>
      <c r="L17" s="179">
        <f t="shared" si="0"/>
        <v>0</v>
      </c>
      <c r="M17" s="170"/>
    </row>
    <row r="18" spans="1:13" ht="15.75" customHeight="1">
      <c r="A18" s="167"/>
      <c r="B18" s="173">
        <v>46048</v>
      </c>
      <c r="C18" s="182" t="s">
        <v>262</v>
      </c>
      <c r="D18" s="174">
        <v>1</v>
      </c>
      <c r="E18" s="174" t="s">
        <v>312</v>
      </c>
      <c r="F18" s="174"/>
      <c r="G18" s="175"/>
      <c r="H18" s="176"/>
      <c r="I18" s="177"/>
      <c r="J18" s="178">
        <f>SAÍDAS!$D18-SAÍDAS!$G18</f>
        <v>1</v>
      </c>
      <c r="K18" s="178">
        <f>SUMIFS(ENTRADAS!$E$7:$E$1002,ENTRADAS!$B$7:$B$1002,"&lt;=" &amp; SAÍDAS!$B18,ENTRADAS!$C$7:$C$1002,SAÍDAS!$C18)-SUMIFS(SAÍDAS!$J$7:$J$289,SAÍDAS!$B$7:$B$289,"&lt;=" &amp; SAÍDAS!$B18,SAÍDAS!$C$7:$C$289,SAÍDAS!$C18)</f>
        <v>3</v>
      </c>
      <c r="L18" s="179">
        <f t="shared" si="0"/>
        <v>0</v>
      </c>
      <c r="M18" s="170"/>
    </row>
    <row r="19" spans="1:13" ht="15.75" customHeight="1">
      <c r="A19" s="167"/>
      <c r="B19" s="173">
        <v>46048</v>
      </c>
      <c r="C19" s="182" t="s">
        <v>125</v>
      </c>
      <c r="D19" s="174">
        <v>1</v>
      </c>
      <c r="E19" s="174" t="s">
        <v>312</v>
      </c>
      <c r="F19" s="174"/>
      <c r="G19" s="175"/>
      <c r="H19" s="176"/>
      <c r="I19" s="177"/>
      <c r="J19" s="178">
        <f>SAÍDAS!$D19-SAÍDAS!$G19</f>
        <v>1</v>
      </c>
      <c r="K19" s="178">
        <f>SUMIFS(ENTRADAS!$E$7:$E$1002,ENTRADAS!$B$7:$B$1002,"&lt;=" &amp; SAÍDAS!$B19,ENTRADAS!$C$7:$C$1002,SAÍDAS!$C19)-SUMIFS(SAÍDAS!$J$7:$J$289,SAÍDAS!$B$7:$B$289,"&lt;=" &amp; SAÍDAS!$B19,SAÍDAS!$C$7:$C$289,SAÍDAS!$C19)</f>
        <v>7</v>
      </c>
      <c r="L19" s="179">
        <f t="shared" si="0"/>
        <v>0</v>
      </c>
      <c r="M19" s="170"/>
    </row>
    <row r="20" spans="1:13" ht="15.75" customHeight="1">
      <c r="A20" s="167"/>
      <c r="B20" s="173">
        <v>46048</v>
      </c>
      <c r="C20" s="182" t="s">
        <v>126</v>
      </c>
      <c r="D20" s="174">
        <v>1</v>
      </c>
      <c r="E20" s="174" t="s">
        <v>312</v>
      </c>
      <c r="F20" s="174"/>
      <c r="G20" s="175"/>
      <c r="H20" s="176"/>
      <c r="I20" s="177"/>
      <c r="J20" s="178">
        <f>SAÍDAS!$D20-SAÍDAS!$G20</f>
        <v>1</v>
      </c>
      <c r="K20" s="178">
        <f>SUMIFS(ENTRADAS!$E$7:$E$1002,ENTRADAS!$B$7:$B$1002,"&lt;=" &amp; SAÍDAS!$B20,ENTRADAS!$C$7:$C$1002,SAÍDAS!$C20)-SUMIFS(SAÍDAS!$J$7:$J$289,SAÍDAS!$B$7:$B$289,"&lt;=" &amp; SAÍDAS!$B20,SAÍDAS!$C$7:$C$289,SAÍDAS!$C20)</f>
        <v>6</v>
      </c>
      <c r="L20" s="179">
        <f t="shared" si="0"/>
        <v>0</v>
      </c>
      <c r="M20" s="170"/>
    </row>
    <row r="21" spans="1:13" ht="15.75" customHeight="1">
      <c r="A21" s="167"/>
      <c r="B21" s="173">
        <v>46048</v>
      </c>
      <c r="C21" s="182" t="s">
        <v>207</v>
      </c>
      <c r="D21" s="174">
        <v>3</v>
      </c>
      <c r="E21" s="174" t="s">
        <v>312</v>
      </c>
      <c r="F21" s="174"/>
      <c r="G21" s="175"/>
      <c r="H21" s="176"/>
      <c r="I21" s="177"/>
      <c r="J21" s="178">
        <f>SAÍDAS!$D21-SAÍDAS!$G21</f>
        <v>3</v>
      </c>
      <c r="K21" s="178">
        <f>SUMIFS(ENTRADAS!$E$7:$E$1002,ENTRADAS!$B$7:$B$1002,"&lt;=" &amp; SAÍDAS!$B21,ENTRADAS!$C$7:$C$1002,SAÍDAS!$C21)-SUMIFS(SAÍDAS!$J$7:$J$289,SAÍDAS!$B$7:$B$289,"&lt;=" &amp; SAÍDAS!$B21,SAÍDAS!$C$7:$C$289,SAÍDAS!$C21)</f>
        <v>9</v>
      </c>
      <c r="L21" s="179">
        <f t="shared" si="0"/>
        <v>0</v>
      </c>
      <c r="M21" s="170"/>
    </row>
    <row r="22" spans="1:13" ht="15.75" customHeight="1">
      <c r="A22" s="167"/>
      <c r="B22" s="173">
        <v>46048</v>
      </c>
      <c r="C22" s="182" t="s">
        <v>150</v>
      </c>
      <c r="D22" s="174">
        <v>1</v>
      </c>
      <c r="E22" s="174" t="s">
        <v>312</v>
      </c>
      <c r="F22" s="174"/>
      <c r="G22" s="175"/>
      <c r="H22" s="176"/>
      <c r="I22" s="177"/>
      <c r="J22" s="178">
        <f>SAÍDAS!$D22-SAÍDAS!$G22</f>
        <v>1</v>
      </c>
      <c r="K22" s="178">
        <f>SUMIFS(ENTRADAS!$E$7:$E$1002,ENTRADAS!$B$7:$B$1002,"&lt;=" &amp; SAÍDAS!$B22,ENTRADAS!$C$7:$C$1002,SAÍDAS!$C22)-SUMIFS(SAÍDAS!$J$7:$J$289,SAÍDAS!$B$7:$B$289,"&lt;=" &amp; SAÍDAS!$B22,SAÍDAS!$C$7:$C$289,SAÍDAS!$C22)</f>
        <v>7</v>
      </c>
      <c r="L22" s="179">
        <f t="shared" si="0"/>
        <v>0</v>
      </c>
      <c r="M22" s="170"/>
    </row>
    <row r="23" spans="1:13" ht="15.75" customHeight="1">
      <c r="A23" s="167"/>
      <c r="B23" s="173">
        <v>46048</v>
      </c>
      <c r="C23" s="182" t="s">
        <v>151</v>
      </c>
      <c r="D23" s="174">
        <v>5</v>
      </c>
      <c r="E23" s="174" t="s">
        <v>312</v>
      </c>
      <c r="F23" s="174"/>
      <c r="G23" s="175"/>
      <c r="H23" s="176"/>
      <c r="I23" s="177"/>
      <c r="J23" s="178">
        <f>SAÍDAS!$D23-SAÍDAS!$G23</f>
        <v>5</v>
      </c>
      <c r="K23" s="178">
        <f>SUMIFS(ENTRADAS!$E$7:$E$1002,ENTRADAS!$B$7:$B$1002,"&lt;=" &amp; SAÍDAS!$B23,ENTRADAS!$C$7:$C$1002,SAÍDAS!$C23)-SUMIFS(SAÍDAS!$J$7:$J$289,SAÍDAS!$B$7:$B$289,"&lt;=" &amp; SAÍDAS!$B23,SAÍDAS!$C$7:$C$289,SAÍDAS!$C23)</f>
        <v>16</v>
      </c>
      <c r="L23" s="179">
        <f t="shared" si="0"/>
        <v>0</v>
      </c>
      <c r="M23" s="170"/>
    </row>
    <row r="24" spans="1:13" ht="15.75" customHeight="1">
      <c r="A24" s="167"/>
      <c r="B24" s="173">
        <v>46048</v>
      </c>
      <c r="C24" s="182" t="s">
        <v>152</v>
      </c>
      <c r="D24" s="174">
        <v>3</v>
      </c>
      <c r="E24" s="174" t="s">
        <v>312</v>
      </c>
      <c r="F24" s="174"/>
      <c r="G24" s="175"/>
      <c r="H24" s="176"/>
      <c r="I24" s="177"/>
      <c r="J24" s="178">
        <f>SAÍDAS!$D24-SAÍDAS!$G24</f>
        <v>3</v>
      </c>
      <c r="K24" s="178">
        <f>SUMIFS(ENTRADAS!$E$7:$E$1002,ENTRADAS!$B$7:$B$1002,"&lt;=" &amp; SAÍDAS!$B24,ENTRADAS!$C$7:$C$1002,SAÍDAS!$C24)-SUMIFS(SAÍDAS!$J$7:$J$289,SAÍDAS!$B$7:$B$289,"&lt;=" &amp; SAÍDAS!$B24,SAÍDAS!$C$7:$C$289,SAÍDAS!$C24)</f>
        <v>13</v>
      </c>
      <c r="L24" s="179">
        <f t="shared" si="0"/>
        <v>0</v>
      </c>
      <c r="M24" s="170"/>
    </row>
    <row r="25" spans="1:13" ht="15.75" customHeight="1">
      <c r="A25" s="167"/>
      <c r="B25" s="173">
        <v>46048</v>
      </c>
      <c r="C25" s="182" t="s">
        <v>153</v>
      </c>
      <c r="D25" s="174">
        <v>2</v>
      </c>
      <c r="E25" s="174" t="s">
        <v>312</v>
      </c>
      <c r="F25" s="174"/>
      <c r="G25" s="175"/>
      <c r="H25" s="176"/>
      <c r="I25" s="177"/>
      <c r="J25" s="178">
        <f>SAÍDAS!$D25-SAÍDAS!$G25</f>
        <v>2</v>
      </c>
      <c r="K25" s="178">
        <f>SUMIFS(ENTRADAS!$E$7:$E$1002,ENTRADAS!$B$7:$B$1002,"&lt;=" &amp; SAÍDAS!$B25,ENTRADAS!$C$7:$C$1002,SAÍDAS!$C25)-SUMIFS(SAÍDAS!$J$7:$J$289,SAÍDAS!$B$7:$B$289,"&lt;=" &amp; SAÍDAS!$B25,SAÍDAS!$C$7:$C$289,SAÍDAS!$C25)</f>
        <v>2</v>
      </c>
      <c r="L25" s="179">
        <f t="shared" si="0"/>
        <v>0</v>
      </c>
      <c r="M25" s="170"/>
    </row>
    <row r="26" spans="1:13" ht="15.75" customHeight="1">
      <c r="A26" s="167"/>
      <c r="B26" s="173">
        <v>46048</v>
      </c>
      <c r="C26" s="182" t="s">
        <v>192</v>
      </c>
      <c r="D26" s="174">
        <v>3</v>
      </c>
      <c r="E26" s="174" t="s">
        <v>312</v>
      </c>
      <c r="F26" s="174"/>
      <c r="G26" s="175"/>
      <c r="H26" s="176"/>
      <c r="I26" s="177"/>
      <c r="J26" s="178">
        <f>SAÍDAS!$D26-SAÍDAS!$G26</f>
        <v>3</v>
      </c>
      <c r="K26" s="178">
        <f>SUMIFS(ENTRADAS!$E$7:$E$1002,ENTRADAS!$B$7:$B$1002,"&lt;=" &amp; SAÍDAS!$B26,ENTRADAS!$C$7:$C$1002,SAÍDAS!$C26)-SUMIFS(SAÍDAS!$J$7:$J$289,SAÍDAS!$B$7:$B$289,"&lt;=" &amp; SAÍDAS!$B26,SAÍDAS!$C$7:$C$289,SAÍDAS!$C26)</f>
        <v>6</v>
      </c>
      <c r="L26" s="179">
        <f t="shared" si="0"/>
        <v>0</v>
      </c>
      <c r="M26" s="170"/>
    </row>
    <row r="27" spans="1:13" ht="15.75" customHeight="1">
      <c r="A27" s="167"/>
      <c r="B27" s="173">
        <v>46048</v>
      </c>
      <c r="C27" s="182" t="s">
        <v>193</v>
      </c>
      <c r="D27" s="174">
        <v>1</v>
      </c>
      <c r="E27" s="174" t="s">
        <v>312</v>
      </c>
      <c r="F27" s="174"/>
      <c r="G27" s="175"/>
      <c r="H27" s="176"/>
      <c r="I27" s="177"/>
      <c r="J27" s="178">
        <f>SAÍDAS!$D27-SAÍDAS!$G27</f>
        <v>1</v>
      </c>
      <c r="K27" s="178">
        <f>SUMIFS(ENTRADAS!$E$7:$E$1002,ENTRADAS!$B$7:$B$1002,"&lt;=" &amp; SAÍDAS!$B27,ENTRADAS!$C$7:$C$1002,SAÍDAS!$C27)-SUMIFS(SAÍDAS!$J$7:$J$289,SAÍDAS!$B$7:$B$289,"&lt;=" &amp; SAÍDAS!$B27,SAÍDAS!$C$7:$C$289,SAÍDAS!$C27)</f>
        <v>31</v>
      </c>
      <c r="L27" s="179">
        <f t="shared" si="0"/>
        <v>0</v>
      </c>
      <c r="M27" s="170"/>
    </row>
    <row r="28" spans="1:13" ht="15.75" customHeight="1">
      <c r="A28" s="167"/>
      <c r="B28" s="173">
        <v>46048</v>
      </c>
      <c r="C28" s="174" t="s">
        <v>195</v>
      </c>
      <c r="D28" s="174">
        <v>4</v>
      </c>
      <c r="E28" s="174" t="s">
        <v>312</v>
      </c>
      <c r="F28" s="174"/>
      <c r="G28" s="175"/>
      <c r="H28" s="176"/>
      <c r="I28" s="177"/>
      <c r="J28" s="178">
        <f>SAÍDAS!$D28-SAÍDAS!$G28</f>
        <v>4</v>
      </c>
      <c r="K28" s="178">
        <f>SUMIFS(ENTRADAS!$E$7:$E$1002,ENTRADAS!$B$7:$B$1002,"&lt;=" &amp; SAÍDAS!$B28,ENTRADAS!$C$7:$C$1002,SAÍDAS!$C28)-SUMIFS(SAÍDAS!$J$7:$J$289,SAÍDAS!$B$7:$B$289,"&lt;=" &amp; SAÍDAS!$B28,SAÍDAS!$C$7:$C$289,SAÍDAS!$C28)</f>
        <v>8</v>
      </c>
      <c r="L28" s="179">
        <f t="shared" si="0"/>
        <v>0</v>
      </c>
      <c r="M28" s="170"/>
    </row>
    <row r="29" spans="1:13" ht="15.75" customHeight="1">
      <c r="A29" s="167"/>
      <c r="B29" s="173">
        <v>46048</v>
      </c>
      <c r="C29" s="174" t="s">
        <v>196</v>
      </c>
      <c r="D29" s="174">
        <v>1</v>
      </c>
      <c r="E29" s="174" t="s">
        <v>312</v>
      </c>
      <c r="F29" s="181"/>
      <c r="G29" s="175"/>
      <c r="H29" s="176"/>
      <c r="I29" s="177"/>
      <c r="J29" s="178">
        <f>SAÍDAS!$D29-SAÍDAS!$G29</f>
        <v>1</v>
      </c>
      <c r="K29" s="178">
        <f>SUMIFS(ENTRADAS!$E$7:$E$1002,ENTRADAS!$B$7:$B$1002,"&lt;=" &amp; SAÍDAS!$B29,ENTRADAS!$C$7:$C$1002,SAÍDAS!$C29)-SUMIFS(SAÍDAS!$J$7:$J$289,SAÍDAS!$B$7:$B$289,"&lt;=" &amp; SAÍDAS!$B29,SAÍDAS!$C$7:$C$289,SAÍDAS!$C29)</f>
        <v>6</v>
      </c>
      <c r="L29" s="179">
        <f t="shared" si="0"/>
        <v>0</v>
      </c>
      <c r="M29" s="170"/>
    </row>
    <row r="30" spans="1:13" ht="15.75" customHeight="1">
      <c r="A30" s="167"/>
      <c r="B30" s="173">
        <v>46048</v>
      </c>
      <c r="C30" s="174" t="s">
        <v>197</v>
      </c>
      <c r="D30" s="174">
        <v>1</v>
      </c>
      <c r="E30" s="174" t="s">
        <v>312</v>
      </c>
      <c r="F30" s="174"/>
      <c r="G30" s="175"/>
      <c r="H30" s="176"/>
      <c r="I30" s="177"/>
      <c r="J30" s="178">
        <f>SAÍDAS!$D30-SAÍDAS!$G30</f>
        <v>1</v>
      </c>
      <c r="K30" s="178">
        <f>SUMIFS(ENTRADAS!$E$7:$E$1002,ENTRADAS!$B$7:$B$1002,"&lt;=" &amp; SAÍDAS!$B30,ENTRADAS!$C$7:$C$1002,SAÍDAS!$C30)-SUMIFS(SAÍDAS!$J$7:$J$289,SAÍDAS!$B$7:$B$289,"&lt;=" &amp; SAÍDAS!$B30,SAÍDAS!$C$7:$C$289,SAÍDAS!$C30)</f>
        <v>3</v>
      </c>
      <c r="L30" s="179">
        <f t="shared" si="0"/>
        <v>0</v>
      </c>
      <c r="M30" s="170"/>
    </row>
    <row r="31" spans="1:13" ht="15.75" customHeight="1">
      <c r="A31" s="167"/>
      <c r="B31" s="173">
        <v>46048</v>
      </c>
      <c r="C31" s="174" t="s">
        <v>162</v>
      </c>
      <c r="D31" s="174">
        <v>1</v>
      </c>
      <c r="E31" s="174" t="s">
        <v>312</v>
      </c>
      <c r="F31" s="174"/>
      <c r="G31" s="175"/>
      <c r="H31" s="176"/>
      <c r="I31" s="177"/>
      <c r="J31" s="178">
        <f>SAÍDAS!$D31-SAÍDAS!$G31</f>
        <v>1</v>
      </c>
      <c r="K31" s="178">
        <f>SUMIFS(ENTRADAS!$E$7:$E$1002,ENTRADAS!$B$7:$B$1002,"&lt;=" &amp; SAÍDAS!$B31,ENTRADAS!$C$7:$C$1002,SAÍDAS!$C31)-SUMIFS(SAÍDAS!$J$7:$J$289,SAÍDAS!$B$7:$B$289,"&lt;=" &amp; SAÍDAS!$B31,SAÍDAS!$C$7:$C$289,SAÍDAS!$C31)</f>
        <v>4</v>
      </c>
      <c r="L31" s="179">
        <f t="shared" si="0"/>
        <v>0</v>
      </c>
      <c r="M31" s="170"/>
    </row>
    <row r="32" spans="1:13" ht="15.75" customHeight="1">
      <c r="A32" s="167"/>
      <c r="B32" s="173">
        <v>46048</v>
      </c>
      <c r="C32" s="182" t="s">
        <v>163</v>
      </c>
      <c r="D32" s="174">
        <v>2</v>
      </c>
      <c r="E32" s="174" t="s">
        <v>312</v>
      </c>
      <c r="F32" s="174"/>
      <c r="G32" s="175"/>
      <c r="H32" s="176"/>
      <c r="I32" s="177"/>
      <c r="J32" s="178">
        <f>SAÍDAS!$D32-SAÍDAS!$G32</f>
        <v>2</v>
      </c>
      <c r="K32" s="178">
        <f>SUMIFS(ENTRADAS!$E$7:$E$1002,ENTRADAS!$B$7:$B$1002,"&lt;=" &amp; SAÍDAS!$B32,ENTRADAS!$C$7:$C$1002,SAÍDAS!$C32)-SUMIFS(SAÍDAS!$J$7:$J$289,SAÍDAS!$B$7:$B$289,"&lt;=" &amp; SAÍDAS!$B32,SAÍDAS!$C$7:$C$289,SAÍDAS!$C32)</f>
        <v>8</v>
      </c>
      <c r="L32" s="179">
        <f t="shared" si="0"/>
        <v>0</v>
      </c>
      <c r="M32" s="170"/>
    </row>
    <row r="33" spans="1:13" ht="15.75" customHeight="1">
      <c r="A33" s="167"/>
      <c r="B33" s="173">
        <v>46048</v>
      </c>
      <c r="C33" s="182" t="s">
        <v>177</v>
      </c>
      <c r="D33" s="174">
        <v>1</v>
      </c>
      <c r="E33" s="174" t="s">
        <v>312</v>
      </c>
      <c r="F33" s="181"/>
      <c r="G33" s="175"/>
      <c r="H33" s="176"/>
      <c r="I33" s="177"/>
      <c r="J33" s="178">
        <f>SAÍDAS!$D33-SAÍDAS!$G33</f>
        <v>1</v>
      </c>
      <c r="K33" s="178">
        <f>SUMIFS(ENTRADAS!$E$7:$E$1002,ENTRADAS!$B$7:$B$1002,"&lt;=" &amp; SAÍDAS!$B33,ENTRADAS!$C$7:$C$1002,SAÍDAS!$C33)-SUMIFS(SAÍDAS!$J$7:$J$289,SAÍDAS!$B$7:$B$289,"&lt;=" &amp; SAÍDAS!$B33,SAÍDAS!$C$7:$C$289,SAÍDAS!$C33)</f>
        <v>20</v>
      </c>
      <c r="L33" s="179">
        <f t="shared" si="0"/>
        <v>0</v>
      </c>
      <c r="M33" s="170"/>
    </row>
    <row r="34" spans="1:13" ht="15.75" customHeight="1">
      <c r="A34" s="167"/>
      <c r="B34" s="173">
        <v>46048</v>
      </c>
      <c r="C34" s="182" t="s">
        <v>179</v>
      </c>
      <c r="D34" s="174">
        <v>1</v>
      </c>
      <c r="E34" s="174" t="s">
        <v>312</v>
      </c>
      <c r="F34" s="174"/>
      <c r="G34" s="175"/>
      <c r="H34" s="176"/>
      <c r="I34" s="177"/>
      <c r="J34" s="178">
        <f>SAÍDAS!$D34-SAÍDAS!$G34</f>
        <v>1</v>
      </c>
      <c r="K34" s="178">
        <f>SUMIFS(ENTRADAS!$E$7:$E$1002,ENTRADAS!$B$7:$B$1002,"&lt;=" &amp; SAÍDAS!$B34,ENTRADAS!$C$7:$C$1002,SAÍDAS!$C34)-SUMIFS(SAÍDAS!$J$7:$J$289,SAÍDAS!$B$7:$B$289,"&lt;=" &amp; SAÍDAS!$B34,SAÍDAS!$C$7:$C$289,SAÍDAS!$C34)</f>
        <v>13</v>
      </c>
      <c r="L34" s="179">
        <f t="shared" si="0"/>
        <v>0</v>
      </c>
      <c r="M34" s="170"/>
    </row>
    <row r="35" spans="1:13" ht="15.75" customHeight="1">
      <c r="A35" s="167"/>
      <c r="B35" s="173">
        <v>46048</v>
      </c>
      <c r="C35" s="182" t="s">
        <v>171</v>
      </c>
      <c r="D35" s="174">
        <v>1</v>
      </c>
      <c r="E35" s="174" t="s">
        <v>312</v>
      </c>
      <c r="F35" s="174"/>
      <c r="G35" s="175"/>
      <c r="H35" s="176"/>
      <c r="I35" s="177"/>
      <c r="J35" s="178">
        <f>SAÍDAS!$D35-SAÍDAS!$G35</f>
        <v>1</v>
      </c>
      <c r="K35" s="178">
        <f>SUMIFS(ENTRADAS!$E$7:$E$1002,ENTRADAS!$B$7:$B$1002,"&lt;=" &amp; SAÍDAS!$B35,ENTRADAS!$C$7:$C$1002,SAÍDAS!$C35)-SUMIFS(SAÍDAS!$J$7:$J$289,SAÍDAS!$B$7:$B$289,"&lt;=" &amp; SAÍDAS!$B35,SAÍDAS!$C$7:$C$289,SAÍDAS!$C35)</f>
        <v>3</v>
      </c>
      <c r="L35" s="179">
        <f t="shared" si="0"/>
        <v>0</v>
      </c>
      <c r="M35" s="170"/>
    </row>
    <row r="36" spans="1:13" ht="15.75" customHeight="1">
      <c r="A36" s="167"/>
      <c r="B36" s="173">
        <v>46048</v>
      </c>
      <c r="C36" s="182" t="s">
        <v>95</v>
      </c>
      <c r="D36" s="174">
        <v>1</v>
      </c>
      <c r="E36" s="174" t="s">
        <v>312</v>
      </c>
      <c r="F36" s="174"/>
      <c r="G36" s="175"/>
      <c r="H36" s="176"/>
      <c r="I36" s="177"/>
      <c r="J36" s="178">
        <f>SAÍDAS!$D36-SAÍDAS!$G36</f>
        <v>1</v>
      </c>
      <c r="K36" s="178">
        <f>SUMIFS(ENTRADAS!$E$7:$E$1002,ENTRADAS!$B$7:$B$1002,"&lt;=" &amp; SAÍDAS!$B36,ENTRADAS!$C$7:$C$1002,SAÍDAS!$C36)-SUMIFS(SAÍDAS!$J$7:$J$289,SAÍDAS!$B$7:$B$289,"&lt;=" &amp; SAÍDAS!$B36,SAÍDAS!$C$7:$C$289,SAÍDAS!$C36)</f>
        <v>9</v>
      </c>
      <c r="L36" s="179">
        <f t="shared" si="0"/>
        <v>0</v>
      </c>
      <c r="M36" s="170"/>
    </row>
    <row r="37" spans="1:13" ht="15.75" customHeight="1">
      <c r="A37" s="167"/>
      <c r="B37" s="173">
        <v>46048</v>
      </c>
      <c r="C37" s="182" t="s">
        <v>167</v>
      </c>
      <c r="D37" s="174">
        <v>1</v>
      </c>
      <c r="E37" s="174" t="s">
        <v>312</v>
      </c>
      <c r="F37" s="174"/>
      <c r="G37" s="175"/>
      <c r="H37" s="176"/>
      <c r="I37" s="177"/>
      <c r="J37" s="178">
        <f>SAÍDAS!$D37-SAÍDAS!$G37</f>
        <v>1</v>
      </c>
      <c r="K37" s="178">
        <f>SUMIFS(ENTRADAS!$E$7:$E$1002,ENTRADAS!$B$7:$B$1002,"&lt;=" &amp; SAÍDAS!$B37,ENTRADAS!$C$7:$C$1002,SAÍDAS!$C37)-SUMIFS(SAÍDAS!$J$7:$J$289,SAÍDAS!$B$7:$B$289,"&lt;=" &amp; SAÍDAS!$B37,SAÍDAS!$C$7:$C$289,SAÍDAS!$C37)</f>
        <v>5</v>
      </c>
      <c r="L37" s="179">
        <f t="shared" si="0"/>
        <v>0</v>
      </c>
      <c r="M37" s="170"/>
    </row>
    <row r="38" spans="1:13" ht="15.75" customHeight="1">
      <c r="A38" s="167"/>
      <c r="B38" s="173">
        <v>46048</v>
      </c>
      <c r="C38" s="174" t="s">
        <v>299</v>
      </c>
      <c r="D38" s="174">
        <v>1</v>
      </c>
      <c r="E38" s="174" t="s">
        <v>312</v>
      </c>
      <c r="F38" s="174"/>
      <c r="G38" s="175"/>
      <c r="H38" s="176"/>
      <c r="I38" s="177"/>
      <c r="J38" s="178">
        <f>SAÍDAS!$D38-SAÍDAS!$G38</f>
        <v>1</v>
      </c>
      <c r="K38" s="178">
        <f>SUMIFS(ENTRADAS!$E$7:$E$1002,ENTRADAS!$B$7:$B$1002,"&lt;=" &amp; SAÍDAS!$B38,ENTRADAS!$C$7:$C$1002,SAÍDAS!$C38)-SUMIFS(SAÍDAS!$J$7:$J$289,SAÍDAS!$B$7:$B$289,"&lt;=" &amp; SAÍDAS!$B38,SAÍDAS!$C$7:$C$289,SAÍDAS!$C38)</f>
        <v>7</v>
      </c>
      <c r="L38" s="179">
        <f t="shared" si="0"/>
        <v>0</v>
      </c>
      <c r="M38" s="170"/>
    </row>
    <row r="39" spans="1:13" ht="15.75" customHeight="1">
      <c r="A39" s="167"/>
      <c r="B39" s="173">
        <v>46048</v>
      </c>
      <c r="C39" s="174" t="s">
        <v>119</v>
      </c>
      <c r="D39" s="174">
        <v>1</v>
      </c>
      <c r="E39" s="174" t="s">
        <v>312</v>
      </c>
      <c r="F39" s="174"/>
      <c r="G39" s="175"/>
      <c r="H39" s="176"/>
      <c r="I39" s="177"/>
      <c r="J39" s="178">
        <f>SAÍDAS!$D39-SAÍDAS!$G39</f>
        <v>1</v>
      </c>
      <c r="K39" s="178">
        <f>SUMIFS(ENTRADAS!$E$7:$E$1002,ENTRADAS!$B$7:$B$1002,"&lt;=" &amp; SAÍDAS!$B39,ENTRADAS!$C$7:$C$1002,SAÍDAS!$C39)-SUMIFS(SAÍDAS!$J$7:$J$289,SAÍDAS!$B$7:$B$289,"&lt;=" &amp; SAÍDAS!$B39,SAÍDAS!$C$7:$C$289,SAÍDAS!$C39)</f>
        <v>8</v>
      </c>
      <c r="L39" s="179">
        <f t="shared" si="0"/>
        <v>0</v>
      </c>
      <c r="M39" s="170"/>
    </row>
    <row r="40" spans="1:13" ht="15.75" customHeight="1">
      <c r="A40" s="167"/>
      <c r="B40" s="173">
        <v>46048</v>
      </c>
      <c r="C40" s="174" t="s">
        <v>227</v>
      </c>
      <c r="D40" s="174">
        <v>1</v>
      </c>
      <c r="E40" s="174" t="s">
        <v>312</v>
      </c>
      <c r="F40" s="181"/>
      <c r="G40" s="175"/>
      <c r="H40" s="176"/>
      <c r="I40" s="177"/>
      <c r="J40" s="178">
        <f>SAÍDAS!$D40-SAÍDAS!$G40</f>
        <v>1</v>
      </c>
      <c r="K40" s="178">
        <f>SUMIFS(ENTRADAS!$E$7:$E$1002,ENTRADAS!$B$7:$B$1002,"&lt;=" &amp; SAÍDAS!$B40,ENTRADAS!$C$7:$C$1002,SAÍDAS!$C40)-SUMIFS(SAÍDAS!$J$7:$J$289,SAÍDAS!$B$7:$B$289,"&lt;=" &amp; SAÍDAS!$B40,SAÍDAS!$C$7:$C$289,SAÍDAS!$C40)</f>
        <v>3</v>
      </c>
      <c r="L40" s="179">
        <f t="shared" si="0"/>
        <v>0</v>
      </c>
      <c r="M40" s="170"/>
    </row>
    <row r="41" spans="1:13" ht="15.75" customHeight="1">
      <c r="A41" s="167"/>
      <c r="B41" s="173">
        <v>46048</v>
      </c>
      <c r="C41" s="174" t="s">
        <v>233</v>
      </c>
      <c r="D41" s="174">
        <v>4</v>
      </c>
      <c r="E41" s="174" t="s">
        <v>311</v>
      </c>
      <c r="F41" s="181"/>
      <c r="G41" s="175"/>
      <c r="H41" s="176"/>
      <c r="I41" s="177"/>
      <c r="J41" s="178">
        <f>SAÍDAS!$D41-SAÍDAS!$G41</f>
        <v>4</v>
      </c>
      <c r="K41" s="178">
        <f>SUMIFS(ENTRADAS!$E$7:$E$1002,ENTRADAS!$B$7:$B$1002,"&lt;=" &amp; SAÍDAS!$B41,ENTRADAS!$C$7:$C$1002,SAÍDAS!$C41)-SUMIFS(SAÍDAS!$J$7:$J$289,SAÍDAS!$B$7:$B$289,"&lt;=" &amp; SAÍDAS!$B41,SAÍDAS!$C$7:$C$289,SAÍDAS!$C41)</f>
        <v>79</v>
      </c>
      <c r="L41" s="179">
        <f t="shared" si="0"/>
        <v>0</v>
      </c>
      <c r="M41" s="170"/>
    </row>
    <row r="42" spans="1:13" ht="15.75" customHeight="1">
      <c r="A42" s="167"/>
      <c r="B42" s="173">
        <v>46048</v>
      </c>
      <c r="C42" s="174" t="s">
        <v>232</v>
      </c>
      <c r="D42" s="174">
        <v>2</v>
      </c>
      <c r="E42" s="174" t="s">
        <v>311</v>
      </c>
      <c r="F42" s="174"/>
      <c r="G42" s="175"/>
      <c r="H42" s="176"/>
      <c r="I42" s="177"/>
      <c r="J42" s="178">
        <f>SAÍDAS!$D42-SAÍDAS!$G42</f>
        <v>2</v>
      </c>
      <c r="K42" s="178">
        <f>SUMIFS(ENTRADAS!$E$7:$E$1002,ENTRADAS!$B$7:$B$1002,"&lt;=" &amp; SAÍDAS!$B42,ENTRADAS!$C$7:$C$1002,SAÍDAS!$C42)-SUMIFS(SAÍDAS!$J$7:$J$289,SAÍDAS!$B$7:$B$289,"&lt;=" &amp; SAÍDAS!$B42,SAÍDAS!$C$7:$C$289,SAÍDAS!$C42)</f>
        <v>16</v>
      </c>
      <c r="L42" s="179">
        <f t="shared" si="0"/>
        <v>0</v>
      </c>
      <c r="M42" s="170"/>
    </row>
    <row r="43" spans="1:13" ht="15.75" customHeight="1">
      <c r="A43" s="167"/>
      <c r="B43" s="173">
        <v>46048</v>
      </c>
      <c r="C43" s="174" t="s">
        <v>236</v>
      </c>
      <c r="D43" s="174">
        <v>2</v>
      </c>
      <c r="E43" s="174" t="s">
        <v>311</v>
      </c>
      <c r="F43" s="174"/>
      <c r="G43" s="175"/>
      <c r="H43" s="176"/>
      <c r="I43" s="177"/>
      <c r="J43" s="178">
        <f>SAÍDAS!$D43-SAÍDAS!$G43</f>
        <v>2</v>
      </c>
      <c r="K43" s="178">
        <f>SUMIFS(ENTRADAS!$E$7:$E$1002,ENTRADAS!$B$7:$B$1002,"&lt;=" &amp; SAÍDAS!$B43,ENTRADAS!$C$7:$C$1002,SAÍDAS!$C43)-SUMIFS(SAÍDAS!$J$7:$J$289,SAÍDAS!$B$7:$B$289,"&lt;=" &amp; SAÍDAS!$B43,SAÍDAS!$C$7:$C$289,SAÍDAS!$C43)</f>
        <v>12</v>
      </c>
      <c r="L43" s="179">
        <f t="shared" si="0"/>
        <v>0</v>
      </c>
      <c r="M43" s="170"/>
    </row>
    <row r="44" spans="1:13" ht="15.75" customHeight="1">
      <c r="A44" s="167"/>
      <c r="B44" s="173">
        <v>46048</v>
      </c>
      <c r="C44" s="174" t="s">
        <v>255</v>
      </c>
      <c r="D44" s="174">
        <v>2</v>
      </c>
      <c r="E44" s="174" t="s">
        <v>311</v>
      </c>
      <c r="F44" s="174"/>
      <c r="G44" s="175"/>
      <c r="H44" s="176"/>
      <c r="I44" s="177"/>
      <c r="J44" s="178">
        <f>SAÍDAS!$D44-SAÍDAS!$G44</f>
        <v>2</v>
      </c>
      <c r="K44" s="178">
        <f>SUMIFS(ENTRADAS!$E$7:$E$1002,ENTRADAS!$B$7:$B$1002,"&lt;=" &amp; SAÍDAS!$B44,ENTRADAS!$C$7:$C$1002,SAÍDAS!$C44)-SUMIFS(SAÍDAS!$J$7:$J$289,SAÍDAS!$B$7:$B$289,"&lt;=" &amp; SAÍDAS!$B44,SAÍDAS!$C$7:$C$289,SAÍDAS!$C44)</f>
        <v>19</v>
      </c>
      <c r="L44" s="179">
        <f t="shared" si="0"/>
        <v>0</v>
      </c>
      <c r="M44" s="170"/>
    </row>
    <row r="45" spans="1:13" ht="15.75" customHeight="1">
      <c r="A45" s="167"/>
      <c r="B45" s="173">
        <v>46048</v>
      </c>
      <c r="C45" s="174" t="s">
        <v>240</v>
      </c>
      <c r="D45" s="174">
        <v>2</v>
      </c>
      <c r="E45" s="174" t="s">
        <v>311</v>
      </c>
      <c r="F45" s="174"/>
      <c r="G45" s="175"/>
      <c r="H45" s="176"/>
      <c r="I45" s="177"/>
      <c r="J45" s="178">
        <f>SAÍDAS!$D45-SAÍDAS!$G45</f>
        <v>2</v>
      </c>
      <c r="K45" s="178">
        <f>SUMIFS(ENTRADAS!$E$7:$E$1002,ENTRADAS!$B$7:$B$1002,"&lt;=" &amp; SAÍDAS!$B45,ENTRADAS!$C$7:$C$1002,SAÍDAS!$C45)-SUMIFS(SAÍDAS!$J$7:$J$289,SAÍDAS!$B$7:$B$289,"&lt;=" &amp; SAÍDAS!$B45,SAÍDAS!$C$7:$C$289,SAÍDAS!$C45)</f>
        <v>0</v>
      </c>
      <c r="L45" s="179">
        <f t="shared" si="0"/>
        <v>0</v>
      </c>
      <c r="M45" s="170"/>
    </row>
    <row r="46" spans="1:13" ht="15.75" customHeight="1">
      <c r="A46" s="167"/>
      <c r="B46" s="173">
        <v>46048</v>
      </c>
      <c r="C46" s="174" t="s">
        <v>254</v>
      </c>
      <c r="D46" s="174">
        <v>3</v>
      </c>
      <c r="E46" s="174" t="s">
        <v>313</v>
      </c>
      <c r="F46" s="174"/>
      <c r="G46" s="175"/>
      <c r="H46" s="176"/>
      <c r="I46" s="177"/>
      <c r="J46" s="178">
        <f>SAÍDAS!$D46-SAÍDAS!$G46</f>
        <v>3</v>
      </c>
      <c r="K46" s="178">
        <f>SUMIFS(ENTRADAS!$E$7:$E$1002,ENTRADAS!$B$7:$B$1002,"&lt;=" &amp; SAÍDAS!$B46,ENTRADAS!$C$7:$C$1002,SAÍDAS!$C46)-SUMIFS(SAÍDAS!$J$7:$J$289,SAÍDAS!$B$7:$B$289,"&lt;=" &amp; SAÍDAS!$B46,SAÍDAS!$C$7:$C$289,SAÍDAS!$C46)</f>
        <v>9</v>
      </c>
      <c r="L46" s="179">
        <f t="shared" si="0"/>
        <v>0</v>
      </c>
      <c r="M46" s="170"/>
    </row>
    <row r="47" spans="1:13" ht="15.75" customHeight="1">
      <c r="A47" s="167"/>
      <c r="B47" s="173">
        <v>46050</v>
      </c>
      <c r="C47" s="174" t="s">
        <v>253</v>
      </c>
      <c r="D47" s="174">
        <v>1</v>
      </c>
      <c r="E47" s="174" t="s">
        <v>311</v>
      </c>
      <c r="F47" s="174"/>
      <c r="G47" s="175"/>
      <c r="H47" s="176"/>
      <c r="I47" s="177"/>
      <c r="J47" s="178">
        <f>SAÍDAS!$D47-SAÍDAS!$G47</f>
        <v>1</v>
      </c>
      <c r="K47" s="178">
        <f>SUMIFS(ENTRADAS!$E$7:$E$1002,ENTRADAS!$B$7:$B$1002,"&lt;=" &amp; SAÍDAS!$B47,ENTRADAS!$C$7:$C$1002,SAÍDAS!$C47)-SUMIFS(SAÍDAS!$J$7:$J$289,SAÍDAS!$B$7:$B$289,"&lt;=" &amp; SAÍDAS!$B47,SAÍDAS!$C$7:$C$289,SAÍDAS!$C47)</f>
        <v>3</v>
      </c>
      <c r="L47" s="179">
        <f t="shared" si="0"/>
        <v>0</v>
      </c>
      <c r="M47" s="170"/>
    </row>
    <row r="48" spans="1:13" ht="15.75" customHeight="1">
      <c r="A48" s="167"/>
      <c r="B48" s="173">
        <v>46050</v>
      </c>
      <c r="C48" s="174" t="s">
        <v>234</v>
      </c>
      <c r="D48" s="174">
        <v>3</v>
      </c>
      <c r="E48" s="174" t="s">
        <v>311</v>
      </c>
      <c r="F48" s="174"/>
      <c r="G48" s="175"/>
      <c r="H48" s="176"/>
      <c r="I48" s="177"/>
      <c r="J48" s="178">
        <f>SAÍDAS!$D48-SAÍDAS!$G48</f>
        <v>3</v>
      </c>
      <c r="K48" s="178">
        <f>SUMIFS(ENTRADAS!$E$7:$E$1002,ENTRADAS!$B$7:$B$1002,"&lt;=" &amp; SAÍDAS!$B48,ENTRADAS!$C$7:$C$1002,SAÍDAS!$C48)-SUMIFS(SAÍDAS!$J$7:$J$289,SAÍDAS!$B$7:$B$289,"&lt;=" &amp; SAÍDAS!$B48,SAÍDAS!$C$7:$C$289,SAÍDAS!$C48)</f>
        <v>47</v>
      </c>
      <c r="L48" s="179">
        <f t="shared" si="0"/>
        <v>0</v>
      </c>
      <c r="M48" s="170"/>
    </row>
    <row r="49" spans="1:13" ht="15.75" customHeight="1">
      <c r="A49" s="167"/>
      <c r="B49" s="173">
        <v>46050</v>
      </c>
      <c r="C49" s="174" t="s">
        <v>235</v>
      </c>
      <c r="D49" s="174">
        <v>2</v>
      </c>
      <c r="E49" s="174" t="s">
        <v>311</v>
      </c>
      <c r="F49" s="181"/>
      <c r="G49" s="175"/>
      <c r="H49" s="176"/>
      <c r="I49" s="177"/>
      <c r="J49" s="178">
        <f>SAÍDAS!$D49-SAÍDAS!$G49</f>
        <v>2</v>
      </c>
      <c r="K49" s="178">
        <f>SUMIFS(ENTRADAS!$E$7:$E$1002,ENTRADAS!$B$7:$B$1002,"&lt;=" &amp; SAÍDAS!$B49,ENTRADAS!$C$7:$C$1002,SAÍDAS!$C49)-SUMIFS(SAÍDAS!$J$7:$J$289,SAÍDAS!$B$7:$B$289,"&lt;=" &amp; SAÍDAS!$B49,SAÍDAS!$C$7:$C$289,SAÍDAS!$C49)</f>
        <v>29</v>
      </c>
      <c r="L49" s="179">
        <f t="shared" si="0"/>
        <v>0</v>
      </c>
      <c r="M49" s="170"/>
    </row>
    <row r="50" spans="1:13" ht="15.75" customHeight="1">
      <c r="A50" s="167"/>
      <c r="B50" s="173">
        <v>46050</v>
      </c>
      <c r="C50" s="174" t="s">
        <v>282</v>
      </c>
      <c r="D50" s="174">
        <v>4</v>
      </c>
      <c r="E50" s="174" t="s">
        <v>311</v>
      </c>
      <c r="F50" s="181"/>
      <c r="G50" s="175"/>
      <c r="H50" s="176"/>
      <c r="I50" s="177"/>
      <c r="J50" s="178">
        <f>SAÍDAS!$D50-SAÍDAS!$G50</f>
        <v>4</v>
      </c>
      <c r="K50" s="178">
        <f>SUMIFS(ENTRADAS!$E$7:$E$1002,ENTRADAS!$B$7:$B$1002,"&lt;=" &amp; SAÍDAS!$B50,ENTRADAS!$C$7:$C$1002,SAÍDAS!$C50)-SUMIFS(SAÍDAS!$J$7:$J$289,SAÍDAS!$B$7:$B$289,"&lt;=" &amp; SAÍDAS!$B50,SAÍDAS!$C$7:$C$289,SAÍDAS!$C50)</f>
        <v>70</v>
      </c>
      <c r="L50" s="179">
        <f t="shared" si="0"/>
        <v>0</v>
      </c>
      <c r="M50" s="170"/>
    </row>
    <row r="51" spans="1:13" ht="15.75" customHeight="1">
      <c r="A51" s="167"/>
      <c r="B51" s="173">
        <v>46050</v>
      </c>
      <c r="C51" s="174" t="s">
        <v>199</v>
      </c>
      <c r="D51" s="174">
        <v>2</v>
      </c>
      <c r="E51" s="183" t="s">
        <v>314</v>
      </c>
      <c r="F51" s="174"/>
      <c r="G51" s="175"/>
      <c r="H51" s="176"/>
      <c r="I51" s="177"/>
      <c r="J51" s="178">
        <f>SAÍDAS!$D51-SAÍDAS!$G51</f>
        <v>2</v>
      </c>
      <c r="K51" s="178">
        <f>SUMIFS(ENTRADAS!$E$7:$E$1002,ENTRADAS!$B$7:$B$1002,"&lt;=" &amp; SAÍDAS!$B51,ENTRADAS!$C$7:$C$1002,SAÍDAS!$C51)-SUMIFS(SAÍDAS!$J$7:$J$289,SAÍDAS!$B$7:$B$289,"&lt;=" &amp; SAÍDAS!$B51,SAÍDAS!$C$7:$C$289,SAÍDAS!$C51)</f>
        <v>4</v>
      </c>
      <c r="L51" s="179">
        <f t="shared" si="0"/>
        <v>0</v>
      </c>
      <c r="M51" s="170"/>
    </row>
    <row r="52" spans="1:13" ht="15.75" customHeight="1">
      <c r="A52" s="167"/>
      <c r="B52" s="173">
        <v>46050</v>
      </c>
      <c r="C52" s="174" t="s">
        <v>200</v>
      </c>
      <c r="D52" s="174">
        <v>2</v>
      </c>
      <c r="E52" s="183" t="s">
        <v>314</v>
      </c>
      <c r="F52" s="181"/>
      <c r="G52" s="184"/>
      <c r="H52" s="176"/>
      <c r="I52" s="177"/>
      <c r="J52" s="178">
        <f>SAÍDAS!$D52-SAÍDAS!$G52</f>
        <v>2</v>
      </c>
      <c r="K52" s="178">
        <f>SUMIFS(ENTRADAS!$E$7:$E$1002,ENTRADAS!$B$7:$B$1002,"&lt;=" &amp; SAÍDAS!$B52,ENTRADAS!$C$7:$C$1002,SAÍDAS!$C52)-SUMIFS(SAÍDAS!$J$7:$J$289,SAÍDAS!$B$7:$B$289,"&lt;=" &amp; SAÍDAS!$B52,SAÍDAS!$C$7:$C$289,SAÍDAS!$C52)</f>
        <v>5</v>
      </c>
      <c r="L52" s="179">
        <f t="shared" si="0"/>
        <v>0</v>
      </c>
      <c r="M52" s="170"/>
    </row>
    <row r="53" spans="1:13" ht="15.75" customHeight="1">
      <c r="A53" s="167"/>
      <c r="B53" s="173">
        <v>46050</v>
      </c>
      <c r="C53" s="174" t="s">
        <v>106</v>
      </c>
      <c r="D53" s="174">
        <v>1</v>
      </c>
      <c r="E53" s="174" t="s">
        <v>312</v>
      </c>
      <c r="F53" s="174"/>
      <c r="G53" s="175"/>
      <c r="H53" s="176"/>
      <c r="I53" s="177"/>
      <c r="J53" s="178">
        <f>SAÍDAS!$D53-SAÍDAS!$G53</f>
        <v>1</v>
      </c>
      <c r="K53" s="178">
        <f>SUMIFS(ENTRADAS!$E$7:$E$1002,ENTRADAS!$B$7:$B$1002,"&lt;=" &amp; SAÍDAS!$B53,ENTRADAS!$C$7:$C$1002,SAÍDAS!$C53)-SUMIFS(SAÍDAS!$J$7:$J$289,SAÍDAS!$B$7:$B$289,"&lt;=" &amp; SAÍDAS!$B53,SAÍDAS!$C$7:$C$289,SAÍDAS!$C53)</f>
        <v>8</v>
      </c>
      <c r="L53" s="179">
        <f t="shared" si="0"/>
        <v>0</v>
      </c>
      <c r="M53" s="170"/>
    </row>
    <row r="54" spans="1:13" ht="15.75" customHeight="1">
      <c r="A54" s="167"/>
      <c r="B54" s="173">
        <v>46050</v>
      </c>
      <c r="C54" s="174" t="s">
        <v>107</v>
      </c>
      <c r="D54" s="174">
        <v>3</v>
      </c>
      <c r="E54" s="174" t="s">
        <v>312</v>
      </c>
      <c r="F54" s="181"/>
      <c r="G54" s="175"/>
      <c r="H54" s="176"/>
      <c r="I54" s="177"/>
      <c r="J54" s="178">
        <f>SAÍDAS!$D54-SAÍDAS!$G54</f>
        <v>3</v>
      </c>
      <c r="K54" s="178">
        <f>SUMIFS(ENTRADAS!$E$7:$E$1002,ENTRADAS!$B$7:$B$1002,"&lt;=" &amp; SAÍDAS!$B54,ENTRADAS!$C$7:$C$1002,SAÍDAS!$C54)-SUMIFS(SAÍDAS!$J$7:$J$289,SAÍDAS!$B$7:$B$289,"&lt;=" &amp; SAÍDAS!$B54,SAÍDAS!$C$7:$C$289,SAÍDAS!$C54)</f>
        <v>27</v>
      </c>
      <c r="L54" s="179">
        <f t="shared" si="0"/>
        <v>0</v>
      </c>
      <c r="M54" s="170"/>
    </row>
    <row r="55" spans="1:13" ht="15.75" customHeight="1">
      <c r="A55" s="167"/>
      <c r="B55" s="173">
        <v>46050</v>
      </c>
      <c r="C55" s="180" t="s">
        <v>108</v>
      </c>
      <c r="D55" s="174">
        <v>6</v>
      </c>
      <c r="E55" s="174" t="s">
        <v>312</v>
      </c>
      <c r="F55" s="174"/>
      <c r="G55" s="175"/>
      <c r="H55" s="176"/>
      <c r="I55" s="177"/>
      <c r="J55" s="178">
        <f>SAÍDAS!$D55-SAÍDAS!$G55</f>
        <v>6</v>
      </c>
      <c r="K55" s="178">
        <f>SUMIFS(ENTRADAS!$E$7:$E$1002,ENTRADAS!$B$7:$B$1002,"&lt;=" &amp; SAÍDAS!$B55,ENTRADAS!$C$7:$C$1002,SAÍDAS!$C55)-SUMIFS(SAÍDAS!$J$7:$J$289,SAÍDAS!$B$7:$B$289,"&lt;=" &amp; SAÍDAS!$B55,SAÍDAS!$C$7:$C$289,SAÍDAS!$C55)</f>
        <v>39</v>
      </c>
      <c r="L55" s="179">
        <f t="shared" si="0"/>
        <v>0</v>
      </c>
      <c r="M55" s="170"/>
    </row>
    <row r="56" spans="1:13" s="142" customFormat="1" ht="15.75" customHeight="1">
      <c r="A56" s="167"/>
      <c r="B56" s="173">
        <v>46050</v>
      </c>
      <c r="C56" s="174" t="s">
        <v>109</v>
      </c>
      <c r="D56" s="174">
        <v>3</v>
      </c>
      <c r="E56" s="174" t="s">
        <v>312</v>
      </c>
      <c r="F56" s="174"/>
      <c r="G56" s="175"/>
      <c r="H56" s="176"/>
      <c r="I56" s="177"/>
      <c r="J56" s="178">
        <f>SAÍDAS!$D56-SAÍDAS!$G56</f>
        <v>3</v>
      </c>
      <c r="K56" s="178">
        <f>SUMIFS(ENTRADAS!$E$7:$E$1002,ENTRADAS!$B$7:$B$1002,"&lt;=" &amp; SAÍDAS!$B56,ENTRADAS!$C$7:$C$1002,SAÍDAS!$C56)-SUMIFS(SAÍDAS!$J$7:$J$289,SAÍDAS!$B$7:$B$289,"&lt;=" &amp; SAÍDAS!$B56,SAÍDAS!$C$7:$C$289,SAÍDAS!$C56)</f>
        <v>42</v>
      </c>
      <c r="L56" s="179">
        <f>I56*J56</f>
        <v>0</v>
      </c>
      <c r="M56" s="170"/>
    </row>
    <row r="57" spans="1:13" ht="15.75" customHeight="1">
      <c r="A57" s="167"/>
      <c r="B57" s="173">
        <v>46050</v>
      </c>
      <c r="C57" s="174" t="s">
        <v>110</v>
      </c>
      <c r="D57" s="174">
        <v>4</v>
      </c>
      <c r="E57" s="174" t="s">
        <v>312</v>
      </c>
      <c r="F57" s="174"/>
      <c r="G57" s="175"/>
      <c r="H57" s="176"/>
      <c r="I57" s="177"/>
      <c r="J57" s="178">
        <f>SAÍDAS!$D57-SAÍDAS!$G57</f>
        <v>4</v>
      </c>
      <c r="K57" s="178">
        <f>SUMIFS(ENTRADAS!$E$7:$E$1002,ENTRADAS!$B$7:$B$1002,"&lt;=" &amp; SAÍDAS!$B57,ENTRADAS!$C$7:$C$1002,SAÍDAS!$C57)-SUMIFS(SAÍDAS!$J$7:$J$289,SAÍDAS!$B$7:$B$289,"&lt;=" &amp; SAÍDAS!$B57,SAÍDAS!$C$7:$C$289,SAÍDAS!$C57)</f>
        <v>29</v>
      </c>
      <c r="L57" s="179">
        <f t="shared" si="0"/>
        <v>0</v>
      </c>
      <c r="M57" s="170"/>
    </row>
    <row r="58" spans="1:13" ht="15.75" customHeight="1">
      <c r="A58" s="167"/>
      <c r="B58" s="173">
        <v>46050</v>
      </c>
      <c r="C58" s="174" t="s">
        <v>111</v>
      </c>
      <c r="D58" s="174">
        <v>1</v>
      </c>
      <c r="E58" s="174" t="s">
        <v>312</v>
      </c>
      <c r="F58" s="174"/>
      <c r="G58" s="175"/>
      <c r="H58" s="176"/>
      <c r="I58" s="177"/>
      <c r="J58" s="178">
        <f>SAÍDAS!$D58-SAÍDAS!$G58</f>
        <v>1</v>
      </c>
      <c r="K58" s="178">
        <f>SUMIFS(ENTRADAS!$E$7:$E$1002,ENTRADAS!$B$7:$B$1002,"&lt;=" &amp; SAÍDAS!$B58,ENTRADAS!$C$7:$C$1002,SAÍDAS!$C58)-SUMIFS(SAÍDAS!$J$7:$J$289,SAÍDAS!$B$7:$B$289,"&lt;=" &amp; SAÍDAS!$B58,SAÍDAS!$C$7:$C$289,SAÍDAS!$C58)</f>
        <v>11</v>
      </c>
      <c r="L58" s="179">
        <f t="shared" si="0"/>
        <v>0</v>
      </c>
      <c r="M58" s="170"/>
    </row>
    <row r="59" spans="1:13" ht="15.75" customHeight="1">
      <c r="A59" s="167"/>
      <c r="B59" s="173">
        <v>46050</v>
      </c>
      <c r="C59" s="174" t="s">
        <v>102</v>
      </c>
      <c r="D59" s="174">
        <v>2</v>
      </c>
      <c r="E59" s="174" t="s">
        <v>312</v>
      </c>
      <c r="F59" s="174"/>
      <c r="G59" s="175"/>
      <c r="H59" s="176"/>
      <c r="I59" s="177"/>
      <c r="J59" s="178">
        <f>SAÍDAS!$D59-SAÍDAS!$G59</f>
        <v>2</v>
      </c>
      <c r="K59" s="178">
        <f>SUMIFS(ENTRADAS!$E$7:$E$1002,ENTRADAS!$B$7:$B$1002,"&lt;=" &amp; SAÍDAS!$B59,ENTRADAS!$C$7:$C$1002,SAÍDAS!$C59)-SUMIFS(SAÍDAS!$J$7:$J$289,SAÍDAS!$B$7:$B$289,"&lt;=" &amp; SAÍDAS!$B59,SAÍDAS!$C$7:$C$289,SAÍDAS!$C59)</f>
        <v>117</v>
      </c>
      <c r="L59" s="179">
        <f t="shared" si="0"/>
        <v>0</v>
      </c>
      <c r="M59" s="170"/>
    </row>
    <row r="60" spans="1:13" ht="15.75" customHeight="1">
      <c r="A60" s="167"/>
      <c r="B60" s="173">
        <v>46050</v>
      </c>
      <c r="C60" s="174" t="s">
        <v>103</v>
      </c>
      <c r="D60" s="174">
        <v>6</v>
      </c>
      <c r="E60" s="174" t="s">
        <v>312</v>
      </c>
      <c r="F60" s="174"/>
      <c r="G60" s="175"/>
      <c r="H60" s="176"/>
      <c r="I60" s="177"/>
      <c r="J60" s="178">
        <f>SAÍDAS!$D60-SAÍDAS!$G60</f>
        <v>6</v>
      </c>
      <c r="K60" s="178">
        <f>SUMIFS(ENTRADAS!$E$7:$E$1002,ENTRADAS!$B$7:$B$1002,"&lt;=" &amp; SAÍDAS!$B60,ENTRADAS!$C$7:$C$1002,SAÍDAS!$C60)-SUMIFS(SAÍDAS!$J$7:$J$289,SAÍDAS!$B$7:$B$289,"&lt;=" &amp; SAÍDAS!$B60,SAÍDAS!$C$7:$C$289,SAÍDAS!$C60)</f>
        <v>143</v>
      </c>
      <c r="L60" s="179">
        <f t="shared" si="0"/>
        <v>0</v>
      </c>
      <c r="M60" s="170"/>
    </row>
    <row r="61" spans="1:13" ht="15.75" customHeight="1">
      <c r="A61" s="167"/>
      <c r="B61" s="173">
        <v>46050</v>
      </c>
      <c r="C61" s="174" t="s">
        <v>104</v>
      </c>
      <c r="D61" s="174">
        <v>1</v>
      </c>
      <c r="E61" s="174" t="s">
        <v>312</v>
      </c>
      <c r="F61" s="181"/>
      <c r="G61" s="175"/>
      <c r="H61" s="176"/>
      <c r="I61" s="177"/>
      <c r="J61" s="178">
        <f>SAÍDAS!$D61-SAÍDAS!$G61</f>
        <v>1</v>
      </c>
      <c r="K61" s="178">
        <f>SUMIFS(ENTRADAS!$E$7:$E$1002,ENTRADAS!$B$7:$B$1002,"&lt;=" &amp; SAÍDAS!$B61,ENTRADAS!$C$7:$C$1002,SAÍDAS!$C61)-SUMIFS(SAÍDAS!$J$7:$J$289,SAÍDAS!$B$7:$B$289,"&lt;=" &amp; SAÍDAS!$B61,SAÍDAS!$C$7:$C$289,SAÍDAS!$C61)</f>
        <v>36</v>
      </c>
      <c r="L61" s="179">
        <f t="shared" si="0"/>
        <v>0</v>
      </c>
      <c r="M61" s="170"/>
    </row>
    <row r="62" spans="1:13" ht="15.75" customHeight="1">
      <c r="A62" s="167"/>
      <c r="B62" s="173">
        <v>46050</v>
      </c>
      <c r="C62" s="174" t="s">
        <v>105</v>
      </c>
      <c r="D62" s="174">
        <v>5</v>
      </c>
      <c r="E62" s="174" t="s">
        <v>312</v>
      </c>
      <c r="F62" s="174"/>
      <c r="G62" s="175"/>
      <c r="H62" s="176"/>
      <c r="I62" s="177"/>
      <c r="J62" s="178">
        <f>SAÍDAS!$D62-SAÍDAS!$G62</f>
        <v>5</v>
      </c>
      <c r="K62" s="178">
        <f>SUMIFS(ENTRADAS!$E$7:$E$1002,ENTRADAS!$B$7:$B$1002,"&lt;=" &amp; SAÍDAS!$B62,ENTRADAS!$C$7:$C$1002,SAÍDAS!$C62)-SUMIFS(SAÍDAS!$J$7:$J$289,SAÍDAS!$B$7:$B$289,"&lt;=" &amp; SAÍDAS!$B62,SAÍDAS!$C$7:$C$289,SAÍDAS!$C62)</f>
        <v>23</v>
      </c>
      <c r="L62" s="179">
        <f t="shared" si="0"/>
        <v>0</v>
      </c>
      <c r="M62" s="170"/>
    </row>
    <row r="63" spans="1:13" ht="15.75" customHeight="1">
      <c r="A63" s="167"/>
      <c r="B63" s="173">
        <v>46050</v>
      </c>
      <c r="C63" s="174" t="s">
        <v>150</v>
      </c>
      <c r="D63" s="174">
        <v>4</v>
      </c>
      <c r="E63" s="174" t="s">
        <v>312</v>
      </c>
      <c r="F63" s="174"/>
      <c r="G63" s="175"/>
      <c r="H63" s="176"/>
      <c r="I63" s="177"/>
      <c r="J63" s="178">
        <f>SAÍDAS!$D63-SAÍDAS!$G63</f>
        <v>4</v>
      </c>
      <c r="K63" s="178">
        <f>SUMIFS(ENTRADAS!$E$7:$E$1002,ENTRADAS!$B$7:$B$1002,"&lt;=" &amp; SAÍDAS!$B63,ENTRADAS!$C$7:$C$1002,SAÍDAS!$C63)-SUMIFS(SAÍDAS!$J$7:$J$289,SAÍDAS!$B$7:$B$289,"&lt;=" &amp; SAÍDAS!$B63,SAÍDAS!$C$7:$C$289,SAÍDAS!$C63)</f>
        <v>3</v>
      </c>
      <c r="L63" s="179">
        <f t="shared" si="0"/>
        <v>0</v>
      </c>
      <c r="M63" s="170"/>
    </row>
    <row r="64" spans="1:13" ht="15.75" customHeight="1">
      <c r="A64" s="167"/>
      <c r="B64" s="173">
        <v>46050</v>
      </c>
      <c r="C64" s="174" t="s">
        <v>151</v>
      </c>
      <c r="D64" s="174">
        <v>5</v>
      </c>
      <c r="E64" s="174" t="s">
        <v>312</v>
      </c>
      <c r="F64" s="181"/>
      <c r="G64" s="175"/>
      <c r="H64" s="176"/>
      <c r="I64" s="177"/>
      <c r="J64" s="178">
        <f>SAÍDAS!$D64-SAÍDAS!$G64</f>
        <v>5</v>
      </c>
      <c r="K64" s="178">
        <f>SUMIFS(ENTRADAS!$E$7:$E$1002,ENTRADAS!$B$7:$B$1002,"&lt;=" &amp; SAÍDAS!$B64,ENTRADAS!$C$7:$C$1002,SAÍDAS!$C64)-SUMIFS(SAÍDAS!$J$7:$J$289,SAÍDAS!$B$7:$B$289,"&lt;=" &amp; SAÍDAS!$B64,SAÍDAS!$C$7:$C$289,SAÍDAS!$C64)</f>
        <v>23</v>
      </c>
      <c r="L64" s="179">
        <f t="shared" si="0"/>
        <v>0</v>
      </c>
      <c r="M64" s="170"/>
    </row>
    <row r="65" spans="1:13" ht="15.75" customHeight="1">
      <c r="A65" s="167"/>
      <c r="B65" s="173">
        <v>46050</v>
      </c>
      <c r="C65" s="174" t="s">
        <v>152</v>
      </c>
      <c r="D65" s="174">
        <v>2</v>
      </c>
      <c r="E65" s="174" t="s">
        <v>312</v>
      </c>
      <c r="F65" s="174"/>
      <c r="G65" s="175"/>
      <c r="H65" s="176"/>
      <c r="I65" s="177"/>
      <c r="J65" s="178">
        <f>SAÍDAS!$D65-SAÍDAS!$G65</f>
        <v>2</v>
      </c>
      <c r="K65" s="178">
        <f>SUMIFS(ENTRADAS!$E$7:$E$1002,ENTRADAS!$B$7:$B$1002,"&lt;=" &amp; SAÍDAS!$B65,ENTRADAS!$C$7:$C$1002,SAÍDAS!$C65)-SUMIFS(SAÍDAS!$J$7:$J$289,SAÍDAS!$B$7:$B$289,"&lt;=" &amp; SAÍDAS!$B65,SAÍDAS!$C$7:$C$289,SAÍDAS!$C65)</f>
        <v>11</v>
      </c>
      <c r="L65" s="179">
        <f t="shared" si="0"/>
        <v>0</v>
      </c>
      <c r="M65" s="170"/>
    </row>
    <row r="66" spans="1:13" ht="15.75" customHeight="1">
      <c r="A66" s="167"/>
      <c r="B66" s="173">
        <v>46050</v>
      </c>
      <c r="C66" s="174" t="s">
        <v>168</v>
      </c>
      <c r="D66" s="174">
        <v>3</v>
      </c>
      <c r="E66" s="174" t="s">
        <v>312</v>
      </c>
      <c r="F66" s="174"/>
      <c r="G66" s="175"/>
      <c r="H66" s="176"/>
      <c r="I66" s="177"/>
      <c r="J66" s="178">
        <f>SAÍDAS!$D66-SAÍDAS!$G66</f>
        <v>3</v>
      </c>
      <c r="K66" s="178">
        <f>SUMIFS(ENTRADAS!$E$7:$E$1002,ENTRADAS!$B$7:$B$1002,"&lt;=" &amp; SAÍDAS!$B66,ENTRADAS!$C$7:$C$1002,SAÍDAS!$C66)-SUMIFS(SAÍDAS!$J$7:$J$289,SAÍDAS!$B$7:$B$289,"&lt;=" &amp; SAÍDAS!$B66,SAÍDAS!$C$7:$C$289,SAÍDAS!$C66)</f>
        <v>36</v>
      </c>
      <c r="L66" s="179">
        <f t="shared" ref="L66:L128" si="1">I66*J66</f>
        <v>0</v>
      </c>
      <c r="M66" s="170"/>
    </row>
    <row r="67" spans="1:13" ht="15.75" customHeight="1">
      <c r="A67" s="167"/>
      <c r="B67" s="173">
        <v>46050</v>
      </c>
      <c r="C67" s="174" t="s">
        <v>169</v>
      </c>
      <c r="D67" s="174">
        <v>4</v>
      </c>
      <c r="E67" s="174" t="s">
        <v>312</v>
      </c>
      <c r="F67" s="174"/>
      <c r="G67" s="175"/>
      <c r="H67" s="176"/>
      <c r="I67" s="177"/>
      <c r="J67" s="178">
        <f>SAÍDAS!$D67-SAÍDAS!$G67</f>
        <v>4</v>
      </c>
      <c r="K67" s="178">
        <f>SUMIFS(ENTRADAS!$E$7:$E$1002,ENTRADAS!$B$7:$B$1002,"&lt;=" &amp; SAÍDAS!$B67,ENTRADAS!$C$7:$C$1002,SAÍDAS!$C67)-SUMIFS(SAÍDAS!$J$7:$J$289,SAÍDAS!$B$7:$B$289,"&lt;=" &amp; SAÍDAS!$B67,SAÍDAS!$C$7:$C$289,SAÍDAS!$C67)</f>
        <v>16</v>
      </c>
      <c r="L67" s="179">
        <f t="shared" si="1"/>
        <v>0</v>
      </c>
      <c r="M67" s="170"/>
    </row>
    <row r="68" spans="1:13" ht="15.75" customHeight="1">
      <c r="A68" s="167"/>
      <c r="B68" s="173">
        <v>46050</v>
      </c>
      <c r="C68" s="174" t="s">
        <v>170</v>
      </c>
      <c r="D68" s="174">
        <v>2</v>
      </c>
      <c r="E68" s="174" t="s">
        <v>312</v>
      </c>
      <c r="F68" s="174"/>
      <c r="G68" s="175"/>
      <c r="H68" s="176"/>
      <c r="I68" s="177"/>
      <c r="J68" s="178">
        <f>SAÍDAS!$D68-SAÍDAS!$G68</f>
        <v>2</v>
      </c>
      <c r="K68" s="178">
        <f>SUMIFS(ENTRADAS!$E$7:$E$1002,ENTRADAS!$B$7:$B$1002,"&lt;=" &amp; SAÍDAS!$B68,ENTRADAS!$C$7:$C$1002,SAÍDAS!$C68)-SUMIFS(SAÍDAS!$J$7:$J$289,SAÍDAS!$B$7:$B$289,"&lt;=" &amp; SAÍDAS!$B68,SAÍDAS!$C$7:$C$289,SAÍDAS!$C68)</f>
        <v>13</v>
      </c>
      <c r="L68" s="179">
        <f t="shared" si="1"/>
        <v>0</v>
      </c>
      <c r="M68" s="170"/>
    </row>
    <row r="69" spans="1:13" ht="15.75" customHeight="1">
      <c r="A69" s="167"/>
      <c r="B69" s="173">
        <v>46050</v>
      </c>
      <c r="C69" s="174" t="s">
        <v>171</v>
      </c>
      <c r="D69" s="174">
        <v>2</v>
      </c>
      <c r="E69" s="174" t="s">
        <v>312</v>
      </c>
      <c r="F69" s="174"/>
      <c r="G69" s="175"/>
      <c r="H69" s="176"/>
      <c r="I69" s="177"/>
      <c r="J69" s="178">
        <f>SAÍDAS!$D69-SAÍDAS!$G69</f>
        <v>2</v>
      </c>
      <c r="K69" s="178">
        <f>SUMIFS(ENTRADAS!$E$7:$E$1002,ENTRADAS!$B$7:$B$1002,"&lt;=" &amp; SAÍDAS!$B69,ENTRADAS!$C$7:$C$1002,SAÍDAS!$C69)-SUMIFS(SAÍDAS!$J$7:$J$289,SAÍDAS!$B$7:$B$289,"&lt;=" &amp; SAÍDAS!$B69,SAÍDAS!$C$7:$C$289,SAÍDAS!$C69)</f>
        <v>6</v>
      </c>
      <c r="L69" s="179">
        <f t="shared" si="1"/>
        <v>0</v>
      </c>
      <c r="M69" s="170"/>
    </row>
    <row r="70" spans="1:13" ht="15.75" customHeight="1">
      <c r="A70" s="167"/>
      <c r="B70" s="173">
        <v>46050</v>
      </c>
      <c r="C70" s="174" t="s">
        <v>173</v>
      </c>
      <c r="D70" s="174">
        <v>1</v>
      </c>
      <c r="E70" s="174" t="s">
        <v>312</v>
      </c>
      <c r="F70" s="181"/>
      <c r="G70" s="185"/>
      <c r="H70" s="186"/>
      <c r="I70" s="177"/>
      <c r="J70" s="178">
        <f>SAÍDAS!$D70-SAÍDAS!$G70</f>
        <v>1</v>
      </c>
      <c r="K70" s="178">
        <f>SUMIFS(ENTRADAS!$E$7:$E$1002,ENTRADAS!$B$7:$B$1002,"&lt;=" &amp; SAÍDAS!$B70,ENTRADAS!$C$7:$C$1002,SAÍDAS!$C70)-SUMIFS(SAÍDAS!$J$7:$J$289,SAÍDAS!$B$7:$B$289,"&lt;=" &amp; SAÍDAS!$B70,SAÍDAS!$C$7:$C$289,SAÍDAS!$C70)</f>
        <v>5</v>
      </c>
      <c r="L70" s="179">
        <f t="shared" si="1"/>
        <v>0</v>
      </c>
      <c r="M70" s="170"/>
    </row>
    <row r="71" spans="1:13" ht="15.75" customHeight="1">
      <c r="A71" s="167"/>
      <c r="B71" s="173">
        <v>46050</v>
      </c>
      <c r="C71" s="174" t="s">
        <v>218</v>
      </c>
      <c r="D71" s="174">
        <v>8</v>
      </c>
      <c r="E71" s="174" t="s">
        <v>312</v>
      </c>
      <c r="F71" s="174"/>
      <c r="G71" s="185"/>
      <c r="H71" s="186"/>
      <c r="I71" s="177"/>
      <c r="J71" s="178">
        <f>SAÍDAS!$D71-SAÍDAS!$G71</f>
        <v>8</v>
      </c>
      <c r="K71" s="178">
        <f>SUMIFS(ENTRADAS!$E$7:$E$1002,ENTRADAS!$B$7:$B$1002,"&lt;=" &amp; SAÍDAS!$B71,ENTRADAS!$C$7:$C$1002,SAÍDAS!$C71)-SUMIFS(SAÍDAS!$J$7:$J$289,SAÍDAS!$B$7:$B$289,"&lt;=" &amp; SAÍDAS!$B71,SAÍDAS!$C$7:$C$289,SAÍDAS!$C71)</f>
        <v>28</v>
      </c>
      <c r="L71" s="179">
        <f t="shared" si="1"/>
        <v>0</v>
      </c>
      <c r="M71" s="170"/>
    </row>
    <row r="72" spans="1:13" ht="15.75" customHeight="1">
      <c r="A72" s="167"/>
      <c r="B72" s="173">
        <v>46050</v>
      </c>
      <c r="C72" s="174" t="s">
        <v>93</v>
      </c>
      <c r="D72" s="174">
        <v>1</v>
      </c>
      <c r="E72" s="174" t="s">
        <v>312</v>
      </c>
      <c r="F72" s="174"/>
      <c r="G72" s="185"/>
      <c r="H72" s="186"/>
      <c r="I72" s="177"/>
      <c r="J72" s="178">
        <f>SAÍDAS!$D72-SAÍDAS!$G72</f>
        <v>1</v>
      </c>
      <c r="K72" s="178">
        <f>SUMIFS(ENTRADAS!$E$7:$E$1002,ENTRADAS!$B$7:$B$1002,"&lt;=" &amp; SAÍDAS!$B72,ENTRADAS!$C$7:$C$1002,SAÍDAS!$C72)-SUMIFS(SAÍDAS!$J$7:$J$289,SAÍDAS!$B$7:$B$289,"&lt;=" &amp; SAÍDAS!$B72,SAÍDAS!$C$7:$C$289,SAÍDAS!$C72)</f>
        <v>24</v>
      </c>
      <c r="L72" s="179">
        <f t="shared" si="1"/>
        <v>0</v>
      </c>
      <c r="M72" s="170"/>
    </row>
    <row r="73" spans="1:13" ht="15.75" customHeight="1">
      <c r="A73" s="167"/>
      <c r="B73" s="173">
        <v>46050</v>
      </c>
      <c r="C73" s="174" t="s">
        <v>96</v>
      </c>
      <c r="D73" s="174">
        <v>1</v>
      </c>
      <c r="E73" s="174" t="s">
        <v>312</v>
      </c>
      <c r="F73" s="174"/>
      <c r="G73" s="185"/>
      <c r="H73" s="186"/>
      <c r="I73" s="177"/>
      <c r="J73" s="178">
        <f>SAÍDAS!$D73-SAÍDAS!$G73</f>
        <v>1</v>
      </c>
      <c r="K73" s="178">
        <f>SUMIFS(ENTRADAS!$E$7:$E$1002,ENTRADAS!$B$7:$B$1002,"&lt;=" &amp; SAÍDAS!$B73,ENTRADAS!$C$7:$C$1002,SAÍDAS!$C73)-SUMIFS(SAÍDAS!$J$7:$J$289,SAÍDAS!$B$7:$B$289,"&lt;=" &amp; SAÍDAS!$B73,SAÍDAS!$C$7:$C$289,SAÍDAS!$C73)</f>
        <v>3</v>
      </c>
      <c r="L73" s="179">
        <f t="shared" si="1"/>
        <v>0</v>
      </c>
      <c r="M73" s="170"/>
    </row>
    <row r="74" spans="1:13" ht="15.75" customHeight="1">
      <c r="A74" s="167"/>
      <c r="B74" s="173">
        <v>46050</v>
      </c>
      <c r="C74" s="174" t="s">
        <v>193</v>
      </c>
      <c r="D74" s="174">
        <v>2</v>
      </c>
      <c r="E74" s="174" t="s">
        <v>312</v>
      </c>
      <c r="F74" s="181"/>
      <c r="G74" s="185"/>
      <c r="H74" s="186"/>
      <c r="I74" s="177"/>
      <c r="J74" s="178">
        <f>SAÍDAS!$D74-SAÍDAS!$G74</f>
        <v>2</v>
      </c>
      <c r="K74" s="178">
        <f>SUMIFS(ENTRADAS!$E$7:$E$1002,ENTRADAS!$B$7:$B$1002,"&lt;=" &amp; SAÍDAS!$B74,ENTRADAS!$C$7:$C$1002,SAÍDAS!$C74)-SUMIFS(SAÍDAS!$J$7:$J$289,SAÍDAS!$B$7:$B$289,"&lt;=" &amp; SAÍDAS!$B74,SAÍDAS!$C$7:$C$289,SAÍDAS!$C74)</f>
        <v>29</v>
      </c>
      <c r="L74" s="179">
        <f t="shared" si="1"/>
        <v>0</v>
      </c>
      <c r="M74" s="170"/>
    </row>
    <row r="75" spans="1:13" ht="15.75" customHeight="1">
      <c r="A75" s="167"/>
      <c r="B75" s="173">
        <v>46050</v>
      </c>
      <c r="C75" s="174" t="s">
        <v>195</v>
      </c>
      <c r="D75" s="174">
        <v>1</v>
      </c>
      <c r="E75" s="174" t="s">
        <v>312</v>
      </c>
      <c r="F75" s="174"/>
      <c r="G75" s="185"/>
      <c r="H75" s="186"/>
      <c r="I75" s="177"/>
      <c r="J75" s="178">
        <f>SAÍDAS!$D75-SAÍDAS!$G75</f>
        <v>1</v>
      </c>
      <c r="K75" s="178">
        <f>SUMIFS(ENTRADAS!$E$7:$E$1002,ENTRADAS!$B$7:$B$1002,"&lt;=" &amp; SAÍDAS!$B75,ENTRADAS!$C$7:$C$1002,SAÍDAS!$C75)-SUMIFS(SAÍDAS!$J$7:$J$289,SAÍDAS!$B$7:$B$289,"&lt;=" &amp; SAÍDAS!$B75,SAÍDAS!$C$7:$C$289,SAÍDAS!$C75)</f>
        <v>7</v>
      </c>
      <c r="L75" s="179">
        <f t="shared" si="1"/>
        <v>0</v>
      </c>
      <c r="M75" s="170"/>
    </row>
    <row r="76" spans="1:13" ht="15.75" customHeight="1">
      <c r="A76" s="167"/>
      <c r="B76" s="173">
        <v>46050</v>
      </c>
      <c r="C76" s="174" t="s">
        <v>196</v>
      </c>
      <c r="D76" s="174">
        <v>1</v>
      </c>
      <c r="E76" s="174" t="s">
        <v>312</v>
      </c>
      <c r="F76" s="174"/>
      <c r="G76" s="185"/>
      <c r="H76" s="186"/>
      <c r="I76" s="177"/>
      <c r="J76" s="178">
        <f>SAÍDAS!$D76-SAÍDAS!$G76</f>
        <v>1</v>
      </c>
      <c r="K76" s="178">
        <f>SUMIFS(ENTRADAS!$E$7:$E$1002,ENTRADAS!$B$7:$B$1002,"&lt;=" &amp; SAÍDAS!$B76,ENTRADAS!$C$7:$C$1002,SAÍDAS!$C76)-SUMIFS(SAÍDAS!$J$7:$J$289,SAÍDAS!$B$7:$B$289,"&lt;=" &amp; SAÍDAS!$B76,SAÍDAS!$C$7:$C$289,SAÍDAS!$C76)</f>
        <v>5</v>
      </c>
      <c r="L76" s="179">
        <f t="shared" si="1"/>
        <v>0</v>
      </c>
      <c r="M76" s="170"/>
    </row>
    <row r="77" spans="1:13" ht="15.75" customHeight="1">
      <c r="A77" s="167"/>
      <c r="B77" s="173">
        <v>46050</v>
      </c>
      <c r="C77" s="187" t="s">
        <v>144</v>
      </c>
      <c r="D77" s="187">
        <v>1</v>
      </c>
      <c r="E77" s="174" t="s">
        <v>312</v>
      </c>
      <c r="F77" s="188"/>
      <c r="G77" s="185"/>
      <c r="H77" s="186"/>
      <c r="I77" s="177"/>
      <c r="J77" s="178">
        <f>SAÍDAS!$D77-SAÍDAS!$G77</f>
        <v>1</v>
      </c>
      <c r="K77" s="178">
        <f>SUMIFS(ENTRADAS!$E$7:$E$1002,ENTRADAS!$B$7:$B$1002,"&lt;=" &amp; SAÍDAS!$B77,ENTRADAS!$C$7:$C$1002,SAÍDAS!$C77)-SUMIFS(SAÍDAS!$J$7:$J$289,SAÍDAS!$B$7:$B$289,"&lt;=" &amp; SAÍDAS!$B77,SAÍDAS!$C$7:$C$289,SAÍDAS!$C77)</f>
        <v>3</v>
      </c>
      <c r="L77" s="179">
        <f t="shared" si="1"/>
        <v>0</v>
      </c>
      <c r="M77" s="170"/>
    </row>
    <row r="78" spans="1:13" ht="15.75" customHeight="1">
      <c r="A78" s="167"/>
      <c r="B78" s="173">
        <v>46050</v>
      </c>
      <c r="C78" s="187" t="s">
        <v>145</v>
      </c>
      <c r="D78" s="187">
        <v>1</v>
      </c>
      <c r="E78" s="174" t="s">
        <v>312</v>
      </c>
      <c r="F78" s="188"/>
      <c r="G78" s="185"/>
      <c r="H78" s="186"/>
      <c r="I78" s="177"/>
      <c r="J78" s="178">
        <f>SAÍDAS!$D78-SAÍDAS!$G78</f>
        <v>1</v>
      </c>
      <c r="K78" s="178">
        <f>SUMIFS(ENTRADAS!$E$7:$E$1002,ENTRADAS!$B$7:$B$1002,"&lt;=" &amp; SAÍDAS!$B78,ENTRADAS!$C$7:$C$1002,SAÍDAS!$C78)-SUMIFS(SAÍDAS!$J$7:$J$289,SAÍDAS!$B$7:$B$289,"&lt;=" &amp; SAÍDAS!$B78,SAÍDAS!$C$7:$C$289,SAÍDAS!$C78)</f>
        <v>2</v>
      </c>
      <c r="L78" s="179">
        <f t="shared" si="1"/>
        <v>0</v>
      </c>
      <c r="M78" s="170"/>
    </row>
    <row r="79" spans="1:13" ht="15.75" customHeight="1">
      <c r="A79" s="167"/>
      <c r="B79" s="173">
        <v>46050</v>
      </c>
      <c r="C79" s="174" t="s">
        <v>183</v>
      </c>
      <c r="D79" s="174">
        <v>2</v>
      </c>
      <c r="E79" s="174" t="s">
        <v>312</v>
      </c>
      <c r="F79" s="181"/>
      <c r="G79" s="185"/>
      <c r="H79" s="186"/>
      <c r="I79" s="177"/>
      <c r="J79" s="178">
        <f>SAÍDAS!$D79-SAÍDAS!$G79</f>
        <v>2</v>
      </c>
      <c r="K79" s="178">
        <f>SUMIFS(ENTRADAS!$E$7:$E$1002,ENTRADAS!$B$7:$B$1002,"&lt;=" &amp; SAÍDAS!$B79,ENTRADAS!$C$7:$C$1002,SAÍDAS!$C79)-SUMIFS(SAÍDAS!$J$7:$J$289,SAÍDAS!$B$7:$B$289,"&lt;=" &amp; SAÍDAS!$B79,SAÍDAS!$C$7:$C$289,SAÍDAS!$C79)</f>
        <v>3</v>
      </c>
      <c r="L79" s="179">
        <f t="shared" si="1"/>
        <v>0</v>
      </c>
      <c r="M79" s="170"/>
    </row>
    <row r="80" spans="1:13" ht="15.75" customHeight="1">
      <c r="A80" s="167"/>
      <c r="B80" s="173">
        <v>46050</v>
      </c>
      <c r="C80" s="174" t="s">
        <v>127</v>
      </c>
      <c r="D80" s="174">
        <v>1</v>
      </c>
      <c r="E80" s="174" t="s">
        <v>312</v>
      </c>
      <c r="F80" s="181"/>
      <c r="G80" s="185"/>
      <c r="H80" s="186"/>
      <c r="I80" s="177"/>
      <c r="J80" s="178">
        <f>SAÍDAS!$D80-SAÍDAS!$G80</f>
        <v>1</v>
      </c>
      <c r="K80" s="178">
        <f>SUMIFS(ENTRADAS!$E$7:$E$1002,ENTRADAS!$B$7:$B$1002,"&lt;=" &amp; SAÍDAS!$B80,ENTRADAS!$C$7:$C$1002,SAÍDAS!$C80)-SUMIFS(SAÍDAS!$J$7:$J$289,SAÍDAS!$B$7:$B$289,"&lt;=" &amp; SAÍDAS!$B80,SAÍDAS!$C$7:$C$289,SAÍDAS!$C80)</f>
        <v>7</v>
      </c>
      <c r="L80" s="179">
        <f t="shared" si="1"/>
        <v>0</v>
      </c>
      <c r="M80" s="170"/>
    </row>
    <row r="81" spans="1:13" ht="15.75" customHeight="1">
      <c r="A81" s="167"/>
      <c r="B81" s="173">
        <v>46050</v>
      </c>
      <c r="C81" s="174" t="s">
        <v>203</v>
      </c>
      <c r="D81" s="174">
        <v>1</v>
      </c>
      <c r="E81" s="174" t="s">
        <v>312</v>
      </c>
      <c r="F81" s="174"/>
      <c r="G81" s="185"/>
      <c r="H81" s="186"/>
      <c r="I81" s="177"/>
      <c r="J81" s="178">
        <f>SAÍDAS!$D81-SAÍDAS!$G81</f>
        <v>1</v>
      </c>
      <c r="K81" s="178">
        <f>SUMIFS(ENTRADAS!$E$7:$E$1002,ENTRADAS!$B$7:$B$1002,"&lt;=" &amp; SAÍDAS!$B81,ENTRADAS!$C$7:$C$1002,SAÍDAS!$C81)-SUMIFS(SAÍDAS!$J$7:$J$289,SAÍDAS!$B$7:$B$289,"&lt;=" &amp; SAÍDAS!$B81,SAÍDAS!$C$7:$C$289,SAÍDAS!$C81)</f>
        <v>3</v>
      </c>
      <c r="L81" s="179">
        <f t="shared" si="1"/>
        <v>0</v>
      </c>
      <c r="M81" s="170"/>
    </row>
    <row r="82" spans="1:13" ht="15.75" customHeight="1">
      <c r="A82" s="167"/>
      <c r="B82" s="173">
        <v>46050</v>
      </c>
      <c r="C82" s="174" t="s">
        <v>233</v>
      </c>
      <c r="D82" s="174">
        <v>4</v>
      </c>
      <c r="E82" s="174" t="s">
        <v>311</v>
      </c>
      <c r="F82" s="181"/>
      <c r="G82" s="185"/>
      <c r="H82" s="186"/>
      <c r="I82" s="177"/>
      <c r="J82" s="178">
        <f>SAÍDAS!$D82-SAÍDAS!$G82</f>
        <v>4</v>
      </c>
      <c r="K82" s="178">
        <f>SUMIFS(ENTRADAS!$E$7:$E$1002,ENTRADAS!$B$7:$B$1002,"&lt;=" &amp; SAÍDAS!$B82,ENTRADAS!$C$7:$C$1002,SAÍDAS!$C82)-SUMIFS(SAÍDAS!$J$7:$J$289,SAÍDAS!$B$7:$B$289,"&lt;=" &amp; SAÍDAS!$B82,SAÍDAS!$C$7:$C$289,SAÍDAS!$C82)</f>
        <v>75</v>
      </c>
      <c r="L82" s="179">
        <f t="shared" si="1"/>
        <v>0</v>
      </c>
      <c r="M82" s="170"/>
    </row>
    <row r="83" spans="1:13" ht="15.75" customHeight="1">
      <c r="A83" s="167"/>
      <c r="B83" s="173">
        <v>46050</v>
      </c>
      <c r="C83" s="174" t="s">
        <v>234</v>
      </c>
      <c r="D83" s="174">
        <v>5</v>
      </c>
      <c r="E83" s="174" t="s">
        <v>311</v>
      </c>
      <c r="F83" s="174"/>
      <c r="G83" s="185"/>
      <c r="H83" s="186"/>
      <c r="I83" s="177"/>
      <c r="J83" s="178">
        <f>SAÍDAS!$D83-SAÍDAS!$G83</f>
        <v>5</v>
      </c>
      <c r="K83" s="178">
        <f>SUMIFS(ENTRADAS!$E$7:$E$1002,ENTRADAS!$B$7:$B$1002,"&lt;=" &amp; SAÍDAS!$B83,ENTRADAS!$C$7:$C$1002,SAÍDAS!$C83)-SUMIFS(SAÍDAS!$J$7:$J$289,SAÍDAS!$B$7:$B$289,"&lt;=" &amp; SAÍDAS!$B83,SAÍDAS!$C$7:$C$289,SAÍDAS!$C83)</f>
        <v>47</v>
      </c>
      <c r="L83" s="179">
        <f t="shared" si="1"/>
        <v>0</v>
      </c>
      <c r="M83" s="170"/>
    </row>
    <row r="84" spans="1:13" ht="15.75" customHeight="1">
      <c r="A84" s="167"/>
      <c r="B84" s="173">
        <v>46050</v>
      </c>
      <c r="C84" s="174" t="s">
        <v>236</v>
      </c>
      <c r="D84" s="174">
        <v>2</v>
      </c>
      <c r="E84" s="174" t="s">
        <v>311</v>
      </c>
      <c r="F84" s="174"/>
      <c r="G84" s="185"/>
      <c r="H84" s="186"/>
      <c r="I84" s="177"/>
      <c r="J84" s="178">
        <f>SAÍDAS!$D84-SAÍDAS!$G84</f>
        <v>2</v>
      </c>
      <c r="K84" s="178">
        <f>SUMIFS(ENTRADAS!$E$7:$E$1002,ENTRADAS!$B$7:$B$1002,"&lt;=" &amp; SAÍDAS!$B84,ENTRADAS!$C$7:$C$1002,SAÍDAS!$C84)-SUMIFS(SAÍDAS!$J$7:$J$289,SAÍDAS!$B$7:$B$289,"&lt;=" &amp; SAÍDAS!$B84,SAÍDAS!$C$7:$C$289,SAÍDAS!$C84)</f>
        <v>10</v>
      </c>
      <c r="L84" s="179">
        <f t="shared" si="1"/>
        <v>0</v>
      </c>
      <c r="M84" s="170"/>
    </row>
    <row r="85" spans="1:13" ht="15.75" customHeight="1">
      <c r="A85" s="167"/>
      <c r="B85" s="173">
        <v>46050</v>
      </c>
      <c r="C85" s="174" t="s">
        <v>237</v>
      </c>
      <c r="D85" s="174">
        <v>4</v>
      </c>
      <c r="E85" s="174" t="s">
        <v>311</v>
      </c>
      <c r="F85" s="174"/>
      <c r="G85" s="185"/>
      <c r="H85" s="186"/>
      <c r="I85" s="177"/>
      <c r="J85" s="178">
        <f>SAÍDAS!$D85-SAÍDAS!$G85</f>
        <v>4</v>
      </c>
      <c r="K85" s="178">
        <f>SUMIFS(ENTRADAS!$E$7:$E$1002,ENTRADAS!$B$7:$B$1002,"&lt;=" &amp; SAÍDAS!$B85,ENTRADAS!$C$7:$C$1002,SAÍDAS!$C85)-SUMIFS(SAÍDAS!$J$7:$J$289,SAÍDAS!$B$7:$B$289,"&lt;=" &amp; SAÍDAS!$B85,SAÍDAS!$C$7:$C$289,SAÍDAS!$C85)</f>
        <v>56</v>
      </c>
      <c r="L85" s="179">
        <f t="shared" si="1"/>
        <v>0</v>
      </c>
      <c r="M85" s="170"/>
    </row>
    <row r="86" spans="1:13" ht="15.75" customHeight="1">
      <c r="A86" s="167"/>
      <c r="B86" s="173">
        <v>46050</v>
      </c>
      <c r="C86" s="174" t="s">
        <v>304</v>
      </c>
      <c r="D86" s="174">
        <v>5</v>
      </c>
      <c r="E86" s="174" t="s">
        <v>333</v>
      </c>
      <c r="F86" s="174"/>
      <c r="G86" s="185"/>
      <c r="H86" s="186"/>
      <c r="I86" s="177"/>
      <c r="J86" s="178">
        <f>SAÍDAS!$D86-SAÍDAS!$G86</f>
        <v>5</v>
      </c>
      <c r="K86" s="178">
        <f>SUMIFS(ENTRADAS!$E$7:$E$1002,ENTRADAS!$B$7:$B$1002,"&lt;=" &amp; SAÍDAS!$B86,ENTRADAS!$C$7:$C$1002,SAÍDAS!$C86)-SUMIFS(SAÍDAS!$J$7:$J$289,SAÍDAS!$B$7:$B$289,"&lt;=" &amp; SAÍDAS!$B86,SAÍDAS!$C$7:$C$289,SAÍDAS!$C86)</f>
        <v>11</v>
      </c>
      <c r="L86" s="179">
        <f t="shared" si="1"/>
        <v>0</v>
      </c>
      <c r="M86" s="170"/>
    </row>
    <row r="87" spans="1:13" ht="15.75" customHeight="1">
      <c r="A87" s="167"/>
      <c r="B87" s="173">
        <v>46050</v>
      </c>
      <c r="C87" s="174" t="s">
        <v>305</v>
      </c>
      <c r="D87" s="174">
        <v>3</v>
      </c>
      <c r="E87" s="174" t="s">
        <v>333</v>
      </c>
      <c r="F87" s="174"/>
      <c r="G87" s="185"/>
      <c r="H87" s="186"/>
      <c r="I87" s="177"/>
      <c r="J87" s="178">
        <f>SAÍDAS!$D87-SAÍDAS!$G87</f>
        <v>3</v>
      </c>
      <c r="K87" s="178">
        <f>SUMIFS(ENTRADAS!$E$7:$E$1002,ENTRADAS!$B$7:$B$1002,"&lt;=" &amp; SAÍDAS!$B87,ENTRADAS!$C$7:$C$1002,SAÍDAS!$C87)-SUMIFS(SAÍDAS!$J$7:$J$289,SAÍDAS!$B$7:$B$289,"&lt;=" &amp; SAÍDAS!$B87,SAÍDAS!$C$7:$C$289,SAÍDAS!$C87)</f>
        <v>1</v>
      </c>
      <c r="L87" s="179">
        <f t="shared" si="1"/>
        <v>0</v>
      </c>
      <c r="M87" s="170"/>
    </row>
    <row r="88" spans="1:13" ht="15.75" customHeight="1">
      <c r="A88" s="167"/>
      <c r="B88" s="173">
        <v>46051</v>
      </c>
      <c r="C88" s="174" t="s">
        <v>242</v>
      </c>
      <c r="D88" s="174">
        <v>1</v>
      </c>
      <c r="E88" s="174" t="s">
        <v>311</v>
      </c>
      <c r="F88" s="174"/>
      <c r="G88" s="185"/>
      <c r="H88" s="186"/>
      <c r="I88" s="177"/>
      <c r="J88" s="178">
        <f>SAÍDAS!$D88-SAÍDAS!$G88</f>
        <v>1</v>
      </c>
      <c r="K88" s="178">
        <f>SUMIFS(ENTRADAS!$E$7:$E$1002,ENTRADAS!$B$7:$B$1002,"&lt;=" &amp; SAÍDAS!$B88,ENTRADAS!$C$7:$C$1002,SAÍDAS!$C88)-SUMIFS(SAÍDAS!$J$7:$J$289,SAÍDAS!$B$7:$B$289,"&lt;=" &amp; SAÍDAS!$B88,SAÍDAS!$C$7:$C$289,SAÍDAS!$C88)</f>
        <v>2</v>
      </c>
      <c r="L88" s="179">
        <f t="shared" si="1"/>
        <v>0</v>
      </c>
      <c r="M88" s="170"/>
    </row>
    <row r="89" spans="1:13" ht="15.75" customHeight="1">
      <c r="A89" s="167"/>
      <c r="B89" s="173">
        <v>46051</v>
      </c>
      <c r="C89" s="174" t="s">
        <v>255</v>
      </c>
      <c r="D89" s="174">
        <v>2</v>
      </c>
      <c r="E89" s="174" t="s">
        <v>311</v>
      </c>
      <c r="F89" s="174"/>
      <c r="G89" s="185"/>
      <c r="H89" s="186"/>
      <c r="I89" s="177"/>
      <c r="J89" s="178">
        <f>SAÍDAS!$D89-SAÍDAS!$G89</f>
        <v>2</v>
      </c>
      <c r="K89" s="178">
        <f>SUMIFS(ENTRADAS!$E$7:$E$1002,ENTRADAS!$B$7:$B$1002,"&lt;=" &amp; SAÍDAS!$B89,ENTRADAS!$C$7:$C$1002,SAÍDAS!$C89)-SUMIFS(SAÍDAS!$J$7:$J$289,SAÍDAS!$B$7:$B$289,"&lt;=" &amp; SAÍDAS!$B89,SAÍDAS!$C$7:$C$289,SAÍDAS!$C89)</f>
        <v>17</v>
      </c>
      <c r="L89" s="179">
        <f t="shared" si="1"/>
        <v>0</v>
      </c>
      <c r="M89" s="170"/>
    </row>
    <row r="90" spans="1:13" ht="15.75" customHeight="1">
      <c r="A90" s="167"/>
      <c r="B90" s="173">
        <v>46051</v>
      </c>
      <c r="C90" s="174" t="s">
        <v>218</v>
      </c>
      <c r="D90" s="174">
        <v>4</v>
      </c>
      <c r="E90" s="174" t="s">
        <v>312</v>
      </c>
      <c r="F90" s="174"/>
      <c r="G90" s="185"/>
      <c r="H90" s="186"/>
      <c r="I90" s="177"/>
      <c r="J90" s="178">
        <f>SAÍDAS!$D90-SAÍDAS!$G90</f>
        <v>4</v>
      </c>
      <c r="K90" s="178">
        <f>SUMIFS(ENTRADAS!$E$7:$E$1002,ENTRADAS!$B$7:$B$1002,"&lt;=" &amp; SAÍDAS!$B90,ENTRADAS!$C$7:$C$1002,SAÍDAS!$C90)-SUMIFS(SAÍDAS!$J$7:$J$289,SAÍDAS!$B$7:$B$289,"&lt;=" &amp; SAÍDAS!$B90,SAÍDAS!$C$7:$C$289,SAÍDAS!$C90)</f>
        <v>24</v>
      </c>
      <c r="L90" s="179">
        <f t="shared" si="1"/>
        <v>0</v>
      </c>
      <c r="M90" s="170"/>
    </row>
    <row r="91" spans="1:13" ht="15.75" customHeight="1">
      <c r="A91" s="167"/>
      <c r="B91" s="173">
        <v>46051</v>
      </c>
      <c r="C91" s="174" t="s">
        <v>151</v>
      </c>
      <c r="D91" s="174">
        <v>2</v>
      </c>
      <c r="E91" s="174" t="s">
        <v>312</v>
      </c>
      <c r="F91" s="181"/>
      <c r="G91" s="185"/>
      <c r="H91" s="186"/>
      <c r="I91" s="177"/>
      <c r="J91" s="178">
        <f>SAÍDAS!$D91-SAÍDAS!$G91</f>
        <v>2</v>
      </c>
      <c r="K91" s="178">
        <f>SUMIFS(ENTRADAS!$E$7:$E$1002,ENTRADAS!$B$7:$B$1002,"&lt;=" &amp; SAÍDAS!$B91,ENTRADAS!$C$7:$C$1002,SAÍDAS!$C91)-SUMIFS(SAÍDAS!$J$7:$J$289,SAÍDAS!$B$7:$B$289,"&lt;=" &amp; SAÍDAS!$B91,SAÍDAS!$C$7:$C$289,SAÍDAS!$C91)</f>
        <v>21</v>
      </c>
      <c r="L91" s="179">
        <f t="shared" si="1"/>
        <v>0</v>
      </c>
      <c r="M91" s="170"/>
    </row>
    <row r="92" spans="1:13" ht="15.75" customHeight="1">
      <c r="A92" s="167"/>
      <c r="B92" s="173">
        <v>46051</v>
      </c>
      <c r="C92" s="174" t="s">
        <v>194</v>
      </c>
      <c r="D92" s="174">
        <v>1</v>
      </c>
      <c r="E92" s="174" t="s">
        <v>312</v>
      </c>
      <c r="F92" s="174"/>
      <c r="G92" s="185"/>
      <c r="H92" s="186"/>
      <c r="I92" s="177"/>
      <c r="J92" s="178">
        <f>SAÍDAS!$D92-SAÍDAS!$G92</f>
        <v>1</v>
      </c>
      <c r="K92" s="178">
        <f>SUMIFS(ENTRADAS!$E$7:$E$1002,ENTRADAS!$B$7:$B$1002,"&lt;=" &amp; SAÍDAS!$B92,ENTRADAS!$C$7:$C$1002,SAÍDAS!$C92)-SUMIFS(SAÍDAS!$J$7:$J$289,SAÍDAS!$B$7:$B$289,"&lt;=" &amp; SAÍDAS!$B92,SAÍDAS!$C$7:$C$289,SAÍDAS!$C92)</f>
        <v>37</v>
      </c>
      <c r="L92" s="179">
        <f t="shared" si="1"/>
        <v>0</v>
      </c>
      <c r="M92" s="170"/>
    </row>
    <row r="93" spans="1:13" ht="15.75" customHeight="1">
      <c r="A93" s="167"/>
      <c r="B93" s="173">
        <v>46051</v>
      </c>
      <c r="C93" s="174" t="s">
        <v>164</v>
      </c>
      <c r="D93" s="174">
        <v>1</v>
      </c>
      <c r="E93" s="174" t="s">
        <v>312</v>
      </c>
      <c r="F93" s="174"/>
      <c r="G93" s="185"/>
      <c r="H93" s="186"/>
      <c r="I93" s="177"/>
      <c r="J93" s="178">
        <f>SAÍDAS!$D93-SAÍDAS!$G93</f>
        <v>1</v>
      </c>
      <c r="K93" s="178">
        <f>SUMIFS(ENTRADAS!$E$7:$E$1002,ENTRADAS!$B$7:$B$1002,"&lt;=" &amp; SAÍDAS!$B93,ENTRADAS!$C$7:$C$1002,SAÍDAS!$C93)-SUMIFS(SAÍDAS!$J$7:$J$289,SAÍDAS!$B$7:$B$289,"&lt;=" &amp; SAÍDAS!$B93,SAÍDAS!$C$7:$C$289,SAÍDAS!$C93)</f>
        <v>5</v>
      </c>
      <c r="L93" s="179">
        <f t="shared" si="1"/>
        <v>0</v>
      </c>
      <c r="M93" s="170"/>
    </row>
    <row r="94" spans="1:13" ht="15.75" customHeight="1">
      <c r="A94" s="167"/>
      <c r="B94" s="173">
        <v>46051</v>
      </c>
      <c r="C94" s="174" t="s">
        <v>113</v>
      </c>
      <c r="D94" s="174">
        <v>1</v>
      </c>
      <c r="E94" s="174" t="s">
        <v>312</v>
      </c>
      <c r="F94" s="174"/>
      <c r="G94" s="185"/>
      <c r="H94" s="186"/>
      <c r="I94" s="177"/>
      <c r="J94" s="178">
        <f>SAÍDAS!$D94-SAÍDAS!$G94</f>
        <v>1</v>
      </c>
      <c r="K94" s="178">
        <f>SUMIFS(ENTRADAS!$E$7:$E$1002,ENTRADAS!$B$7:$B$1002,"&lt;=" &amp; SAÍDAS!$B94,ENTRADAS!$C$7:$C$1002,SAÍDAS!$C94)-SUMIFS(SAÍDAS!$J$7:$J$289,SAÍDAS!$B$7:$B$289,"&lt;=" &amp; SAÍDAS!$B94,SAÍDAS!$C$7:$C$289,SAÍDAS!$C94)</f>
        <v>2</v>
      </c>
      <c r="L94" s="179">
        <f t="shared" si="1"/>
        <v>0</v>
      </c>
      <c r="M94" s="170"/>
    </row>
    <row r="95" spans="1:13" ht="15.75" customHeight="1">
      <c r="A95" s="167"/>
      <c r="B95" s="173">
        <v>46051</v>
      </c>
      <c r="C95" s="174" t="s">
        <v>264</v>
      </c>
      <c r="D95" s="174">
        <v>1</v>
      </c>
      <c r="E95" s="174" t="s">
        <v>312</v>
      </c>
      <c r="F95" s="174"/>
      <c r="G95" s="185"/>
      <c r="H95" s="186"/>
      <c r="I95" s="177"/>
      <c r="J95" s="178">
        <f>SAÍDAS!$D95-SAÍDAS!$G95</f>
        <v>1</v>
      </c>
      <c r="K95" s="178">
        <f>SUMIFS(ENTRADAS!$E$7:$E$1002,ENTRADAS!$B$7:$B$1002,"&lt;=" &amp; SAÍDAS!$B95,ENTRADAS!$C$7:$C$1002,SAÍDAS!$C95)-SUMIFS(SAÍDAS!$J$7:$J$289,SAÍDAS!$B$7:$B$289,"&lt;=" &amp; SAÍDAS!$B95,SAÍDAS!$C$7:$C$289,SAÍDAS!$C95)</f>
        <v>4</v>
      </c>
      <c r="L95" s="179">
        <f t="shared" si="1"/>
        <v>0</v>
      </c>
      <c r="M95" s="170"/>
    </row>
    <row r="96" spans="1:13" ht="15.75" customHeight="1">
      <c r="A96" s="167"/>
      <c r="B96" s="173">
        <v>46051</v>
      </c>
      <c r="C96" s="174" t="s">
        <v>224</v>
      </c>
      <c r="D96" s="174">
        <v>1</v>
      </c>
      <c r="E96" s="174" t="s">
        <v>312</v>
      </c>
      <c r="F96" s="174"/>
      <c r="G96" s="185"/>
      <c r="H96" s="186"/>
      <c r="I96" s="177"/>
      <c r="J96" s="178">
        <f>SAÍDAS!$D96-SAÍDAS!$G96</f>
        <v>1</v>
      </c>
      <c r="K96" s="178">
        <f>SUMIFS(ENTRADAS!$E$7:$E$1002,ENTRADAS!$B$7:$B$1002,"&lt;=" &amp; SAÍDAS!$B96,ENTRADAS!$C$7:$C$1002,SAÍDAS!$C96)-SUMIFS(SAÍDAS!$J$7:$J$289,SAÍDAS!$B$7:$B$289,"&lt;=" &amp; SAÍDAS!$B96,SAÍDAS!$C$7:$C$289,SAÍDAS!$C96)</f>
        <v>6</v>
      </c>
      <c r="L96" s="179">
        <f t="shared" si="1"/>
        <v>0</v>
      </c>
      <c r="M96" s="170"/>
    </row>
    <row r="97" spans="1:13" ht="15.75" customHeight="1">
      <c r="A97" s="167"/>
      <c r="B97" s="173">
        <v>46051</v>
      </c>
      <c r="C97" s="174" t="s">
        <v>169</v>
      </c>
      <c r="D97" s="174">
        <v>1</v>
      </c>
      <c r="E97" s="174" t="s">
        <v>312</v>
      </c>
      <c r="F97" s="174"/>
      <c r="G97" s="185"/>
      <c r="H97" s="186"/>
      <c r="I97" s="177"/>
      <c r="J97" s="178">
        <f>SAÍDAS!$D97-SAÍDAS!$G97</f>
        <v>1</v>
      </c>
      <c r="K97" s="178">
        <f>SUMIFS(ENTRADAS!$E$7:$E$1002,ENTRADAS!$B$7:$B$1002,"&lt;=" &amp; SAÍDAS!$B97,ENTRADAS!$C$7:$C$1002,SAÍDAS!$C97)-SUMIFS(SAÍDAS!$J$7:$J$289,SAÍDAS!$B$7:$B$289,"&lt;=" &amp; SAÍDAS!$B97,SAÍDAS!$C$7:$C$289,SAÍDAS!$C97)</f>
        <v>15</v>
      </c>
      <c r="L97" s="179">
        <f t="shared" si="1"/>
        <v>0</v>
      </c>
      <c r="M97" s="170"/>
    </row>
    <row r="98" spans="1:13" ht="15.75" customHeight="1">
      <c r="A98" s="167"/>
      <c r="B98" s="173">
        <v>46051</v>
      </c>
      <c r="C98" s="174" t="s">
        <v>125</v>
      </c>
      <c r="D98" s="174">
        <v>2</v>
      </c>
      <c r="E98" s="174" t="s">
        <v>312</v>
      </c>
      <c r="F98" s="174"/>
      <c r="G98" s="185"/>
      <c r="H98" s="186"/>
      <c r="I98" s="177"/>
      <c r="J98" s="178">
        <f>SAÍDAS!$D98-SAÍDAS!$G98</f>
        <v>2</v>
      </c>
      <c r="K98" s="178">
        <f>SUMIFS(ENTRADAS!$E$7:$E$1002,ENTRADAS!$B$7:$B$1002,"&lt;=" &amp; SAÍDAS!$B98,ENTRADAS!$C$7:$C$1002,SAÍDAS!$C98)-SUMIFS(SAÍDAS!$J$7:$J$289,SAÍDAS!$B$7:$B$289,"&lt;=" &amp; SAÍDAS!$B98,SAÍDAS!$C$7:$C$289,SAÍDAS!$C98)</f>
        <v>5</v>
      </c>
      <c r="L98" s="179">
        <f t="shared" si="1"/>
        <v>0</v>
      </c>
      <c r="M98" s="170"/>
    </row>
    <row r="99" spans="1:13" ht="15.75" customHeight="1">
      <c r="A99" s="167"/>
      <c r="B99" s="173">
        <v>46051</v>
      </c>
      <c r="C99" s="174" t="s">
        <v>212</v>
      </c>
      <c r="D99" s="174">
        <v>1</v>
      </c>
      <c r="E99" s="174" t="s">
        <v>312</v>
      </c>
      <c r="F99" s="174"/>
      <c r="G99" s="185"/>
      <c r="H99" s="186"/>
      <c r="I99" s="177"/>
      <c r="J99" s="178">
        <f>SAÍDAS!$D99-SAÍDAS!$G99</f>
        <v>1</v>
      </c>
      <c r="K99" s="178">
        <f>SUMIFS(ENTRADAS!$E$7:$E$1002,ENTRADAS!$B$7:$B$1002,"&lt;=" &amp; SAÍDAS!$B99,ENTRADAS!$C$7:$C$1002,SAÍDAS!$C99)-SUMIFS(SAÍDAS!$J$7:$J$289,SAÍDAS!$B$7:$B$289,"&lt;=" &amp; SAÍDAS!$B99,SAÍDAS!$C$7:$C$289,SAÍDAS!$C99)</f>
        <v>3</v>
      </c>
      <c r="L99" s="179">
        <f t="shared" si="1"/>
        <v>0</v>
      </c>
      <c r="M99" s="170"/>
    </row>
    <row r="100" spans="1:13" ht="15.75" customHeight="1">
      <c r="A100" s="167"/>
      <c r="B100" s="173">
        <v>46051</v>
      </c>
      <c r="C100" s="176" t="s">
        <v>102</v>
      </c>
      <c r="D100" s="174">
        <v>2</v>
      </c>
      <c r="E100" s="174" t="s">
        <v>312</v>
      </c>
      <c r="F100" s="174"/>
      <c r="G100" s="185"/>
      <c r="H100" s="186"/>
      <c r="I100" s="177"/>
      <c r="J100" s="178">
        <f>SAÍDAS!$D100-SAÍDAS!$G100</f>
        <v>2</v>
      </c>
      <c r="K100" s="178">
        <f>SUMIFS(ENTRADAS!$E$7:$E$1002,ENTRADAS!$B$7:$B$1002,"&lt;=" &amp; SAÍDAS!$B100,ENTRADAS!$C$7:$C$1002,SAÍDAS!$C100)-SUMIFS(SAÍDAS!$J$7:$J$289,SAÍDAS!$B$7:$B$289,"&lt;=" &amp; SAÍDAS!$B100,SAÍDAS!$C$7:$C$289,SAÍDAS!$C100)</f>
        <v>115</v>
      </c>
      <c r="L100" s="179">
        <f t="shared" si="1"/>
        <v>0</v>
      </c>
      <c r="M100" s="170"/>
    </row>
    <row r="101" spans="1:13" ht="15.75" customHeight="1">
      <c r="A101" s="167"/>
      <c r="B101" s="173">
        <v>46051</v>
      </c>
      <c r="C101" s="176" t="s">
        <v>103</v>
      </c>
      <c r="D101" s="174">
        <v>4</v>
      </c>
      <c r="E101" s="174" t="s">
        <v>312</v>
      </c>
      <c r="F101" s="174"/>
      <c r="G101" s="185"/>
      <c r="H101" s="186"/>
      <c r="I101" s="177"/>
      <c r="J101" s="178">
        <f>SAÍDAS!$D101-SAÍDAS!$G101</f>
        <v>4</v>
      </c>
      <c r="K101" s="178">
        <f>SUMIFS(ENTRADAS!$E$7:$E$1002,ENTRADAS!$B$7:$B$1002,"&lt;=" &amp; SAÍDAS!$B101,ENTRADAS!$C$7:$C$1002,SAÍDAS!$C101)-SUMIFS(SAÍDAS!$J$7:$J$289,SAÍDAS!$B$7:$B$289,"&lt;=" &amp; SAÍDAS!$B101,SAÍDAS!$C$7:$C$289,SAÍDAS!$C101)</f>
        <v>139</v>
      </c>
      <c r="L101" s="179">
        <f t="shared" si="1"/>
        <v>0</v>
      </c>
      <c r="M101" s="170"/>
    </row>
    <row r="102" spans="1:13" ht="15.75" customHeight="1">
      <c r="A102" s="167"/>
      <c r="B102" s="173">
        <v>46051</v>
      </c>
      <c r="C102" s="182" t="s">
        <v>104</v>
      </c>
      <c r="D102" s="174">
        <v>3</v>
      </c>
      <c r="E102" s="174" t="s">
        <v>312</v>
      </c>
      <c r="F102" s="181"/>
      <c r="G102" s="185"/>
      <c r="H102" s="186"/>
      <c r="I102" s="177"/>
      <c r="J102" s="178">
        <f>SAÍDAS!$D102-SAÍDAS!$G102</f>
        <v>3</v>
      </c>
      <c r="K102" s="178">
        <f>SUMIFS(ENTRADAS!$E$7:$E$1002,ENTRADAS!$B$7:$B$1002,"&lt;=" &amp; SAÍDAS!$B102,ENTRADAS!$C$7:$C$1002,SAÍDAS!$C102)-SUMIFS(SAÍDAS!$J$7:$J$289,SAÍDAS!$B$7:$B$289,"&lt;=" &amp; SAÍDAS!$B102,SAÍDAS!$C$7:$C$289,SAÍDAS!$C102)</f>
        <v>33</v>
      </c>
      <c r="L102" s="179">
        <f t="shared" si="1"/>
        <v>0</v>
      </c>
      <c r="M102" s="170"/>
    </row>
    <row r="103" spans="1:13" ht="15.75" customHeight="1">
      <c r="A103" s="167"/>
      <c r="B103" s="173">
        <v>46052</v>
      </c>
      <c r="C103" s="174" t="s">
        <v>106</v>
      </c>
      <c r="D103" s="174">
        <v>1</v>
      </c>
      <c r="E103" s="174" t="s">
        <v>312</v>
      </c>
      <c r="F103" s="174"/>
      <c r="G103" s="185"/>
      <c r="H103" s="186"/>
      <c r="I103" s="177"/>
      <c r="J103" s="178">
        <f>SAÍDAS!$D103-SAÍDAS!$G103</f>
        <v>1</v>
      </c>
      <c r="K103" s="178">
        <f>SUMIFS(ENTRADAS!$E$7:$E$1002,ENTRADAS!$B$7:$B$1002,"&lt;=" &amp; SAÍDAS!$B103,ENTRADAS!$C$7:$C$1002,SAÍDAS!$C103)-SUMIFS(SAÍDAS!$J$7:$J$289,SAÍDAS!$B$7:$B$289,"&lt;=" &amp; SAÍDAS!$B103,SAÍDAS!$C$7:$C$289,SAÍDAS!$C103)</f>
        <v>7</v>
      </c>
      <c r="L103" s="179">
        <f t="shared" si="1"/>
        <v>0</v>
      </c>
      <c r="M103" s="170"/>
    </row>
    <row r="104" spans="1:13" ht="15.75" customHeight="1">
      <c r="A104" s="167"/>
      <c r="B104" s="173">
        <v>46052</v>
      </c>
      <c r="C104" s="174" t="s">
        <v>109</v>
      </c>
      <c r="D104" s="174">
        <v>1</v>
      </c>
      <c r="E104" s="174" t="s">
        <v>312</v>
      </c>
      <c r="F104" s="174"/>
      <c r="G104" s="185"/>
      <c r="H104" s="186"/>
      <c r="I104" s="177"/>
      <c r="J104" s="178">
        <f>SAÍDAS!$D104-SAÍDAS!$G104</f>
        <v>1</v>
      </c>
      <c r="K104" s="178">
        <f>SUMIFS(ENTRADAS!$E$7:$E$1002,ENTRADAS!$B$7:$B$1002,"&lt;=" &amp; SAÍDAS!$B104,ENTRADAS!$C$7:$C$1002,SAÍDAS!$C104)-SUMIFS(SAÍDAS!$J$7:$J$289,SAÍDAS!$B$7:$B$289,"&lt;=" &amp; SAÍDAS!$B104,SAÍDAS!$C$7:$C$289,SAÍDAS!$C104)</f>
        <v>41</v>
      </c>
      <c r="L104" s="179">
        <f t="shared" si="1"/>
        <v>0</v>
      </c>
      <c r="M104" s="170"/>
    </row>
    <row r="105" spans="1:13" ht="15.75" customHeight="1">
      <c r="A105" s="167"/>
      <c r="B105" s="173">
        <v>46052</v>
      </c>
      <c r="C105" s="174" t="s">
        <v>110</v>
      </c>
      <c r="D105" s="174">
        <v>1</v>
      </c>
      <c r="E105" s="174" t="s">
        <v>312</v>
      </c>
      <c r="F105" s="174"/>
      <c r="G105" s="185"/>
      <c r="H105" s="186"/>
      <c r="I105" s="177"/>
      <c r="J105" s="178">
        <f>SAÍDAS!$D105-SAÍDAS!$G105</f>
        <v>1</v>
      </c>
      <c r="K105" s="178">
        <f>SUMIFS(ENTRADAS!$E$7:$E$1002,ENTRADAS!$B$7:$B$1002,"&lt;=" &amp; SAÍDAS!$B105,ENTRADAS!$C$7:$C$1002,SAÍDAS!$C105)-SUMIFS(SAÍDAS!$J$7:$J$289,SAÍDAS!$B$7:$B$289,"&lt;=" &amp; SAÍDAS!$B105,SAÍDAS!$C$7:$C$289,SAÍDAS!$C105)</f>
        <v>28</v>
      </c>
      <c r="L105" s="179">
        <f t="shared" si="1"/>
        <v>0</v>
      </c>
      <c r="M105" s="170"/>
    </row>
    <row r="106" spans="1:13" ht="15.75" customHeight="1">
      <c r="A106" s="167"/>
      <c r="B106" s="173">
        <v>46052</v>
      </c>
      <c r="C106" s="174" t="s">
        <v>103</v>
      </c>
      <c r="D106" s="174">
        <v>2</v>
      </c>
      <c r="E106" s="174" t="s">
        <v>312</v>
      </c>
      <c r="F106" s="174"/>
      <c r="G106" s="185"/>
      <c r="H106" s="186"/>
      <c r="I106" s="177"/>
      <c r="J106" s="178">
        <f>SAÍDAS!$D106-SAÍDAS!$G106</f>
        <v>2</v>
      </c>
      <c r="K106" s="178">
        <f>SUMIFS(ENTRADAS!$E$7:$E$1002,ENTRADAS!$B$7:$B$1002,"&lt;=" &amp; SAÍDAS!$B106,ENTRADAS!$C$7:$C$1002,SAÍDAS!$C106)-SUMIFS(SAÍDAS!$J$7:$J$289,SAÍDAS!$B$7:$B$289,"&lt;=" &amp; SAÍDAS!$B106,SAÍDAS!$C$7:$C$289,SAÍDAS!$C106)</f>
        <v>137</v>
      </c>
      <c r="L106" s="179">
        <f t="shared" si="1"/>
        <v>0</v>
      </c>
      <c r="M106" s="170"/>
    </row>
    <row r="107" spans="1:13" ht="15.75" customHeight="1">
      <c r="A107" s="167"/>
      <c r="B107" s="173">
        <v>46052</v>
      </c>
      <c r="C107" s="176" t="s">
        <v>104</v>
      </c>
      <c r="D107" s="174">
        <v>1</v>
      </c>
      <c r="E107" s="174" t="s">
        <v>312</v>
      </c>
      <c r="F107" s="174"/>
      <c r="G107" s="185"/>
      <c r="H107" s="186"/>
      <c r="I107" s="177"/>
      <c r="J107" s="178">
        <f>SAÍDAS!$D107-SAÍDAS!$G107</f>
        <v>1</v>
      </c>
      <c r="K107" s="178">
        <f>SUMIFS(ENTRADAS!$E$7:$E$1002,ENTRADAS!$B$7:$B$1002,"&lt;=" &amp; SAÍDAS!$B107,ENTRADAS!$C$7:$C$1002,SAÍDAS!$C107)-SUMIFS(SAÍDAS!$J$7:$J$289,SAÍDAS!$B$7:$B$289,"&lt;=" &amp; SAÍDAS!$B107,SAÍDAS!$C$7:$C$289,SAÍDAS!$C107)</f>
        <v>32</v>
      </c>
      <c r="L107" s="179">
        <f t="shared" si="1"/>
        <v>0</v>
      </c>
      <c r="M107" s="170"/>
    </row>
    <row r="108" spans="1:13" ht="15.75" customHeight="1">
      <c r="A108" s="167"/>
      <c r="B108" s="173">
        <v>46052</v>
      </c>
      <c r="C108" s="182" t="s">
        <v>151</v>
      </c>
      <c r="D108" s="174">
        <v>1</v>
      </c>
      <c r="E108" s="174" t="s">
        <v>312</v>
      </c>
      <c r="F108" s="174"/>
      <c r="G108" s="185"/>
      <c r="H108" s="186"/>
      <c r="I108" s="177"/>
      <c r="J108" s="178">
        <f>SAÍDAS!$D108-SAÍDAS!$G108</f>
        <v>1</v>
      </c>
      <c r="K108" s="178">
        <f>SUMIFS(ENTRADAS!$E$7:$E$1002,ENTRADAS!$B$7:$B$1002,"&lt;=" &amp; SAÍDAS!$B108,ENTRADAS!$C$7:$C$1002,SAÍDAS!$C108)-SUMIFS(SAÍDAS!$J$7:$J$289,SAÍDAS!$B$7:$B$289,"&lt;=" &amp; SAÍDAS!$B108,SAÍDAS!$C$7:$C$289,SAÍDAS!$C108)</f>
        <v>20</v>
      </c>
      <c r="L108" s="179">
        <f t="shared" si="1"/>
        <v>0</v>
      </c>
      <c r="M108" s="170"/>
    </row>
    <row r="109" spans="1:13" ht="15.75" customHeight="1">
      <c r="A109" s="167"/>
      <c r="B109" s="173">
        <v>46052</v>
      </c>
      <c r="C109" s="174" t="s">
        <v>207</v>
      </c>
      <c r="D109" s="174">
        <v>1</v>
      </c>
      <c r="E109" s="174" t="s">
        <v>312</v>
      </c>
      <c r="F109" s="174"/>
      <c r="G109" s="185"/>
      <c r="H109" s="186"/>
      <c r="I109" s="177"/>
      <c r="J109" s="178">
        <f>SAÍDAS!$D109-SAÍDAS!$G109</f>
        <v>1</v>
      </c>
      <c r="K109" s="178">
        <f>SUMIFS(ENTRADAS!$E$7:$E$1002,ENTRADAS!$B$7:$B$1002,"&lt;=" &amp; SAÍDAS!$B109,ENTRADAS!$C$7:$C$1002,SAÍDAS!$C109)-SUMIFS(SAÍDAS!$J$7:$J$289,SAÍDAS!$B$7:$B$289,"&lt;=" &amp; SAÍDAS!$B109,SAÍDAS!$C$7:$C$289,SAÍDAS!$C109)</f>
        <v>8</v>
      </c>
      <c r="L109" s="179">
        <f t="shared" si="1"/>
        <v>0</v>
      </c>
      <c r="M109" s="170"/>
    </row>
    <row r="110" spans="1:13" ht="15.75" customHeight="1">
      <c r="A110" s="167"/>
      <c r="B110" s="173">
        <v>46052</v>
      </c>
      <c r="C110" s="174" t="s">
        <v>209</v>
      </c>
      <c r="D110" s="174">
        <v>1</v>
      </c>
      <c r="E110" s="174" t="s">
        <v>312</v>
      </c>
      <c r="F110" s="181"/>
      <c r="G110" s="185"/>
      <c r="H110" s="186"/>
      <c r="I110" s="177"/>
      <c r="J110" s="178">
        <f>SAÍDAS!$D110-SAÍDAS!$G110</f>
        <v>1</v>
      </c>
      <c r="K110" s="178">
        <f>SUMIFS(ENTRADAS!$E$7:$E$1002,ENTRADAS!$B$7:$B$1002,"&lt;=" &amp; SAÍDAS!$B110,ENTRADAS!$C$7:$C$1002,SAÍDAS!$C110)-SUMIFS(SAÍDAS!$J$7:$J$289,SAÍDAS!$B$7:$B$289,"&lt;=" &amp; SAÍDAS!$B110,SAÍDAS!$C$7:$C$289,SAÍDAS!$C110)</f>
        <v>7</v>
      </c>
      <c r="L110" s="179">
        <f t="shared" si="1"/>
        <v>0</v>
      </c>
      <c r="M110" s="170"/>
    </row>
    <row r="111" spans="1:13" ht="15.75" customHeight="1">
      <c r="A111" s="167"/>
      <c r="B111" s="173">
        <v>46052</v>
      </c>
      <c r="C111" s="174" t="s">
        <v>119</v>
      </c>
      <c r="D111" s="174">
        <v>1</v>
      </c>
      <c r="E111" s="174" t="s">
        <v>312</v>
      </c>
      <c r="F111" s="181"/>
      <c r="G111" s="185"/>
      <c r="H111" s="186"/>
      <c r="I111" s="177"/>
      <c r="J111" s="178">
        <f>SAÍDAS!$D111-SAÍDAS!$G111</f>
        <v>1</v>
      </c>
      <c r="K111" s="178">
        <f>SUMIFS(ENTRADAS!$E$7:$E$1002,ENTRADAS!$B$7:$B$1002,"&lt;=" &amp; SAÍDAS!$B111,ENTRADAS!$C$7:$C$1002,SAÍDAS!$C111)-SUMIFS(SAÍDAS!$J$7:$J$289,SAÍDAS!$B$7:$B$289,"&lt;=" &amp; SAÍDAS!$B111,SAÍDAS!$C$7:$C$289,SAÍDAS!$C111)</f>
        <v>7</v>
      </c>
      <c r="L111" s="179">
        <f t="shared" si="1"/>
        <v>0</v>
      </c>
      <c r="M111" s="170"/>
    </row>
    <row r="112" spans="1:13" ht="15.75" customHeight="1">
      <c r="A112" s="167"/>
      <c r="B112" s="173">
        <v>46052</v>
      </c>
      <c r="C112" s="174" t="s">
        <v>120</v>
      </c>
      <c r="D112" s="174">
        <v>1</v>
      </c>
      <c r="E112" s="174" t="s">
        <v>312</v>
      </c>
      <c r="F112" s="181"/>
      <c r="G112" s="185"/>
      <c r="H112" s="186"/>
      <c r="I112" s="177"/>
      <c r="J112" s="178">
        <f>SAÍDAS!$D112-SAÍDAS!$G112</f>
        <v>1</v>
      </c>
      <c r="K112" s="178">
        <f>SUMIFS(ENTRADAS!$E$7:$E$1002,ENTRADAS!$B$7:$B$1002,"&lt;=" &amp; SAÍDAS!$B112,ENTRADAS!$C$7:$C$1002,SAÍDAS!$C112)-SUMIFS(SAÍDAS!$J$7:$J$289,SAÍDAS!$B$7:$B$289,"&lt;=" &amp; SAÍDAS!$B112,SAÍDAS!$C$7:$C$289,SAÍDAS!$C112)</f>
        <v>8</v>
      </c>
      <c r="L112" s="179">
        <f t="shared" si="1"/>
        <v>0</v>
      </c>
      <c r="M112" s="170"/>
    </row>
    <row r="113" spans="1:13" ht="15.75" customHeight="1">
      <c r="A113" s="167"/>
      <c r="B113" s="173">
        <v>46052</v>
      </c>
      <c r="C113" s="174" t="s">
        <v>195</v>
      </c>
      <c r="D113" s="174">
        <v>1</v>
      </c>
      <c r="E113" s="174" t="s">
        <v>312</v>
      </c>
      <c r="F113" s="174"/>
      <c r="G113" s="185"/>
      <c r="H113" s="186"/>
      <c r="I113" s="177"/>
      <c r="J113" s="178">
        <f>SAÍDAS!$D113-SAÍDAS!$G113</f>
        <v>1</v>
      </c>
      <c r="K113" s="178">
        <f>SUMIFS(ENTRADAS!$E$7:$E$1002,ENTRADAS!$B$7:$B$1002,"&lt;=" &amp; SAÍDAS!$B113,ENTRADAS!$C$7:$C$1002,SAÍDAS!$C113)-SUMIFS(SAÍDAS!$J$7:$J$289,SAÍDAS!$B$7:$B$289,"&lt;=" &amp; SAÍDAS!$B113,SAÍDAS!$C$7:$C$289,SAÍDAS!$C113)</f>
        <v>6</v>
      </c>
      <c r="L113" s="179">
        <f t="shared" si="1"/>
        <v>0</v>
      </c>
      <c r="M113" s="170"/>
    </row>
    <row r="114" spans="1:13" ht="15.75" customHeight="1">
      <c r="A114" s="167"/>
      <c r="B114" s="173">
        <v>46052</v>
      </c>
      <c r="C114" s="174" t="s">
        <v>184</v>
      </c>
      <c r="D114" s="174">
        <v>1</v>
      </c>
      <c r="E114" s="174" t="s">
        <v>312</v>
      </c>
      <c r="F114" s="181"/>
      <c r="G114" s="185"/>
      <c r="H114" s="186"/>
      <c r="I114" s="177"/>
      <c r="J114" s="178">
        <f>SAÍDAS!$D114-SAÍDAS!$G114</f>
        <v>1</v>
      </c>
      <c r="K114" s="178">
        <f>SUMIFS(ENTRADAS!$E$7:$E$1002,ENTRADAS!$B$7:$B$1002,"&lt;=" &amp; SAÍDAS!$B114,ENTRADAS!$C$7:$C$1002,SAÍDAS!$C114)-SUMIFS(SAÍDAS!$J$7:$J$289,SAÍDAS!$B$7:$B$289,"&lt;=" &amp; SAÍDAS!$B114,SAÍDAS!$C$7:$C$289,SAÍDAS!$C114)</f>
        <v>3</v>
      </c>
      <c r="L114" s="179">
        <f t="shared" si="1"/>
        <v>0</v>
      </c>
      <c r="M114" s="170"/>
    </row>
    <row r="115" spans="1:13" ht="15.75" customHeight="1">
      <c r="A115" s="167"/>
      <c r="B115" s="173">
        <v>46052</v>
      </c>
      <c r="C115" s="174" t="s">
        <v>178</v>
      </c>
      <c r="D115" s="174">
        <v>1</v>
      </c>
      <c r="E115" s="174" t="s">
        <v>312</v>
      </c>
      <c r="F115" s="181"/>
      <c r="G115" s="185"/>
      <c r="H115" s="186"/>
      <c r="I115" s="177"/>
      <c r="J115" s="178">
        <f>SAÍDAS!$D115-SAÍDAS!$G115</f>
        <v>1</v>
      </c>
      <c r="K115" s="178">
        <f>SUMIFS(ENTRADAS!$E$7:$E$1002,ENTRADAS!$B$7:$B$1002,"&lt;=" &amp; SAÍDAS!$B115,ENTRADAS!$C$7:$C$1002,SAÍDAS!$C115)-SUMIFS(SAÍDAS!$J$7:$J$289,SAÍDAS!$B$7:$B$289,"&lt;=" &amp; SAÍDAS!$B115,SAÍDAS!$C$7:$C$289,SAÍDAS!$C115)</f>
        <v>11</v>
      </c>
      <c r="L115" s="179">
        <f t="shared" si="1"/>
        <v>0</v>
      </c>
      <c r="M115" s="170"/>
    </row>
    <row r="116" spans="1:13" ht="15.75" customHeight="1">
      <c r="A116" s="167"/>
      <c r="B116" s="173">
        <v>46052</v>
      </c>
      <c r="C116" s="174" t="s">
        <v>94</v>
      </c>
      <c r="D116" s="174">
        <v>1</v>
      </c>
      <c r="E116" s="174" t="s">
        <v>312</v>
      </c>
      <c r="F116" s="174"/>
      <c r="G116" s="185"/>
      <c r="H116" s="186"/>
      <c r="I116" s="177"/>
      <c r="J116" s="178">
        <f>SAÍDAS!$D116-SAÍDAS!$G116</f>
        <v>1</v>
      </c>
      <c r="K116" s="178">
        <f>SUMIFS(ENTRADAS!$E$7:$E$1002,ENTRADAS!$B$7:$B$1002,"&lt;=" &amp; SAÍDAS!$B116,ENTRADAS!$C$7:$C$1002,SAÍDAS!$C116)-SUMIFS(SAÍDAS!$J$7:$J$289,SAÍDAS!$B$7:$B$289,"&lt;=" &amp; SAÍDAS!$B116,SAÍDAS!$C$7:$C$289,SAÍDAS!$C116)</f>
        <v>25</v>
      </c>
      <c r="L116" s="179">
        <f t="shared" si="1"/>
        <v>0</v>
      </c>
      <c r="M116" s="170"/>
    </row>
    <row r="117" spans="1:13" ht="15.75" customHeight="1">
      <c r="A117" s="167"/>
      <c r="B117" s="173">
        <v>46052</v>
      </c>
      <c r="C117" s="174" t="s">
        <v>232</v>
      </c>
      <c r="D117" s="174">
        <v>2</v>
      </c>
      <c r="E117" s="174" t="s">
        <v>311</v>
      </c>
      <c r="F117" s="174"/>
      <c r="G117" s="185"/>
      <c r="H117" s="186"/>
      <c r="I117" s="177"/>
      <c r="J117" s="178">
        <f>SAÍDAS!$D117-SAÍDAS!$G117</f>
        <v>2</v>
      </c>
      <c r="K117" s="178">
        <f>SUMIFS(ENTRADAS!$E$7:$E$1002,ENTRADAS!$B$7:$B$1002,"&lt;=" &amp; SAÍDAS!$B117,ENTRADAS!$C$7:$C$1002,SAÍDAS!$C117)-SUMIFS(SAÍDAS!$J$7:$J$289,SAÍDAS!$B$7:$B$289,"&lt;=" &amp; SAÍDAS!$B117,SAÍDAS!$C$7:$C$289,SAÍDAS!$C117)</f>
        <v>14</v>
      </c>
      <c r="L117" s="179">
        <f t="shared" si="1"/>
        <v>0</v>
      </c>
      <c r="M117" s="170"/>
    </row>
    <row r="118" spans="1:13" ht="15.75" customHeight="1">
      <c r="A118" s="167"/>
      <c r="B118" s="173">
        <v>46052</v>
      </c>
      <c r="C118" s="174" t="s">
        <v>233</v>
      </c>
      <c r="D118" s="174">
        <v>4</v>
      </c>
      <c r="E118" s="174" t="s">
        <v>311</v>
      </c>
      <c r="F118" s="174"/>
      <c r="G118" s="185"/>
      <c r="H118" s="186"/>
      <c r="I118" s="177"/>
      <c r="J118" s="178">
        <f>SAÍDAS!$D118-SAÍDAS!$G118</f>
        <v>4</v>
      </c>
      <c r="K118" s="178">
        <f>SUMIFS(ENTRADAS!$E$7:$E$1002,ENTRADAS!$B$7:$B$1002,"&lt;=" &amp; SAÍDAS!$B118,ENTRADAS!$C$7:$C$1002,SAÍDAS!$C118)-SUMIFS(SAÍDAS!$J$7:$J$289,SAÍDAS!$B$7:$B$289,"&lt;=" &amp; SAÍDAS!$B118,SAÍDAS!$C$7:$C$289,SAÍDAS!$C118)</f>
        <v>71</v>
      </c>
      <c r="L118" s="179">
        <f t="shared" si="1"/>
        <v>0</v>
      </c>
      <c r="M118" s="170"/>
    </row>
    <row r="119" spans="1:13" ht="15.75" customHeight="1">
      <c r="A119" s="167"/>
      <c r="B119" s="173">
        <v>46052</v>
      </c>
      <c r="C119" s="174" t="s">
        <v>237</v>
      </c>
      <c r="D119" s="174">
        <v>4</v>
      </c>
      <c r="E119" s="174" t="s">
        <v>311</v>
      </c>
      <c r="F119" s="174"/>
      <c r="G119" s="185"/>
      <c r="H119" s="186"/>
      <c r="I119" s="177"/>
      <c r="J119" s="178">
        <f>SAÍDAS!$D119-SAÍDAS!$G119</f>
        <v>4</v>
      </c>
      <c r="K119" s="178">
        <f>SUMIFS(ENTRADAS!$E$7:$E$1002,ENTRADAS!$B$7:$B$1002,"&lt;=" &amp; SAÍDAS!$B119,ENTRADAS!$C$7:$C$1002,SAÍDAS!$C119)-SUMIFS(SAÍDAS!$J$7:$J$289,SAÍDAS!$B$7:$B$289,"&lt;=" &amp; SAÍDAS!$B119,SAÍDAS!$C$7:$C$289,SAÍDAS!$C119)</f>
        <v>52</v>
      </c>
      <c r="L119" s="179">
        <f t="shared" si="1"/>
        <v>0</v>
      </c>
      <c r="M119" s="170"/>
    </row>
    <row r="120" spans="1:13" ht="15.75" customHeight="1">
      <c r="A120" s="167"/>
      <c r="B120" s="173">
        <v>46052</v>
      </c>
      <c r="C120" s="174" t="s">
        <v>236</v>
      </c>
      <c r="D120" s="174">
        <v>2</v>
      </c>
      <c r="E120" s="174" t="s">
        <v>311</v>
      </c>
      <c r="F120" s="174"/>
      <c r="G120" s="185"/>
      <c r="H120" s="186"/>
      <c r="I120" s="177"/>
      <c r="J120" s="178">
        <f>SAÍDAS!$D120-SAÍDAS!$G120</f>
        <v>2</v>
      </c>
      <c r="K120" s="178">
        <f>SUMIFS(ENTRADAS!$E$7:$E$1002,ENTRADAS!$B$7:$B$1002,"&lt;=" &amp; SAÍDAS!$B120,ENTRADAS!$C$7:$C$1002,SAÍDAS!$C120)-SUMIFS(SAÍDAS!$J$7:$J$289,SAÍDAS!$B$7:$B$289,"&lt;=" &amp; SAÍDAS!$B120,SAÍDAS!$C$7:$C$289,SAÍDAS!$C120)</f>
        <v>8</v>
      </c>
      <c r="L120" s="179">
        <f t="shared" si="1"/>
        <v>0</v>
      </c>
      <c r="M120" s="170"/>
    </row>
    <row r="121" spans="1:13" ht="15.75" customHeight="1">
      <c r="A121" s="167"/>
      <c r="B121" s="173">
        <v>46052</v>
      </c>
      <c r="C121" s="174" t="s">
        <v>235</v>
      </c>
      <c r="D121" s="174">
        <v>1</v>
      </c>
      <c r="E121" s="174" t="s">
        <v>311</v>
      </c>
      <c r="F121" s="181"/>
      <c r="G121" s="185"/>
      <c r="H121" s="186"/>
      <c r="I121" s="177"/>
      <c r="J121" s="178">
        <f>SAÍDAS!$D121-SAÍDAS!$G121</f>
        <v>1</v>
      </c>
      <c r="K121" s="178">
        <f>SUMIFS(ENTRADAS!$E$7:$E$1002,ENTRADAS!$B$7:$B$1002,"&lt;=" &amp; SAÍDAS!$B121,ENTRADAS!$C$7:$C$1002,SAÍDAS!$C121)-SUMIFS(SAÍDAS!$J$7:$J$289,SAÍDAS!$B$7:$B$289,"&lt;=" &amp; SAÍDAS!$B121,SAÍDAS!$C$7:$C$289,SAÍDAS!$C121)</f>
        <v>28</v>
      </c>
      <c r="L121" s="179">
        <f t="shared" si="1"/>
        <v>0</v>
      </c>
      <c r="M121" s="170"/>
    </row>
    <row r="122" spans="1:13" ht="15.75" customHeight="1">
      <c r="A122" s="167"/>
      <c r="B122" s="173">
        <v>46052</v>
      </c>
      <c r="C122" s="180" t="s">
        <v>255</v>
      </c>
      <c r="D122" s="174">
        <v>2</v>
      </c>
      <c r="E122" s="174" t="s">
        <v>311</v>
      </c>
      <c r="F122" s="181"/>
      <c r="G122" s="185"/>
      <c r="H122" s="186"/>
      <c r="I122" s="177"/>
      <c r="J122" s="178">
        <f>SAÍDAS!$D122-SAÍDAS!$G122</f>
        <v>2</v>
      </c>
      <c r="K122" s="178">
        <f>SUMIFS(ENTRADAS!$E$7:$E$1002,ENTRADAS!$B$7:$B$1002,"&lt;=" &amp; SAÍDAS!$B122,ENTRADAS!$C$7:$C$1002,SAÍDAS!$C122)-SUMIFS(SAÍDAS!$J$7:$J$289,SAÍDAS!$B$7:$B$289,"&lt;=" &amp; SAÍDAS!$B122,SAÍDAS!$C$7:$C$289,SAÍDAS!$C122)</f>
        <v>15</v>
      </c>
      <c r="L122" s="179">
        <f t="shared" si="1"/>
        <v>0</v>
      </c>
      <c r="M122" s="170"/>
    </row>
    <row r="123" spans="1:13" ht="15.75" customHeight="1">
      <c r="A123" s="167"/>
      <c r="B123" s="173">
        <v>46053</v>
      </c>
      <c r="C123" s="174" t="s">
        <v>234</v>
      </c>
      <c r="D123" s="174">
        <v>3</v>
      </c>
      <c r="E123" s="174" t="s">
        <v>334</v>
      </c>
      <c r="F123" s="181"/>
      <c r="G123" s="185"/>
      <c r="H123" s="186"/>
      <c r="I123" s="177"/>
      <c r="J123" s="178">
        <f>SAÍDAS!$D123-SAÍDAS!$G123</f>
        <v>3</v>
      </c>
      <c r="K123" s="178">
        <f>SUMIFS(ENTRADAS!$E$7:$E$1002,ENTRADAS!$B$7:$B$1002,"&lt;=" &amp; SAÍDAS!$B123,ENTRADAS!$C$7:$C$1002,SAÍDAS!$C123)-SUMIFS(SAÍDAS!$J$7:$J$289,SAÍDAS!$B$7:$B$289,"&lt;=" &amp; SAÍDAS!$B123,SAÍDAS!$C$7:$C$289,SAÍDAS!$C123)</f>
        <v>44</v>
      </c>
      <c r="L123" s="179">
        <f t="shared" si="1"/>
        <v>0</v>
      </c>
      <c r="M123" s="170"/>
    </row>
    <row r="124" spans="1:13" ht="15.75" customHeight="1">
      <c r="A124" s="167"/>
      <c r="B124" s="173">
        <v>46055</v>
      </c>
      <c r="C124" s="174" t="s">
        <v>101</v>
      </c>
      <c r="D124" s="174">
        <v>1</v>
      </c>
      <c r="E124" s="174" t="s">
        <v>312</v>
      </c>
      <c r="F124" s="174"/>
      <c r="G124" s="185"/>
      <c r="H124" s="186"/>
      <c r="I124" s="177"/>
      <c r="J124" s="178">
        <f>SAÍDAS!$D124-SAÍDAS!$G124</f>
        <v>1</v>
      </c>
      <c r="K124" s="178">
        <f>SUMIFS(ENTRADAS!$E$7:$E$1002,ENTRADAS!$B$7:$B$1002,"&lt;=" &amp; SAÍDAS!$B124,ENTRADAS!$C$7:$C$1002,SAÍDAS!$C124)-SUMIFS(SAÍDAS!$J$7:$J$289,SAÍDAS!$B$7:$B$289,"&lt;=" &amp; SAÍDAS!$B124,SAÍDAS!$C$7:$C$289,SAÍDAS!$C124)</f>
        <v>9</v>
      </c>
      <c r="L124" s="179">
        <f t="shared" si="1"/>
        <v>0</v>
      </c>
      <c r="M124" s="170"/>
    </row>
    <row r="125" spans="1:13" ht="15.75" customHeight="1">
      <c r="A125" s="167"/>
      <c r="B125" s="173">
        <v>46055</v>
      </c>
      <c r="C125" s="180" t="s">
        <v>102</v>
      </c>
      <c r="D125" s="174">
        <v>3</v>
      </c>
      <c r="E125" s="174" t="s">
        <v>312</v>
      </c>
      <c r="F125" s="174"/>
      <c r="G125" s="185"/>
      <c r="H125" s="186"/>
      <c r="I125" s="177"/>
      <c r="J125" s="178">
        <f>SAÍDAS!$D125-SAÍDAS!$G125</f>
        <v>3</v>
      </c>
      <c r="K125" s="178">
        <f>SUMIFS(ENTRADAS!$E$7:$E$1002,ENTRADAS!$B$7:$B$1002,"&lt;=" &amp; SAÍDAS!$B125,ENTRADAS!$C$7:$C$1002,SAÍDAS!$C125)-SUMIFS(SAÍDAS!$J$7:$J$289,SAÍDAS!$B$7:$B$289,"&lt;=" &amp; SAÍDAS!$B125,SAÍDAS!$C$7:$C$289,SAÍDAS!$C125)</f>
        <v>110</v>
      </c>
      <c r="L125" s="179">
        <f t="shared" si="1"/>
        <v>0</v>
      </c>
      <c r="M125" s="170"/>
    </row>
    <row r="126" spans="1:13" ht="15.75" customHeight="1">
      <c r="A126" s="167"/>
      <c r="B126" s="173">
        <v>46055</v>
      </c>
      <c r="C126" s="180" t="s">
        <v>103</v>
      </c>
      <c r="D126" s="174">
        <v>2</v>
      </c>
      <c r="E126" s="174" t="s">
        <v>312</v>
      </c>
      <c r="F126" s="174"/>
      <c r="G126" s="185"/>
      <c r="H126" s="186"/>
      <c r="I126" s="177"/>
      <c r="J126" s="178">
        <f>SAÍDAS!$D126-SAÍDAS!$G126</f>
        <v>2</v>
      </c>
      <c r="K126" s="178">
        <f>SUMIFS(ENTRADAS!$E$7:$E$1002,ENTRADAS!$B$7:$B$1002,"&lt;=" &amp; SAÍDAS!$B126,ENTRADAS!$C$7:$C$1002,SAÍDAS!$C126)-SUMIFS(SAÍDAS!$J$7:$J$289,SAÍDAS!$B$7:$B$289,"&lt;=" &amp; SAÍDAS!$B126,SAÍDAS!$C$7:$C$289,SAÍDAS!$C126)</f>
        <v>135</v>
      </c>
      <c r="L126" s="179">
        <f t="shared" si="1"/>
        <v>0</v>
      </c>
      <c r="M126" s="170"/>
    </row>
    <row r="127" spans="1:13" ht="15.75" customHeight="1">
      <c r="A127" s="167"/>
      <c r="B127" s="173">
        <v>46055</v>
      </c>
      <c r="C127" s="174" t="s">
        <v>104</v>
      </c>
      <c r="D127" s="174">
        <v>3</v>
      </c>
      <c r="E127" s="174" t="s">
        <v>312</v>
      </c>
      <c r="F127" s="174"/>
      <c r="G127" s="185"/>
      <c r="H127" s="186"/>
      <c r="I127" s="177"/>
      <c r="J127" s="178">
        <f>SAÍDAS!$D127-SAÍDAS!$G127</f>
        <v>3</v>
      </c>
      <c r="K127" s="178">
        <f>SUMIFS(ENTRADAS!$E$7:$E$1002,ENTRADAS!$B$7:$B$1002,"&lt;=" &amp; SAÍDAS!$B127,ENTRADAS!$C$7:$C$1002,SAÍDAS!$C127)-SUMIFS(SAÍDAS!$J$7:$J$289,SAÍDAS!$B$7:$B$289,"&lt;=" &amp; SAÍDAS!$B127,SAÍDAS!$C$7:$C$289,SAÍDAS!$C127)</f>
        <v>29</v>
      </c>
      <c r="L127" s="179">
        <f t="shared" si="1"/>
        <v>0</v>
      </c>
      <c r="M127" s="170"/>
    </row>
    <row r="128" spans="1:13" ht="15.75" customHeight="1">
      <c r="A128" s="167"/>
      <c r="B128" s="173">
        <v>46055</v>
      </c>
      <c r="C128" s="174" t="s">
        <v>105</v>
      </c>
      <c r="D128" s="174">
        <v>1</v>
      </c>
      <c r="E128" s="174" t="s">
        <v>312</v>
      </c>
      <c r="F128" s="174"/>
      <c r="G128" s="185"/>
      <c r="H128" s="186"/>
      <c r="I128" s="177"/>
      <c r="J128" s="178">
        <f>SAÍDAS!$D128-SAÍDAS!$G128</f>
        <v>1</v>
      </c>
      <c r="K128" s="178">
        <f>SUMIFS(ENTRADAS!$E$7:$E$1002,ENTRADAS!$B$7:$B$1002,"&lt;=" &amp; SAÍDAS!$B128,ENTRADAS!$C$7:$C$1002,SAÍDAS!$C128)-SUMIFS(SAÍDAS!$J$7:$J$289,SAÍDAS!$B$7:$B$289,"&lt;=" &amp; SAÍDAS!$B128,SAÍDAS!$C$7:$C$289,SAÍDAS!$C128)</f>
        <v>21</v>
      </c>
      <c r="L128" s="179">
        <f t="shared" si="1"/>
        <v>0</v>
      </c>
      <c r="M128" s="170"/>
    </row>
    <row r="129" spans="1:13" ht="15.75" customHeight="1">
      <c r="A129" s="167"/>
      <c r="B129" s="173">
        <v>46055</v>
      </c>
      <c r="C129" s="174" t="s">
        <v>218</v>
      </c>
      <c r="D129" s="174">
        <v>9</v>
      </c>
      <c r="E129" s="174" t="s">
        <v>312</v>
      </c>
      <c r="F129" s="174"/>
      <c r="G129" s="185"/>
      <c r="H129" s="186"/>
      <c r="I129" s="177"/>
      <c r="J129" s="178">
        <f>SAÍDAS!$D129-SAÍDAS!$G129</f>
        <v>9</v>
      </c>
      <c r="K129" s="178">
        <f>SUMIFS(ENTRADAS!$E$7:$E$1002,ENTRADAS!$B$7:$B$1002,"&lt;=" &amp; SAÍDAS!$B129,ENTRADAS!$C$7:$C$1002,SAÍDAS!$C129)-SUMIFS(SAÍDAS!$J$7:$J$289,SAÍDAS!$B$7:$B$289,"&lt;=" &amp; SAÍDAS!$B129,SAÍDAS!$C$7:$C$289,SAÍDAS!$C129)</f>
        <v>12</v>
      </c>
      <c r="L129" s="179">
        <f t="shared" ref="L129:L189" si="2">I129*J129</f>
        <v>0</v>
      </c>
      <c r="M129" s="170"/>
    </row>
    <row r="130" spans="1:13" ht="15.75" customHeight="1">
      <c r="A130" s="167"/>
      <c r="B130" s="173">
        <v>46055</v>
      </c>
      <c r="C130" s="174" t="s">
        <v>107</v>
      </c>
      <c r="D130" s="174">
        <v>3</v>
      </c>
      <c r="E130" s="174" t="s">
        <v>312</v>
      </c>
      <c r="F130" s="181"/>
      <c r="G130" s="185"/>
      <c r="H130" s="186"/>
      <c r="I130" s="177"/>
      <c r="J130" s="178">
        <f>SAÍDAS!$D130-SAÍDAS!$G130</f>
        <v>3</v>
      </c>
      <c r="K130" s="178">
        <f>SUMIFS(ENTRADAS!$E$7:$E$1002,ENTRADAS!$B$7:$B$1002,"&lt;=" &amp; SAÍDAS!$B130,ENTRADAS!$C$7:$C$1002,SAÍDAS!$C130)-SUMIFS(SAÍDAS!$J$7:$J$289,SAÍDAS!$B$7:$B$289,"&lt;=" &amp; SAÍDAS!$B130,SAÍDAS!$C$7:$C$289,SAÍDAS!$C130)</f>
        <v>22</v>
      </c>
      <c r="L130" s="179">
        <f t="shared" si="2"/>
        <v>0</v>
      </c>
      <c r="M130" s="170"/>
    </row>
    <row r="131" spans="1:13" ht="15.75" customHeight="1">
      <c r="A131" s="167"/>
      <c r="B131" s="173">
        <v>46055</v>
      </c>
      <c r="C131" s="174" t="s">
        <v>106</v>
      </c>
      <c r="D131" s="174">
        <v>2</v>
      </c>
      <c r="E131" s="174" t="s">
        <v>312</v>
      </c>
      <c r="F131" s="174"/>
      <c r="G131" s="185"/>
      <c r="H131" s="186"/>
      <c r="I131" s="177"/>
      <c r="J131" s="178">
        <f>SAÍDAS!$D131-SAÍDAS!$G131</f>
        <v>2</v>
      </c>
      <c r="K131" s="178">
        <f>SUMIFS(ENTRADAS!$E$7:$E$1002,ENTRADAS!$B$7:$B$1002,"&lt;=" &amp; SAÍDAS!$B131,ENTRADAS!$C$7:$C$1002,SAÍDAS!$C131)-SUMIFS(SAÍDAS!$J$7:$J$289,SAÍDAS!$B$7:$B$289,"&lt;=" &amp; SAÍDAS!$B131,SAÍDAS!$C$7:$C$289,SAÍDAS!$C131)</f>
        <v>4</v>
      </c>
      <c r="L131" s="179">
        <f t="shared" si="2"/>
        <v>0</v>
      </c>
      <c r="M131" s="170"/>
    </row>
    <row r="132" spans="1:13" ht="15.75" customHeight="1">
      <c r="A132" s="167"/>
      <c r="B132" s="173">
        <v>46055</v>
      </c>
      <c r="C132" s="174" t="s">
        <v>111</v>
      </c>
      <c r="D132" s="174">
        <v>1</v>
      </c>
      <c r="E132" s="174" t="s">
        <v>312</v>
      </c>
      <c r="F132" s="181"/>
      <c r="G132" s="185"/>
      <c r="H132" s="186"/>
      <c r="I132" s="177"/>
      <c r="J132" s="178">
        <f>SAÍDAS!$D132-SAÍDAS!$G132</f>
        <v>1</v>
      </c>
      <c r="K132" s="178">
        <f>SUMIFS(ENTRADAS!$E$7:$E$1002,ENTRADAS!$B$7:$B$1002,"&lt;=" &amp; SAÍDAS!$B132,ENTRADAS!$C$7:$C$1002,SAÍDAS!$C132)-SUMIFS(SAÍDAS!$J$7:$J$289,SAÍDAS!$B$7:$B$289,"&lt;=" &amp; SAÍDAS!$B132,SAÍDAS!$C$7:$C$289,SAÍDAS!$C132)</f>
        <v>10</v>
      </c>
      <c r="L132" s="179">
        <f t="shared" si="2"/>
        <v>0</v>
      </c>
      <c r="M132" s="170"/>
    </row>
    <row r="133" spans="1:13" ht="15.75" customHeight="1">
      <c r="A133" s="167"/>
      <c r="B133" s="173">
        <v>46055</v>
      </c>
      <c r="C133" s="180" t="s">
        <v>110</v>
      </c>
      <c r="D133" s="174">
        <v>1</v>
      </c>
      <c r="E133" s="174" t="s">
        <v>312</v>
      </c>
      <c r="F133" s="174"/>
      <c r="G133" s="185"/>
      <c r="H133" s="186"/>
      <c r="I133" s="177"/>
      <c r="J133" s="178">
        <f>SAÍDAS!$D133-SAÍDAS!$G133</f>
        <v>1</v>
      </c>
      <c r="K133" s="178">
        <f>SUMIFS(ENTRADAS!$E$7:$E$1002,ENTRADAS!$B$7:$B$1002,"&lt;=" &amp; SAÍDAS!$B133,ENTRADAS!$C$7:$C$1002,SAÍDAS!$C133)-SUMIFS(SAÍDAS!$J$7:$J$289,SAÍDAS!$B$7:$B$289,"&lt;=" &amp; SAÍDAS!$B133,SAÍDAS!$C$7:$C$289,SAÍDAS!$C133)</f>
        <v>27</v>
      </c>
      <c r="L133" s="179">
        <f t="shared" si="2"/>
        <v>0</v>
      </c>
      <c r="M133" s="170"/>
    </row>
    <row r="134" spans="1:13" ht="15.75" customHeight="1">
      <c r="A134" s="167"/>
      <c r="B134" s="173">
        <v>46055</v>
      </c>
      <c r="C134" s="174" t="s">
        <v>108</v>
      </c>
      <c r="D134" s="174">
        <v>1</v>
      </c>
      <c r="E134" s="174" t="s">
        <v>312</v>
      </c>
      <c r="F134" s="174"/>
      <c r="G134" s="185"/>
      <c r="H134" s="186"/>
      <c r="I134" s="177"/>
      <c r="J134" s="178">
        <f>SAÍDAS!$D134-SAÍDAS!$G134</f>
        <v>1</v>
      </c>
      <c r="K134" s="178">
        <f>SUMIFS(ENTRADAS!$E$7:$E$1002,ENTRADAS!$B$7:$B$1002,"&lt;=" &amp; SAÍDAS!$B134,ENTRADAS!$C$7:$C$1002,SAÍDAS!$C134)-SUMIFS(SAÍDAS!$J$7:$J$289,SAÍDAS!$B$7:$B$289,"&lt;=" &amp; SAÍDAS!$B134,SAÍDAS!$C$7:$C$289,SAÍDAS!$C134)</f>
        <v>37</v>
      </c>
      <c r="L134" s="179">
        <f t="shared" si="2"/>
        <v>0</v>
      </c>
      <c r="M134" s="170"/>
    </row>
    <row r="135" spans="1:13" ht="15.75" customHeight="1">
      <c r="A135" s="167"/>
      <c r="B135" s="173">
        <v>46055</v>
      </c>
      <c r="C135" s="174" t="s">
        <v>193</v>
      </c>
      <c r="D135" s="174">
        <v>2</v>
      </c>
      <c r="E135" s="174" t="s">
        <v>312</v>
      </c>
      <c r="F135" s="174"/>
      <c r="G135" s="185"/>
      <c r="H135" s="186"/>
      <c r="I135" s="177"/>
      <c r="J135" s="178">
        <f>SAÍDAS!$D135-SAÍDAS!$G135</f>
        <v>2</v>
      </c>
      <c r="K135" s="178">
        <f>SUMIFS(ENTRADAS!$E$7:$E$1002,ENTRADAS!$B$7:$B$1002,"&lt;=" &amp; SAÍDAS!$B135,ENTRADAS!$C$7:$C$1002,SAÍDAS!$C135)-SUMIFS(SAÍDAS!$J$7:$J$289,SAÍDAS!$B$7:$B$289,"&lt;=" &amp; SAÍDAS!$B135,SAÍDAS!$C$7:$C$289,SAÍDAS!$C135)</f>
        <v>27</v>
      </c>
      <c r="L135" s="179">
        <f t="shared" si="2"/>
        <v>0</v>
      </c>
      <c r="M135" s="170"/>
    </row>
    <row r="136" spans="1:13" ht="15.75" customHeight="1">
      <c r="A136" s="167"/>
      <c r="B136" s="173">
        <v>46055</v>
      </c>
      <c r="C136" s="174" t="s">
        <v>194</v>
      </c>
      <c r="D136" s="174">
        <v>4</v>
      </c>
      <c r="E136" s="174" t="s">
        <v>312</v>
      </c>
      <c r="F136" s="174"/>
      <c r="G136" s="185"/>
      <c r="H136" s="186"/>
      <c r="I136" s="177"/>
      <c r="J136" s="178">
        <f>SAÍDAS!$D136-SAÍDAS!$G136</f>
        <v>4</v>
      </c>
      <c r="K136" s="178">
        <f>SUMIFS(ENTRADAS!$E$7:$E$1002,ENTRADAS!$B$7:$B$1002,"&lt;=" &amp; SAÍDAS!$B136,ENTRADAS!$C$7:$C$1002,SAÍDAS!$C136)-SUMIFS(SAÍDAS!$J$7:$J$289,SAÍDAS!$B$7:$B$289,"&lt;=" &amp; SAÍDAS!$B136,SAÍDAS!$C$7:$C$289,SAÍDAS!$C136)</f>
        <v>33</v>
      </c>
      <c r="L136" s="179">
        <f t="shared" si="2"/>
        <v>0</v>
      </c>
      <c r="M136" s="170"/>
    </row>
    <row r="137" spans="1:13" ht="15.75" customHeight="1">
      <c r="A137" s="167"/>
      <c r="B137" s="173">
        <v>46055</v>
      </c>
      <c r="C137" s="174" t="s">
        <v>196</v>
      </c>
      <c r="D137" s="174">
        <v>1</v>
      </c>
      <c r="E137" s="174" t="s">
        <v>312</v>
      </c>
      <c r="F137" s="174"/>
      <c r="G137" s="185"/>
      <c r="H137" s="186"/>
      <c r="I137" s="177"/>
      <c r="J137" s="178">
        <f>SAÍDAS!$D137-SAÍDAS!$G137</f>
        <v>1</v>
      </c>
      <c r="K137" s="178">
        <f>SUMIFS(ENTRADAS!$E$7:$E$1002,ENTRADAS!$B$7:$B$1002,"&lt;=" &amp; SAÍDAS!$B137,ENTRADAS!$C$7:$C$1002,SAÍDAS!$C137)-SUMIFS(SAÍDAS!$J$7:$J$289,SAÍDAS!$B$7:$B$289,"&lt;=" &amp; SAÍDAS!$B137,SAÍDAS!$C$7:$C$289,SAÍDAS!$C137)</f>
        <v>4</v>
      </c>
      <c r="L137" s="179">
        <f t="shared" si="2"/>
        <v>0</v>
      </c>
      <c r="M137" s="170"/>
    </row>
    <row r="138" spans="1:13" ht="15.75" customHeight="1">
      <c r="A138" s="167"/>
      <c r="B138" s="173">
        <v>46055</v>
      </c>
      <c r="C138" s="174" t="s">
        <v>335</v>
      </c>
      <c r="D138" s="174">
        <v>1</v>
      </c>
      <c r="E138" s="174" t="s">
        <v>312</v>
      </c>
      <c r="F138" s="174"/>
      <c r="G138" s="185"/>
      <c r="H138" s="186"/>
      <c r="I138" s="177"/>
      <c r="J138" s="178">
        <f>SAÍDAS!$D138-SAÍDAS!$G138</f>
        <v>1</v>
      </c>
      <c r="K138" s="178">
        <f>SUMIFS(ENTRADAS!$E$7:$E$1002,ENTRADAS!$B$7:$B$1002,"&lt;=" &amp; SAÍDAS!$B138,ENTRADAS!$C$7:$C$1002,SAÍDAS!$C138)-SUMIFS(SAÍDAS!$J$7:$J$289,SAÍDAS!$B$7:$B$289,"&lt;=" &amp; SAÍDAS!$B138,SAÍDAS!$C$7:$C$289,SAÍDAS!$C138)</f>
        <v>-1</v>
      </c>
      <c r="L138" s="179">
        <f t="shared" si="2"/>
        <v>0</v>
      </c>
      <c r="M138" s="170"/>
    </row>
    <row r="139" spans="1:13" ht="15.75" customHeight="1">
      <c r="A139" s="167"/>
      <c r="B139" s="173">
        <v>46055</v>
      </c>
      <c r="C139" s="174" t="s">
        <v>176</v>
      </c>
      <c r="D139" s="174">
        <v>1</v>
      </c>
      <c r="E139" s="174" t="s">
        <v>312</v>
      </c>
      <c r="F139" s="181"/>
      <c r="G139" s="185"/>
      <c r="H139" s="186"/>
      <c r="I139" s="177"/>
      <c r="J139" s="178">
        <f>SAÍDAS!$D139-SAÍDAS!$G139</f>
        <v>1</v>
      </c>
      <c r="K139" s="178">
        <f>SUMIFS(ENTRADAS!$E$7:$E$1002,ENTRADAS!$B$7:$B$1002,"&lt;=" &amp; SAÍDAS!$B139,ENTRADAS!$C$7:$C$1002,SAÍDAS!$C139)-SUMIFS(SAÍDAS!$J$7:$J$289,SAÍDAS!$B$7:$B$289,"&lt;=" &amp; SAÍDAS!$B139,SAÍDAS!$C$7:$C$289,SAÍDAS!$C139)</f>
        <v>16</v>
      </c>
      <c r="L139" s="179">
        <f t="shared" si="2"/>
        <v>0</v>
      </c>
      <c r="M139" s="170"/>
    </row>
    <row r="140" spans="1:13" ht="15.75" customHeight="1">
      <c r="A140" s="167"/>
      <c r="B140" s="173">
        <v>46055</v>
      </c>
      <c r="C140" s="174" t="s">
        <v>177</v>
      </c>
      <c r="D140" s="174">
        <v>3</v>
      </c>
      <c r="E140" s="174" t="s">
        <v>312</v>
      </c>
      <c r="F140" s="174"/>
      <c r="G140" s="185"/>
      <c r="H140" s="186"/>
      <c r="I140" s="177"/>
      <c r="J140" s="178">
        <f>SAÍDAS!$D140-SAÍDAS!$G140</f>
        <v>3</v>
      </c>
      <c r="K140" s="178">
        <f>SUMIFS(ENTRADAS!$E$7:$E$1002,ENTRADAS!$B$7:$B$1002,"&lt;=" &amp; SAÍDAS!$B140,ENTRADAS!$C$7:$C$1002,SAÍDAS!$C140)-SUMIFS(SAÍDAS!$J$7:$J$289,SAÍDAS!$B$7:$B$289,"&lt;=" &amp; SAÍDAS!$B140,SAÍDAS!$C$7:$C$289,SAÍDAS!$C140)</f>
        <v>17</v>
      </c>
      <c r="L140" s="179">
        <f t="shared" si="2"/>
        <v>0</v>
      </c>
      <c r="M140" s="170"/>
    </row>
    <row r="141" spans="1:13" ht="15.75" customHeight="1">
      <c r="A141" s="167"/>
      <c r="B141" s="173">
        <v>46055</v>
      </c>
      <c r="C141" s="174" t="s">
        <v>93</v>
      </c>
      <c r="D141" s="174">
        <v>2</v>
      </c>
      <c r="E141" s="174" t="s">
        <v>312</v>
      </c>
      <c r="F141" s="174"/>
      <c r="G141" s="185"/>
      <c r="H141" s="186"/>
      <c r="I141" s="177"/>
      <c r="J141" s="178">
        <f>SAÍDAS!$D141-SAÍDAS!$G141</f>
        <v>2</v>
      </c>
      <c r="K141" s="178">
        <f>SUMIFS(ENTRADAS!$E$7:$E$1002,ENTRADAS!$B$7:$B$1002,"&lt;=" &amp; SAÍDAS!$B141,ENTRADAS!$C$7:$C$1002,SAÍDAS!$C141)-SUMIFS(SAÍDAS!$J$7:$J$289,SAÍDAS!$B$7:$B$289,"&lt;=" &amp; SAÍDAS!$B141,SAÍDAS!$C$7:$C$289,SAÍDAS!$C141)</f>
        <v>22</v>
      </c>
      <c r="L141" s="179">
        <f t="shared" si="2"/>
        <v>0</v>
      </c>
      <c r="M141" s="170"/>
    </row>
    <row r="142" spans="1:13" ht="15.75" customHeight="1">
      <c r="A142" s="167"/>
      <c r="B142" s="173">
        <v>46055</v>
      </c>
      <c r="C142" s="180" t="s">
        <v>94</v>
      </c>
      <c r="D142" s="174">
        <v>2</v>
      </c>
      <c r="E142" s="174" t="s">
        <v>312</v>
      </c>
      <c r="F142" s="174"/>
      <c r="G142" s="185"/>
      <c r="H142" s="186"/>
      <c r="I142" s="177"/>
      <c r="J142" s="178">
        <f>SAÍDAS!$D142-SAÍDAS!$G142</f>
        <v>2</v>
      </c>
      <c r="K142" s="178">
        <f>SUMIFS(ENTRADAS!$E$7:$E$1002,ENTRADAS!$B$7:$B$1002,"&lt;=" &amp; SAÍDAS!$B142,ENTRADAS!$C$7:$C$1002,SAÍDAS!$C142)-SUMIFS(SAÍDAS!$J$7:$J$289,SAÍDAS!$B$7:$B$289,"&lt;=" &amp; SAÍDAS!$B142,SAÍDAS!$C$7:$C$289,SAÍDAS!$C142)</f>
        <v>23</v>
      </c>
      <c r="L142" s="179">
        <f t="shared" si="2"/>
        <v>0</v>
      </c>
      <c r="M142" s="170"/>
    </row>
    <row r="143" spans="1:13" ht="15.75" customHeight="1">
      <c r="A143" s="167"/>
      <c r="B143" s="173">
        <v>46055</v>
      </c>
      <c r="C143" s="174" t="s">
        <v>156</v>
      </c>
      <c r="D143" s="174">
        <v>4</v>
      </c>
      <c r="E143" s="174" t="s">
        <v>312</v>
      </c>
      <c r="F143" s="174"/>
      <c r="G143" s="185"/>
      <c r="H143" s="186"/>
      <c r="I143" s="177"/>
      <c r="J143" s="178">
        <f>SAÍDAS!$D143-SAÍDAS!$G143</f>
        <v>4</v>
      </c>
      <c r="K143" s="178">
        <f>SUMIFS(ENTRADAS!$E$7:$E$1002,ENTRADAS!$B$7:$B$1002,"&lt;=" &amp; SAÍDAS!$B143,ENTRADAS!$C$7:$C$1002,SAÍDAS!$C143)-SUMIFS(SAÍDAS!$J$7:$J$289,SAÍDAS!$B$7:$B$289,"&lt;=" &amp; SAÍDAS!$B143,SAÍDAS!$C$7:$C$289,SAÍDAS!$C143)</f>
        <v>4</v>
      </c>
      <c r="L143" s="179">
        <f t="shared" si="2"/>
        <v>0</v>
      </c>
      <c r="M143" s="170"/>
    </row>
    <row r="144" spans="1:13" ht="15.75" customHeight="1">
      <c r="A144" s="167"/>
      <c r="B144" s="173">
        <v>46055</v>
      </c>
      <c r="C144" s="187" t="s">
        <v>336</v>
      </c>
      <c r="D144" s="174">
        <v>1</v>
      </c>
      <c r="E144" s="174" t="s">
        <v>312</v>
      </c>
      <c r="F144" s="189"/>
      <c r="G144" s="185"/>
      <c r="H144" s="186"/>
      <c r="I144" s="177"/>
      <c r="J144" s="178">
        <f>SAÍDAS!$D144-SAÍDAS!$G144</f>
        <v>1</v>
      </c>
      <c r="K144" s="178">
        <f>SUMIFS(ENTRADAS!$E$7:$E$1002,ENTRADAS!$B$7:$B$1002,"&lt;=" &amp; SAÍDAS!$B144,ENTRADAS!$C$7:$C$1002,SAÍDAS!$C144)-SUMIFS(SAÍDAS!$J$7:$J$289,SAÍDAS!$B$7:$B$289,"&lt;=" &amp; SAÍDAS!$B144,SAÍDAS!$C$7:$C$289,SAÍDAS!$C144)</f>
        <v>-1</v>
      </c>
      <c r="L144" s="179">
        <f t="shared" si="2"/>
        <v>0</v>
      </c>
      <c r="M144" s="170"/>
    </row>
    <row r="145" spans="1:13" ht="15.75" customHeight="1">
      <c r="A145" s="167"/>
      <c r="B145" s="173">
        <v>46055</v>
      </c>
      <c r="C145" s="174" t="s">
        <v>163</v>
      </c>
      <c r="D145" s="174">
        <v>2</v>
      </c>
      <c r="E145" s="174" t="s">
        <v>312</v>
      </c>
      <c r="F145" s="174"/>
      <c r="G145" s="185"/>
      <c r="H145" s="186"/>
      <c r="I145" s="177"/>
      <c r="J145" s="178">
        <f>SAÍDAS!$D145-SAÍDAS!$G145</f>
        <v>2</v>
      </c>
      <c r="K145" s="178">
        <f>SUMIFS(ENTRADAS!$E$7:$E$1002,ENTRADAS!$B$7:$B$1002,"&lt;=" &amp; SAÍDAS!$B145,ENTRADAS!$C$7:$C$1002,SAÍDAS!$C145)-SUMIFS(SAÍDAS!$J$7:$J$289,SAÍDAS!$B$7:$B$289,"&lt;=" &amp; SAÍDAS!$B145,SAÍDAS!$C$7:$C$289,SAÍDAS!$C145)</f>
        <v>6</v>
      </c>
      <c r="L145" s="179">
        <f t="shared" si="2"/>
        <v>0</v>
      </c>
      <c r="M145" s="170"/>
    </row>
    <row r="146" spans="1:13" ht="15.75" customHeight="1">
      <c r="A146" s="167"/>
      <c r="B146" s="173">
        <v>46055</v>
      </c>
      <c r="C146" s="174" t="s">
        <v>127</v>
      </c>
      <c r="D146" s="174">
        <v>1</v>
      </c>
      <c r="E146" s="174" t="s">
        <v>312</v>
      </c>
      <c r="F146" s="174"/>
      <c r="G146" s="185"/>
      <c r="H146" s="186"/>
      <c r="I146" s="177"/>
      <c r="J146" s="178">
        <f>SAÍDAS!$D146-SAÍDAS!$G146</f>
        <v>1</v>
      </c>
      <c r="K146" s="178">
        <f>SUMIFS(ENTRADAS!$E$7:$E$1002,ENTRADAS!$B$7:$B$1002,"&lt;=" &amp; SAÍDAS!$B146,ENTRADAS!$C$7:$C$1002,SAÍDAS!$C146)-SUMIFS(SAÍDAS!$J$7:$J$289,SAÍDAS!$B$7:$B$289,"&lt;=" &amp; SAÍDAS!$B146,SAÍDAS!$C$7:$C$289,SAÍDAS!$C146)</f>
        <v>6</v>
      </c>
      <c r="L146" s="179">
        <f t="shared" si="2"/>
        <v>0</v>
      </c>
      <c r="M146" s="170"/>
    </row>
    <row r="147" spans="1:13" ht="15.75" customHeight="1">
      <c r="A147" s="167"/>
      <c r="B147" s="173">
        <v>46055</v>
      </c>
      <c r="C147" s="180" t="s">
        <v>132</v>
      </c>
      <c r="D147" s="174">
        <v>1</v>
      </c>
      <c r="E147" s="174" t="s">
        <v>312</v>
      </c>
      <c r="F147" s="174"/>
      <c r="G147" s="185"/>
      <c r="H147" s="186"/>
      <c r="I147" s="177"/>
      <c r="J147" s="178">
        <f>SAÍDAS!$D147-SAÍDAS!$G147</f>
        <v>1</v>
      </c>
      <c r="K147" s="178">
        <f>SUMIFS(ENTRADAS!$E$7:$E$1002,ENTRADAS!$B$7:$B$1002,"&lt;=" &amp; SAÍDAS!$B147,ENTRADAS!$C$7:$C$1002,SAÍDAS!$C147)-SUMIFS(SAÍDAS!$J$7:$J$289,SAÍDAS!$B$7:$B$289,"&lt;=" &amp; SAÍDAS!$B147,SAÍDAS!$C$7:$C$289,SAÍDAS!$C147)</f>
        <v>6</v>
      </c>
      <c r="L147" s="179">
        <f t="shared" si="2"/>
        <v>0</v>
      </c>
      <c r="M147" s="170"/>
    </row>
    <row r="148" spans="1:13" ht="15.75" customHeight="1">
      <c r="A148" s="167"/>
      <c r="B148" s="173">
        <v>46055</v>
      </c>
      <c r="C148" s="187" t="s">
        <v>227</v>
      </c>
      <c r="D148" s="187">
        <v>1</v>
      </c>
      <c r="E148" s="174" t="s">
        <v>312</v>
      </c>
      <c r="F148" s="174"/>
      <c r="G148" s="185"/>
      <c r="H148" s="186"/>
      <c r="I148" s="177"/>
      <c r="J148" s="178">
        <f>SAÍDAS!$D148-SAÍDAS!$G148</f>
        <v>1</v>
      </c>
      <c r="K148" s="178">
        <f>SUMIFS(ENTRADAS!$E$7:$E$1002,ENTRADAS!$B$7:$B$1002,"&lt;=" &amp; SAÍDAS!$B148,ENTRADAS!$C$7:$C$1002,SAÍDAS!$C148)-SUMIFS(SAÍDAS!$J$7:$J$289,SAÍDAS!$B$7:$B$289,"&lt;=" &amp; SAÍDAS!$B148,SAÍDAS!$C$7:$C$289,SAÍDAS!$C148)</f>
        <v>2</v>
      </c>
      <c r="L148" s="179">
        <f t="shared" si="2"/>
        <v>0</v>
      </c>
      <c r="M148" s="170"/>
    </row>
    <row r="149" spans="1:13" ht="15.75" customHeight="1">
      <c r="A149" s="167"/>
      <c r="B149" s="173">
        <v>46055</v>
      </c>
      <c r="C149" s="174" t="s">
        <v>228</v>
      </c>
      <c r="D149" s="174">
        <v>1</v>
      </c>
      <c r="E149" s="174" t="s">
        <v>312</v>
      </c>
      <c r="F149" s="174"/>
      <c r="G149" s="185"/>
      <c r="H149" s="186"/>
      <c r="I149" s="177"/>
      <c r="J149" s="178">
        <f>SAÍDAS!$D149-SAÍDAS!$G149</f>
        <v>1</v>
      </c>
      <c r="K149" s="178">
        <f>SUMIFS(ENTRADAS!$E$7:$E$1002,ENTRADAS!$B$7:$B$1002,"&lt;=" &amp; SAÍDAS!$B149,ENTRADAS!$C$7:$C$1002,SAÍDAS!$C149)-SUMIFS(SAÍDAS!$J$7:$J$289,SAÍDAS!$B$7:$B$289,"&lt;=" &amp; SAÍDAS!$B149,SAÍDAS!$C$7:$C$289,SAÍDAS!$C149)</f>
        <v>9</v>
      </c>
      <c r="L149" s="179">
        <f t="shared" si="2"/>
        <v>0</v>
      </c>
      <c r="M149" s="170"/>
    </row>
    <row r="150" spans="1:13" ht="15.75" customHeight="1">
      <c r="A150" s="167"/>
      <c r="B150" s="173">
        <v>46055</v>
      </c>
      <c r="C150" s="174" t="s">
        <v>337</v>
      </c>
      <c r="D150" s="174">
        <v>1</v>
      </c>
      <c r="E150" s="174" t="s">
        <v>312</v>
      </c>
      <c r="F150" s="174"/>
      <c r="G150" s="185"/>
      <c r="H150" s="186"/>
      <c r="I150" s="177"/>
      <c r="J150" s="178">
        <f>SAÍDAS!$D150-SAÍDAS!$G150</f>
        <v>1</v>
      </c>
      <c r="K150" s="178">
        <f>SUMIFS(ENTRADAS!$E$7:$E$1002,ENTRADAS!$B$7:$B$1002,"&lt;=" &amp; SAÍDAS!$B150,ENTRADAS!$C$7:$C$1002,SAÍDAS!$C150)-SUMIFS(SAÍDAS!$J$7:$J$289,SAÍDAS!$B$7:$B$289,"&lt;=" &amp; SAÍDAS!$B150,SAÍDAS!$C$7:$C$289,SAÍDAS!$C150)</f>
        <v>-1</v>
      </c>
      <c r="L150" s="179">
        <f t="shared" si="2"/>
        <v>0</v>
      </c>
      <c r="M150" s="170"/>
    </row>
    <row r="151" spans="1:13" ht="15.75" customHeight="1">
      <c r="A151" s="167"/>
      <c r="B151" s="173">
        <v>46055</v>
      </c>
      <c r="C151" s="174" t="s">
        <v>141</v>
      </c>
      <c r="D151" s="174">
        <v>1</v>
      </c>
      <c r="E151" s="174" t="s">
        <v>312</v>
      </c>
      <c r="F151" s="174"/>
      <c r="G151" s="185"/>
      <c r="H151" s="186"/>
      <c r="I151" s="177"/>
      <c r="J151" s="178">
        <f>SAÍDAS!$D151-SAÍDAS!$G151</f>
        <v>1</v>
      </c>
      <c r="K151" s="178">
        <f>SUMIFS(ENTRADAS!$E$7:$E$1002,ENTRADAS!$B$7:$B$1002,"&lt;=" &amp; SAÍDAS!$B151,ENTRADAS!$C$7:$C$1002,SAÍDAS!$C151)-SUMIFS(SAÍDAS!$J$7:$J$289,SAÍDAS!$B$7:$B$289,"&lt;=" &amp; SAÍDAS!$B151,SAÍDAS!$C$7:$C$289,SAÍDAS!$C151)</f>
        <v>2</v>
      </c>
      <c r="L151" s="179">
        <f t="shared" si="2"/>
        <v>0</v>
      </c>
      <c r="M151" s="170"/>
    </row>
    <row r="152" spans="1:13" ht="15.75" customHeight="1">
      <c r="A152" s="167"/>
      <c r="B152" s="173">
        <v>46055</v>
      </c>
      <c r="C152" s="180" t="s">
        <v>171</v>
      </c>
      <c r="D152" s="174">
        <v>1</v>
      </c>
      <c r="E152" s="174" t="s">
        <v>312</v>
      </c>
      <c r="F152" s="174"/>
      <c r="G152" s="185"/>
      <c r="H152" s="186"/>
      <c r="I152" s="177"/>
      <c r="J152" s="178">
        <f>SAÍDAS!$D152-SAÍDAS!$G152</f>
        <v>1</v>
      </c>
      <c r="K152" s="178">
        <f>SUMIFS(ENTRADAS!$E$7:$E$1002,ENTRADAS!$B$7:$B$1002,"&lt;=" &amp; SAÍDAS!$B152,ENTRADAS!$C$7:$C$1002,SAÍDAS!$C152)-SUMIFS(SAÍDAS!$J$7:$J$289,SAÍDAS!$B$7:$B$289,"&lt;=" &amp; SAÍDAS!$B152,SAÍDAS!$C$7:$C$289,SAÍDAS!$C152)</f>
        <v>5</v>
      </c>
      <c r="L152" s="179">
        <f t="shared" si="2"/>
        <v>0</v>
      </c>
      <c r="M152" s="170"/>
    </row>
    <row r="153" spans="1:13" ht="15.75" customHeight="1">
      <c r="A153" s="167"/>
      <c r="B153" s="173">
        <v>46055</v>
      </c>
      <c r="C153" s="180" t="s">
        <v>204</v>
      </c>
      <c r="D153" s="174">
        <v>1</v>
      </c>
      <c r="E153" s="174" t="s">
        <v>312</v>
      </c>
      <c r="F153" s="174"/>
      <c r="G153" s="185"/>
      <c r="H153" s="186"/>
      <c r="I153" s="177"/>
      <c r="J153" s="178">
        <f>SAÍDAS!$D153-SAÍDAS!$G153</f>
        <v>1</v>
      </c>
      <c r="K153" s="178">
        <f>SUMIFS(ENTRADAS!$E$7:$E$1002,ENTRADAS!$B$7:$B$1002,"&lt;=" &amp; SAÍDAS!$B153,ENTRADAS!$C$7:$C$1002,SAÍDAS!$C153)-SUMIFS(SAÍDAS!$J$7:$J$289,SAÍDAS!$B$7:$B$289,"&lt;=" &amp; SAÍDAS!$B153,SAÍDAS!$C$7:$C$289,SAÍDAS!$C153)</f>
        <v>6</v>
      </c>
      <c r="L153" s="179">
        <f t="shared" si="2"/>
        <v>0</v>
      </c>
      <c r="M153" s="170"/>
    </row>
    <row r="154" spans="1:13" ht="15.75" customHeight="1">
      <c r="A154" s="167"/>
      <c r="B154" s="173">
        <v>46055</v>
      </c>
      <c r="C154" s="180" t="s">
        <v>137</v>
      </c>
      <c r="D154" s="174">
        <v>1</v>
      </c>
      <c r="E154" s="174" t="s">
        <v>312</v>
      </c>
      <c r="F154" s="174"/>
      <c r="G154" s="185"/>
      <c r="H154" s="186"/>
      <c r="I154" s="177"/>
      <c r="J154" s="178">
        <f>SAÍDAS!$D154-SAÍDAS!$G154</f>
        <v>1</v>
      </c>
      <c r="K154" s="178">
        <f>SUMIFS(ENTRADAS!$E$7:$E$1002,ENTRADAS!$B$7:$B$1002,"&lt;=" &amp; SAÍDAS!$B154,ENTRADAS!$C$7:$C$1002,SAÍDAS!$C154)-SUMIFS(SAÍDAS!$J$7:$J$289,SAÍDAS!$B$7:$B$289,"&lt;=" &amp; SAÍDAS!$B154,SAÍDAS!$C$7:$C$289,SAÍDAS!$C154)</f>
        <v>5</v>
      </c>
      <c r="L154" s="179">
        <f t="shared" si="2"/>
        <v>0</v>
      </c>
      <c r="M154" s="170"/>
    </row>
    <row r="155" spans="1:13" ht="15.75" customHeight="1">
      <c r="A155" s="167"/>
      <c r="B155" s="173">
        <v>46055</v>
      </c>
      <c r="C155" s="174" t="s">
        <v>254</v>
      </c>
      <c r="D155" s="174">
        <v>1</v>
      </c>
      <c r="E155" s="174" t="s">
        <v>333</v>
      </c>
      <c r="F155" s="174"/>
      <c r="G155" s="185"/>
      <c r="H155" s="186"/>
      <c r="I155" s="177"/>
      <c r="J155" s="178">
        <f>SAÍDAS!$D155-SAÍDAS!$G155</f>
        <v>1</v>
      </c>
      <c r="K155" s="178">
        <f>SUMIFS(ENTRADAS!$E$7:$E$1002,ENTRADAS!$B$7:$B$1002,"&lt;=" &amp; SAÍDAS!$B155,ENTRADAS!$C$7:$C$1002,SAÍDAS!$C155)-SUMIFS(SAÍDAS!$J$7:$J$289,SAÍDAS!$B$7:$B$289,"&lt;=" &amp; SAÍDAS!$B155,SAÍDAS!$C$7:$C$289,SAÍDAS!$C155)</f>
        <v>17</v>
      </c>
      <c r="L155" s="179">
        <f t="shared" si="2"/>
        <v>0</v>
      </c>
      <c r="M155" s="170"/>
    </row>
    <row r="156" spans="1:13" ht="15.75" customHeight="1">
      <c r="A156" s="167"/>
      <c r="B156" s="173">
        <v>46055</v>
      </c>
      <c r="C156" s="174" t="s">
        <v>106</v>
      </c>
      <c r="D156" s="174">
        <v>1</v>
      </c>
      <c r="E156" s="174"/>
      <c r="F156" s="174"/>
      <c r="G156" s="185"/>
      <c r="H156" s="186"/>
      <c r="I156" s="177"/>
      <c r="J156" s="178">
        <f>SAÍDAS!$D156-SAÍDAS!$G156</f>
        <v>1</v>
      </c>
      <c r="K156" s="178">
        <f>SUMIFS(ENTRADAS!$E$7:$E$1002,ENTRADAS!$B$7:$B$1002,"&lt;=" &amp; SAÍDAS!$B156,ENTRADAS!$C$7:$C$1002,SAÍDAS!$C156)-SUMIFS(SAÍDAS!$J$7:$J$289,SAÍDAS!$B$7:$B$289,"&lt;=" &amp; SAÍDAS!$B156,SAÍDAS!$C$7:$C$289,SAÍDAS!$C156)</f>
        <v>4</v>
      </c>
      <c r="L156" s="179">
        <f t="shared" si="2"/>
        <v>0</v>
      </c>
      <c r="M156" s="170"/>
    </row>
    <row r="157" spans="1:13" ht="15.75" customHeight="1">
      <c r="A157" s="167"/>
      <c r="B157" s="173">
        <v>46055</v>
      </c>
      <c r="C157" s="174" t="s">
        <v>107</v>
      </c>
      <c r="D157" s="174">
        <v>2</v>
      </c>
      <c r="E157" s="174"/>
      <c r="F157" s="174"/>
      <c r="G157" s="185"/>
      <c r="H157" s="186"/>
      <c r="I157" s="177"/>
      <c r="J157" s="178">
        <f>SAÍDAS!$D157-SAÍDAS!$G157</f>
        <v>2</v>
      </c>
      <c r="K157" s="178">
        <f>SUMIFS(ENTRADAS!$E$7:$E$1002,ENTRADAS!$B$7:$B$1002,"&lt;=" &amp; SAÍDAS!$B157,ENTRADAS!$C$7:$C$1002,SAÍDAS!$C157)-SUMIFS(SAÍDAS!$J$7:$J$289,SAÍDAS!$B$7:$B$289,"&lt;=" &amp; SAÍDAS!$B157,SAÍDAS!$C$7:$C$289,SAÍDAS!$C157)</f>
        <v>22</v>
      </c>
      <c r="L157" s="179">
        <f t="shared" si="2"/>
        <v>0</v>
      </c>
      <c r="M157" s="170"/>
    </row>
    <row r="158" spans="1:13" ht="15.75" customHeight="1">
      <c r="A158" s="167"/>
      <c r="B158" s="173">
        <v>46055</v>
      </c>
      <c r="C158" s="174" t="s">
        <v>108</v>
      </c>
      <c r="D158" s="174">
        <v>1</v>
      </c>
      <c r="E158" s="174"/>
      <c r="F158" s="174"/>
      <c r="G158" s="185"/>
      <c r="H158" s="186"/>
      <c r="I158" s="177"/>
      <c r="J158" s="178">
        <f>SAÍDAS!$D158-SAÍDAS!$G158</f>
        <v>1</v>
      </c>
      <c r="K158" s="178">
        <f>SUMIFS(ENTRADAS!$E$7:$E$1002,ENTRADAS!$B$7:$B$1002,"&lt;=" &amp; SAÍDAS!$B158,ENTRADAS!$C$7:$C$1002,SAÍDAS!$C158)-SUMIFS(SAÍDAS!$J$7:$J$289,SAÍDAS!$B$7:$B$289,"&lt;=" &amp; SAÍDAS!$B158,SAÍDAS!$C$7:$C$289,SAÍDAS!$C158)</f>
        <v>37</v>
      </c>
      <c r="L158" s="179">
        <f t="shared" si="2"/>
        <v>0</v>
      </c>
      <c r="M158" s="170"/>
    </row>
    <row r="159" spans="1:13" ht="15.75" customHeight="1">
      <c r="A159" s="167"/>
      <c r="B159" s="173">
        <v>46055</v>
      </c>
      <c r="C159" s="174" t="s">
        <v>109</v>
      </c>
      <c r="D159" s="174">
        <v>1</v>
      </c>
      <c r="E159" s="174"/>
      <c r="F159" s="174"/>
      <c r="G159" s="185"/>
      <c r="H159" s="186"/>
      <c r="I159" s="177"/>
      <c r="J159" s="178">
        <f>SAÍDAS!$D159-SAÍDAS!$G159</f>
        <v>1</v>
      </c>
      <c r="K159" s="178">
        <f>SUMIFS(ENTRADAS!$E$7:$E$1002,ENTRADAS!$B$7:$B$1002,"&lt;=" &amp; SAÍDAS!$B159,ENTRADAS!$C$7:$C$1002,SAÍDAS!$C159)-SUMIFS(SAÍDAS!$J$7:$J$289,SAÍDAS!$B$7:$B$289,"&lt;=" &amp; SAÍDAS!$B159,SAÍDAS!$C$7:$C$289,SAÍDAS!$C159)</f>
        <v>40</v>
      </c>
      <c r="L159" s="179">
        <f t="shared" si="2"/>
        <v>0</v>
      </c>
      <c r="M159" s="170"/>
    </row>
    <row r="160" spans="1:13" ht="15.75" customHeight="1">
      <c r="A160" s="167"/>
      <c r="B160" s="173">
        <v>46055</v>
      </c>
      <c r="C160" s="174" t="s">
        <v>102</v>
      </c>
      <c r="D160" s="174">
        <v>2</v>
      </c>
      <c r="E160" s="174"/>
      <c r="F160" s="174"/>
      <c r="G160" s="185"/>
      <c r="H160" s="186"/>
      <c r="I160" s="177"/>
      <c r="J160" s="178">
        <f>SAÍDAS!$D160-SAÍDAS!$G160</f>
        <v>2</v>
      </c>
      <c r="K160" s="178">
        <f>SUMIFS(ENTRADAS!$E$7:$E$1002,ENTRADAS!$B$7:$B$1002,"&lt;=" &amp; SAÍDAS!$B160,ENTRADAS!$C$7:$C$1002,SAÍDAS!$C160)-SUMIFS(SAÍDAS!$J$7:$J$289,SAÍDAS!$B$7:$B$289,"&lt;=" &amp; SAÍDAS!$B160,SAÍDAS!$C$7:$C$289,SAÍDAS!$C160)</f>
        <v>110</v>
      </c>
      <c r="L160" s="179">
        <f t="shared" si="2"/>
        <v>0</v>
      </c>
      <c r="M160" s="170"/>
    </row>
    <row r="161" spans="1:13" ht="15.75" customHeight="1">
      <c r="A161" s="167"/>
      <c r="B161" s="173">
        <v>46055</v>
      </c>
      <c r="C161" s="174" t="s">
        <v>105</v>
      </c>
      <c r="D161" s="190">
        <v>1</v>
      </c>
      <c r="E161" s="174"/>
      <c r="F161" s="174"/>
      <c r="G161" s="185"/>
      <c r="H161" s="186"/>
      <c r="I161" s="177"/>
      <c r="J161" s="178">
        <f>SAÍDAS!$D161-SAÍDAS!$G161</f>
        <v>1</v>
      </c>
      <c r="K161" s="178">
        <f>SUMIFS(ENTRADAS!$E$7:$E$1002,ENTRADAS!$B$7:$B$1002,"&lt;=" &amp; SAÍDAS!$B161,ENTRADAS!$C$7:$C$1002,SAÍDAS!$C161)-SUMIFS(SAÍDAS!$J$7:$J$289,SAÍDAS!$B$7:$B$289,"&lt;=" &amp; SAÍDAS!$B161,SAÍDAS!$C$7:$C$289,SAÍDAS!$C161)</f>
        <v>21</v>
      </c>
      <c r="L161" s="179">
        <f t="shared" si="2"/>
        <v>0</v>
      </c>
      <c r="M161" s="170"/>
    </row>
    <row r="162" spans="1:13" ht="15.75" customHeight="1">
      <c r="A162" s="167"/>
      <c r="B162" s="173">
        <v>46055</v>
      </c>
      <c r="C162" s="174" t="s">
        <v>218</v>
      </c>
      <c r="D162" s="174">
        <v>3</v>
      </c>
      <c r="E162" s="174"/>
      <c r="F162" s="181"/>
      <c r="G162" s="185"/>
      <c r="H162" s="186"/>
      <c r="I162" s="177"/>
      <c r="J162" s="178">
        <f>SAÍDAS!$D162-SAÍDAS!$G162</f>
        <v>3</v>
      </c>
      <c r="K162" s="178">
        <f>SUMIFS(ENTRADAS!$E$7:$E$1002,ENTRADAS!$B$7:$B$1002,"&lt;=" &amp; SAÍDAS!$B162,ENTRADAS!$C$7:$C$1002,SAÍDAS!$C162)-SUMIFS(SAÍDAS!$J$7:$J$289,SAÍDAS!$B$7:$B$289,"&lt;=" &amp; SAÍDAS!$B162,SAÍDAS!$C$7:$C$289,SAÍDAS!$C162)</f>
        <v>12</v>
      </c>
      <c r="L162" s="179">
        <f t="shared" si="2"/>
        <v>0</v>
      </c>
      <c r="M162" s="170"/>
    </row>
    <row r="163" spans="1:13" ht="15.75" customHeight="1">
      <c r="A163" s="167"/>
      <c r="B163" s="173">
        <v>46055</v>
      </c>
      <c r="C163" s="174" t="s">
        <v>92</v>
      </c>
      <c r="D163" s="174">
        <v>1</v>
      </c>
      <c r="E163" s="174"/>
      <c r="F163" s="174"/>
      <c r="G163" s="185"/>
      <c r="H163" s="186"/>
      <c r="I163" s="177"/>
      <c r="J163" s="178">
        <f>SAÍDAS!$D163-SAÍDAS!$G163</f>
        <v>1</v>
      </c>
      <c r="K163" s="178">
        <f>SUMIFS(ENTRADAS!$E$7:$E$1002,ENTRADAS!$B$7:$B$1002,"&lt;=" &amp; SAÍDAS!$B163,ENTRADAS!$C$7:$C$1002,SAÍDAS!$C163)-SUMIFS(SAÍDAS!$J$7:$J$289,SAÍDAS!$B$7:$B$289,"&lt;=" &amp; SAÍDAS!$B163,SAÍDAS!$C$7:$C$289,SAÍDAS!$C163)</f>
        <v>41</v>
      </c>
      <c r="L163" s="179">
        <f t="shared" si="2"/>
        <v>0</v>
      </c>
      <c r="M163" s="170"/>
    </row>
    <row r="164" spans="1:13" ht="15.75" customHeight="1">
      <c r="A164" s="167"/>
      <c r="B164" s="173">
        <v>46055</v>
      </c>
      <c r="C164" s="180" t="s">
        <v>151</v>
      </c>
      <c r="D164" s="174">
        <v>2</v>
      </c>
      <c r="E164" s="174"/>
      <c r="F164" s="174"/>
      <c r="G164" s="185"/>
      <c r="H164" s="186"/>
      <c r="I164" s="177"/>
      <c r="J164" s="178">
        <f>SAÍDAS!$D164-SAÍDAS!$G164</f>
        <v>2</v>
      </c>
      <c r="K164" s="178">
        <f>SUMIFS(ENTRADAS!$E$7:$E$1002,ENTRADAS!$B$7:$B$1002,"&lt;=" &amp; SAÍDAS!$B164,ENTRADAS!$C$7:$C$1002,SAÍDAS!$C164)-SUMIFS(SAÍDAS!$J$7:$J$289,SAÍDAS!$B$7:$B$289,"&lt;=" &amp; SAÍDAS!$B164,SAÍDAS!$C$7:$C$289,SAÍDAS!$C164)</f>
        <v>18</v>
      </c>
      <c r="L164" s="179">
        <f t="shared" si="2"/>
        <v>0</v>
      </c>
      <c r="M164" s="170"/>
    </row>
    <row r="165" spans="1:13" ht="15.75" customHeight="1">
      <c r="A165" s="167"/>
      <c r="B165" s="173">
        <v>46055</v>
      </c>
      <c r="C165" s="174" t="s">
        <v>146</v>
      </c>
      <c r="D165" s="174">
        <v>1</v>
      </c>
      <c r="E165" s="174"/>
      <c r="F165" s="174"/>
      <c r="G165" s="185"/>
      <c r="H165" s="186"/>
      <c r="I165" s="177"/>
      <c r="J165" s="178">
        <f>SAÍDAS!$D165-SAÍDAS!$G165</f>
        <v>1</v>
      </c>
      <c r="K165" s="178">
        <f>SUMIFS(ENTRADAS!$E$7:$E$1002,ENTRADAS!$B$7:$B$1002,"&lt;=" &amp; SAÍDAS!$B165,ENTRADAS!$C$7:$C$1002,SAÍDAS!$C165)-SUMIFS(SAÍDAS!$J$7:$J$289,SAÍDAS!$B$7:$B$289,"&lt;=" &amp; SAÍDAS!$B165,SAÍDAS!$C$7:$C$289,SAÍDAS!$C165)</f>
        <v>6</v>
      </c>
      <c r="L165" s="179">
        <f t="shared" si="2"/>
        <v>0</v>
      </c>
      <c r="M165" s="170"/>
    </row>
    <row r="166" spans="1:13" ht="15.75" customHeight="1">
      <c r="A166" s="167"/>
      <c r="B166" s="173">
        <v>46056</v>
      </c>
      <c r="C166" s="183" t="s">
        <v>103</v>
      </c>
      <c r="D166" s="183">
        <v>19</v>
      </c>
      <c r="E166" s="174" t="s">
        <v>338</v>
      </c>
      <c r="F166" s="174"/>
      <c r="G166" s="185"/>
      <c r="H166" s="186"/>
      <c r="I166" s="177"/>
      <c r="J166" s="178">
        <f>SAÍDAS!$D166-SAÍDAS!$G166</f>
        <v>19</v>
      </c>
      <c r="K166" s="178">
        <f>SUMIFS(ENTRADAS!$E$7:$E$1002,ENTRADAS!$B$7:$B$1002,"&lt;=" &amp; SAÍDAS!$B166,ENTRADAS!$C$7:$C$1002,SAÍDAS!$C166)-SUMIFS(SAÍDAS!$J$7:$J$289,SAÍDAS!$B$7:$B$289,"&lt;=" &amp; SAÍDAS!$B166,SAÍDAS!$C$7:$C$289,SAÍDAS!$C166)</f>
        <v>116</v>
      </c>
      <c r="L166" s="179">
        <f t="shared" si="2"/>
        <v>0</v>
      </c>
      <c r="M166" s="170"/>
    </row>
    <row r="167" spans="1:13" ht="15.75" customHeight="1">
      <c r="A167" s="167"/>
      <c r="B167" s="173">
        <v>46056</v>
      </c>
      <c r="C167" s="183" t="s">
        <v>101</v>
      </c>
      <c r="D167" s="183">
        <v>1</v>
      </c>
      <c r="E167" s="174" t="s">
        <v>338</v>
      </c>
      <c r="F167" s="174"/>
      <c r="G167" s="185"/>
      <c r="H167" s="186"/>
      <c r="I167" s="177"/>
      <c r="J167" s="178">
        <f>SAÍDAS!$D167-SAÍDAS!$G167</f>
        <v>1</v>
      </c>
      <c r="K167" s="178">
        <f>SUMIFS(ENTRADAS!$E$7:$E$1002,ENTRADAS!$B$7:$B$1002,"&lt;=" &amp; SAÍDAS!$B167,ENTRADAS!$C$7:$C$1002,SAÍDAS!$C167)-SUMIFS(SAÍDAS!$J$7:$J$289,SAÍDAS!$B$7:$B$289,"&lt;=" &amp; SAÍDAS!$B167,SAÍDAS!$C$7:$C$289,SAÍDAS!$C167)</f>
        <v>8</v>
      </c>
      <c r="L167" s="179">
        <f t="shared" si="2"/>
        <v>0</v>
      </c>
      <c r="M167" s="170"/>
    </row>
    <row r="168" spans="1:13" ht="15.75" customHeight="1">
      <c r="A168" s="167"/>
      <c r="B168" s="173">
        <v>46056</v>
      </c>
      <c r="C168" s="174" t="s">
        <v>109</v>
      </c>
      <c r="D168" s="174">
        <v>3</v>
      </c>
      <c r="E168" s="174"/>
      <c r="F168" s="174"/>
      <c r="G168" s="185"/>
      <c r="H168" s="186"/>
      <c r="I168" s="177"/>
      <c r="J168" s="178">
        <f>SAÍDAS!$D168-SAÍDAS!$G168</f>
        <v>3</v>
      </c>
      <c r="K168" s="178">
        <f>SUMIFS(ENTRADAS!$E$7:$E$1002,ENTRADAS!$B$7:$B$1002,"&lt;=" &amp; SAÍDAS!$B168,ENTRADAS!$C$7:$C$1002,SAÍDAS!$C168)-SUMIFS(SAÍDAS!$J$7:$J$289,SAÍDAS!$B$7:$B$289,"&lt;=" &amp; SAÍDAS!$B168,SAÍDAS!$C$7:$C$289,SAÍDAS!$C168)</f>
        <v>37</v>
      </c>
      <c r="L168" s="179">
        <f t="shared" si="2"/>
        <v>0</v>
      </c>
      <c r="M168" s="170"/>
    </row>
    <row r="169" spans="1:13" ht="15.75" customHeight="1">
      <c r="A169" s="167"/>
      <c r="B169" s="173">
        <v>46056</v>
      </c>
      <c r="C169" s="174" t="s">
        <v>112</v>
      </c>
      <c r="D169" s="174">
        <v>1</v>
      </c>
      <c r="E169" s="174"/>
      <c r="F169" s="181"/>
      <c r="G169" s="185"/>
      <c r="H169" s="186"/>
      <c r="I169" s="177"/>
      <c r="J169" s="178">
        <f>SAÍDAS!$D169-SAÍDAS!$G169</f>
        <v>1</v>
      </c>
      <c r="K169" s="178">
        <f>SUMIFS(ENTRADAS!$E$7:$E$1002,ENTRADAS!$B$7:$B$1002,"&lt;=" &amp; SAÍDAS!$B169,ENTRADAS!$C$7:$C$1002,SAÍDAS!$C169)-SUMIFS(SAÍDAS!$J$7:$J$289,SAÍDAS!$B$7:$B$289,"&lt;=" &amp; SAÍDAS!$B169,SAÍDAS!$C$7:$C$289,SAÍDAS!$C169)</f>
        <v>2</v>
      </c>
      <c r="L169" s="179">
        <f t="shared" si="2"/>
        <v>0</v>
      </c>
      <c r="M169" s="170"/>
    </row>
    <row r="170" spans="1:13" ht="15.75" customHeight="1">
      <c r="A170" s="167"/>
      <c r="B170" s="173">
        <v>46056</v>
      </c>
      <c r="C170" s="174" t="s">
        <v>120</v>
      </c>
      <c r="D170" s="174">
        <v>1</v>
      </c>
      <c r="E170" s="174"/>
      <c r="F170" s="181"/>
      <c r="G170" s="185"/>
      <c r="H170" s="186"/>
      <c r="I170" s="177"/>
      <c r="J170" s="178">
        <f>SAÍDAS!$D170-SAÍDAS!$G170</f>
        <v>1</v>
      </c>
      <c r="K170" s="178">
        <f>SUMIFS(ENTRADAS!$E$7:$E$1002,ENTRADAS!$B$7:$B$1002,"&lt;=" &amp; SAÍDAS!$B170,ENTRADAS!$C$7:$C$1002,SAÍDAS!$C170)-SUMIFS(SAÍDAS!$J$7:$J$289,SAÍDAS!$B$7:$B$289,"&lt;=" &amp; SAÍDAS!$B170,SAÍDAS!$C$7:$C$289,SAÍDAS!$C170)</f>
        <v>7</v>
      </c>
      <c r="L170" s="179">
        <f t="shared" si="2"/>
        <v>0</v>
      </c>
      <c r="M170" s="170"/>
    </row>
    <row r="171" spans="1:13" ht="15.75" customHeight="1">
      <c r="A171" s="167"/>
      <c r="B171" s="173">
        <v>46056</v>
      </c>
      <c r="C171" s="174" t="s">
        <v>125</v>
      </c>
      <c r="D171" s="174">
        <v>1</v>
      </c>
      <c r="E171" s="174"/>
      <c r="F171" s="174"/>
      <c r="G171" s="185"/>
      <c r="H171" s="186"/>
      <c r="I171" s="177"/>
      <c r="J171" s="178">
        <f>SAÍDAS!$D171-SAÍDAS!$G171</f>
        <v>1</v>
      </c>
      <c r="K171" s="178">
        <f>SUMIFS(ENTRADAS!$E$7:$E$1002,ENTRADAS!$B$7:$B$1002,"&lt;=" &amp; SAÍDAS!$B171,ENTRADAS!$C$7:$C$1002,SAÍDAS!$C171)-SUMIFS(SAÍDAS!$J$7:$J$289,SAÍDAS!$B$7:$B$289,"&lt;=" &amp; SAÍDAS!$B171,SAÍDAS!$C$7:$C$289,SAÍDAS!$C171)</f>
        <v>4</v>
      </c>
      <c r="L171" s="179">
        <f t="shared" si="2"/>
        <v>0</v>
      </c>
      <c r="M171" s="170"/>
    </row>
    <row r="172" spans="1:13" ht="15.75" customHeight="1">
      <c r="A172" s="167"/>
      <c r="B172" s="173">
        <v>46056</v>
      </c>
      <c r="C172" s="174" t="s">
        <v>158</v>
      </c>
      <c r="D172" s="174">
        <v>2</v>
      </c>
      <c r="E172" s="174"/>
      <c r="F172" s="174"/>
      <c r="G172" s="185"/>
      <c r="H172" s="186"/>
      <c r="I172" s="177"/>
      <c r="J172" s="178">
        <f>SAÍDAS!$D172-SAÍDAS!$G172</f>
        <v>2</v>
      </c>
      <c r="K172" s="178">
        <f>SUMIFS(ENTRADAS!$E$7:$E$1002,ENTRADAS!$B$7:$B$1002,"&lt;=" &amp; SAÍDAS!$B172,ENTRADAS!$C$7:$C$1002,SAÍDAS!$C172)-SUMIFS(SAÍDAS!$J$7:$J$289,SAÍDAS!$B$7:$B$289,"&lt;=" &amp; SAÍDAS!$B172,SAÍDAS!$C$7:$C$289,SAÍDAS!$C172)</f>
        <v>9</v>
      </c>
      <c r="L172" s="179">
        <f t="shared" si="2"/>
        <v>0</v>
      </c>
      <c r="M172" s="170"/>
    </row>
    <row r="173" spans="1:13" ht="15.75" customHeight="1">
      <c r="A173" s="167"/>
      <c r="B173" s="173">
        <v>46056</v>
      </c>
      <c r="C173" s="174" t="s">
        <v>160</v>
      </c>
      <c r="D173" s="174">
        <v>1</v>
      </c>
      <c r="E173" s="174"/>
      <c r="F173" s="174"/>
      <c r="G173" s="185"/>
      <c r="H173" s="186"/>
      <c r="I173" s="177"/>
      <c r="J173" s="178">
        <f>SAÍDAS!$D173-SAÍDAS!$G173</f>
        <v>1</v>
      </c>
      <c r="K173" s="178">
        <f>SUMIFS(ENTRADAS!$E$7:$E$1002,ENTRADAS!$B$7:$B$1002,"&lt;=" &amp; SAÍDAS!$B173,ENTRADAS!$C$7:$C$1002,SAÍDAS!$C173)-SUMIFS(SAÍDAS!$J$7:$J$289,SAÍDAS!$B$7:$B$289,"&lt;=" &amp; SAÍDAS!$B173,SAÍDAS!$C$7:$C$289,SAÍDAS!$C173)</f>
        <v>2</v>
      </c>
      <c r="L173" s="179">
        <f t="shared" si="2"/>
        <v>0</v>
      </c>
      <c r="M173" s="170"/>
    </row>
    <row r="174" spans="1:13" ht="15.75" customHeight="1">
      <c r="A174" s="167"/>
      <c r="B174" s="173">
        <v>46056</v>
      </c>
      <c r="C174" s="174" t="s">
        <v>162</v>
      </c>
      <c r="D174" s="174">
        <v>1</v>
      </c>
      <c r="E174" s="174"/>
      <c r="F174" s="181"/>
      <c r="G174" s="185"/>
      <c r="H174" s="186"/>
      <c r="I174" s="177"/>
      <c r="J174" s="178">
        <f>SAÍDAS!$D174-SAÍDAS!$G174</f>
        <v>1</v>
      </c>
      <c r="K174" s="178">
        <f>SUMIFS(ENTRADAS!$E$7:$E$1002,ENTRADAS!$B$7:$B$1002,"&lt;=" &amp; SAÍDAS!$B174,ENTRADAS!$C$7:$C$1002,SAÍDAS!$C174)-SUMIFS(SAÍDAS!$J$7:$J$289,SAÍDAS!$B$7:$B$289,"&lt;=" &amp; SAÍDAS!$B174,SAÍDAS!$C$7:$C$289,SAÍDAS!$C174)</f>
        <v>3</v>
      </c>
      <c r="L174" s="179">
        <f t="shared" si="2"/>
        <v>0</v>
      </c>
      <c r="M174" s="170"/>
    </row>
    <row r="175" spans="1:13" ht="15.75" customHeight="1">
      <c r="A175" s="167"/>
      <c r="B175" s="173">
        <v>46056</v>
      </c>
      <c r="C175" s="174" t="s">
        <v>163</v>
      </c>
      <c r="D175" s="174">
        <v>1</v>
      </c>
      <c r="E175" s="174"/>
      <c r="F175" s="181"/>
      <c r="G175" s="185"/>
      <c r="H175" s="186"/>
      <c r="I175" s="177"/>
      <c r="J175" s="178">
        <f>SAÍDAS!$D175-SAÍDAS!$G175</f>
        <v>1</v>
      </c>
      <c r="K175" s="178">
        <f>SUMIFS(ENTRADAS!$E$7:$E$1002,ENTRADAS!$B$7:$B$1002,"&lt;=" &amp; SAÍDAS!$B175,ENTRADAS!$C$7:$C$1002,SAÍDAS!$C175)-SUMIFS(SAÍDAS!$J$7:$J$289,SAÍDAS!$B$7:$B$289,"&lt;=" &amp; SAÍDAS!$B175,SAÍDAS!$C$7:$C$289,SAÍDAS!$C175)</f>
        <v>5</v>
      </c>
      <c r="L175" s="179">
        <f t="shared" si="2"/>
        <v>0</v>
      </c>
      <c r="M175" s="170"/>
    </row>
    <row r="176" spans="1:13" ht="15.75" customHeight="1">
      <c r="A176" s="167"/>
      <c r="B176" s="173">
        <v>46056</v>
      </c>
      <c r="C176" s="174" t="s">
        <v>166</v>
      </c>
      <c r="D176" s="174">
        <v>1</v>
      </c>
      <c r="E176" s="174"/>
      <c r="F176" s="181"/>
      <c r="G176" s="185"/>
      <c r="H176" s="186"/>
      <c r="I176" s="177"/>
      <c r="J176" s="178">
        <f>SAÍDAS!$D176-SAÍDAS!$G176</f>
        <v>1</v>
      </c>
      <c r="K176" s="178">
        <f>SUMIFS(ENTRADAS!$E$7:$E$1002,ENTRADAS!$B$7:$B$1002,"&lt;=" &amp; SAÍDAS!$B176,ENTRADAS!$C$7:$C$1002,SAÍDAS!$C176)-SUMIFS(SAÍDAS!$J$7:$J$289,SAÍDAS!$B$7:$B$289,"&lt;=" &amp; SAÍDAS!$B176,SAÍDAS!$C$7:$C$289,SAÍDAS!$C176)</f>
        <v>7</v>
      </c>
      <c r="L176" s="179">
        <f t="shared" si="2"/>
        <v>0</v>
      </c>
      <c r="M176" s="170"/>
    </row>
    <row r="177" spans="1:13" ht="15.75" customHeight="1">
      <c r="A177" s="167"/>
      <c r="B177" s="173">
        <v>46056</v>
      </c>
      <c r="C177" s="174" t="s">
        <v>168</v>
      </c>
      <c r="D177" s="174">
        <v>20</v>
      </c>
      <c r="E177" s="174"/>
      <c r="F177" s="181"/>
      <c r="G177" s="185"/>
      <c r="H177" s="186"/>
      <c r="I177" s="177"/>
      <c r="J177" s="178">
        <f>SAÍDAS!$D177-SAÍDAS!$G177</f>
        <v>20</v>
      </c>
      <c r="K177" s="178">
        <f>SUMIFS(ENTRADAS!$E$7:$E$1002,ENTRADAS!$B$7:$B$1002,"&lt;=" &amp; SAÍDAS!$B177,ENTRADAS!$C$7:$C$1002,SAÍDAS!$C177)-SUMIFS(SAÍDAS!$J$7:$J$289,SAÍDAS!$B$7:$B$289,"&lt;=" &amp; SAÍDAS!$B177,SAÍDAS!$C$7:$C$289,SAÍDAS!$C177)</f>
        <v>16</v>
      </c>
      <c r="L177" s="179">
        <f t="shared" si="2"/>
        <v>0</v>
      </c>
      <c r="M177" s="170"/>
    </row>
    <row r="178" spans="1:13" ht="15.75" customHeight="1">
      <c r="A178" s="167"/>
      <c r="B178" s="173">
        <v>46056</v>
      </c>
      <c r="C178" s="174" t="s">
        <v>170</v>
      </c>
      <c r="D178" s="174">
        <v>1</v>
      </c>
      <c r="E178" s="174"/>
      <c r="F178" s="181"/>
      <c r="G178" s="185"/>
      <c r="H178" s="186"/>
      <c r="I178" s="177"/>
      <c r="J178" s="178">
        <f>SAÍDAS!$D178-SAÍDAS!$G178</f>
        <v>1</v>
      </c>
      <c r="K178" s="178">
        <f>SUMIFS(ENTRADAS!$E$7:$E$1002,ENTRADAS!$B$7:$B$1002,"&lt;=" &amp; SAÍDAS!$B178,ENTRADAS!$C$7:$C$1002,SAÍDAS!$C178)-SUMIFS(SAÍDAS!$J$7:$J$289,SAÍDAS!$B$7:$B$289,"&lt;=" &amp; SAÍDAS!$B178,SAÍDAS!$C$7:$C$289,SAÍDAS!$C178)</f>
        <v>12</v>
      </c>
      <c r="L178" s="179">
        <f t="shared" si="2"/>
        <v>0</v>
      </c>
      <c r="M178" s="170"/>
    </row>
    <row r="179" spans="1:13" ht="15.75" customHeight="1">
      <c r="A179" s="167"/>
      <c r="B179" s="173">
        <v>46056</v>
      </c>
      <c r="C179" s="182" t="s">
        <v>175</v>
      </c>
      <c r="D179" s="174">
        <v>1</v>
      </c>
      <c r="E179" s="174"/>
      <c r="F179" s="181"/>
      <c r="G179" s="185"/>
      <c r="H179" s="186"/>
      <c r="I179" s="177"/>
      <c r="J179" s="178">
        <f>SAÍDAS!$D179-SAÍDAS!$G179</f>
        <v>1</v>
      </c>
      <c r="K179" s="178">
        <f>SUMIFS(ENTRADAS!$E$7:$E$1002,ENTRADAS!$B$7:$B$1002,"&lt;=" &amp; SAÍDAS!$B179,ENTRADAS!$C$7:$C$1002,SAÍDAS!$C179)-SUMIFS(SAÍDAS!$J$7:$J$289,SAÍDAS!$B$7:$B$289,"&lt;=" &amp; SAÍDAS!$B179,SAÍDAS!$C$7:$C$289,SAÍDAS!$C179)</f>
        <v>3</v>
      </c>
      <c r="L179" s="179">
        <f t="shared" si="2"/>
        <v>0</v>
      </c>
      <c r="M179" s="170"/>
    </row>
    <row r="180" spans="1:13" ht="15.75" customHeight="1">
      <c r="A180" s="167"/>
      <c r="B180" s="173">
        <v>46056</v>
      </c>
      <c r="C180" s="174" t="s">
        <v>177</v>
      </c>
      <c r="D180" s="174">
        <v>1</v>
      </c>
      <c r="E180" s="174"/>
      <c r="F180" s="174"/>
      <c r="G180" s="185"/>
      <c r="H180" s="186"/>
      <c r="I180" s="177"/>
      <c r="J180" s="178">
        <f>SAÍDAS!$D180-SAÍDAS!$G180</f>
        <v>1</v>
      </c>
      <c r="K180" s="178">
        <f>SUMIFS(ENTRADAS!$E$7:$E$1002,ENTRADAS!$B$7:$B$1002,"&lt;=" &amp; SAÍDAS!$B180,ENTRADAS!$C$7:$C$1002,SAÍDAS!$C180)-SUMIFS(SAÍDAS!$J$7:$J$289,SAÍDAS!$B$7:$B$289,"&lt;=" &amp; SAÍDAS!$B180,SAÍDAS!$C$7:$C$289,SAÍDAS!$C180)</f>
        <v>16</v>
      </c>
      <c r="L180" s="179">
        <f t="shared" si="2"/>
        <v>0</v>
      </c>
      <c r="M180" s="170"/>
    </row>
    <row r="181" spans="1:13" ht="15.75" customHeight="1">
      <c r="A181" s="167"/>
      <c r="B181" s="173">
        <v>46056</v>
      </c>
      <c r="C181" s="174" t="s">
        <v>186</v>
      </c>
      <c r="D181" s="174">
        <v>1</v>
      </c>
      <c r="E181" s="174"/>
      <c r="F181" s="174"/>
      <c r="G181" s="185"/>
      <c r="H181" s="186"/>
      <c r="I181" s="177"/>
      <c r="J181" s="178">
        <f>SAÍDAS!$D181-SAÍDAS!$G181</f>
        <v>1</v>
      </c>
      <c r="K181" s="178">
        <f>SUMIFS(ENTRADAS!$E$7:$E$1002,ENTRADAS!$B$7:$B$1002,"&lt;=" &amp; SAÍDAS!$B181,ENTRADAS!$C$7:$C$1002,SAÍDAS!$C181)-SUMIFS(SAÍDAS!$J$7:$J$289,SAÍDAS!$B$7:$B$289,"&lt;=" &amp; SAÍDAS!$B181,SAÍDAS!$C$7:$C$289,SAÍDAS!$C181)</f>
        <v>4</v>
      </c>
      <c r="L181" s="179">
        <f t="shared" si="2"/>
        <v>0</v>
      </c>
      <c r="M181" s="170"/>
    </row>
    <row r="182" spans="1:13" ht="15.75" customHeight="1">
      <c r="A182" s="167"/>
      <c r="B182" s="173">
        <v>46056</v>
      </c>
      <c r="C182" s="174" t="s">
        <v>188</v>
      </c>
      <c r="D182" s="174">
        <v>1</v>
      </c>
      <c r="E182" s="174"/>
      <c r="F182" s="174"/>
      <c r="G182" s="185"/>
      <c r="H182" s="186"/>
      <c r="I182" s="177"/>
      <c r="J182" s="178">
        <f>SAÍDAS!$D182-SAÍDAS!$G182</f>
        <v>1</v>
      </c>
      <c r="K182" s="178">
        <f>SUMIFS(ENTRADAS!$E$7:$E$1002,ENTRADAS!$B$7:$B$1002,"&lt;=" &amp; SAÍDAS!$B182,ENTRADAS!$C$7:$C$1002,SAÍDAS!$C182)-SUMIFS(SAÍDAS!$J$7:$J$289,SAÍDAS!$B$7:$B$289,"&lt;=" &amp; SAÍDAS!$B182,SAÍDAS!$C$7:$C$289,SAÍDAS!$C182)</f>
        <v>7</v>
      </c>
      <c r="L182" s="179">
        <f t="shared" si="2"/>
        <v>0</v>
      </c>
      <c r="M182" s="170"/>
    </row>
    <row r="183" spans="1:13" ht="15.75" customHeight="1">
      <c r="A183" s="167"/>
      <c r="B183" s="173">
        <v>46056</v>
      </c>
      <c r="C183" s="174" t="s">
        <v>194</v>
      </c>
      <c r="D183" s="174">
        <v>19</v>
      </c>
      <c r="E183" s="174"/>
      <c r="F183" s="174"/>
      <c r="G183" s="185"/>
      <c r="H183" s="186"/>
      <c r="I183" s="177"/>
      <c r="J183" s="178">
        <f>SAÍDAS!$D183-SAÍDAS!$G183</f>
        <v>19</v>
      </c>
      <c r="K183" s="178">
        <f>SUMIFS(ENTRADAS!$E$7:$E$1002,ENTRADAS!$B$7:$B$1002,"&lt;=" &amp; SAÍDAS!$B183,ENTRADAS!$C$7:$C$1002,SAÍDAS!$C183)-SUMIFS(SAÍDAS!$J$7:$J$289,SAÍDAS!$B$7:$B$289,"&lt;=" &amp; SAÍDAS!$B183,SAÍDAS!$C$7:$C$289,SAÍDAS!$C183)</f>
        <v>14</v>
      </c>
      <c r="L183" s="179">
        <f t="shared" si="2"/>
        <v>0</v>
      </c>
      <c r="M183" s="170"/>
    </row>
    <row r="184" spans="1:13" ht="15.75" customHeight="1">
      <c r="A184" s="167"/>
      <c r="B184" s="173">
        <v>46056</v>
      </c>
      <c r="C184" s="174" t="s">
        <v>198</v>
      </c>
      <c r="D184" s="174">
        <v>7</v>
      </c>
      <c r="E184" s="174"/>
      <c r="F184" s="181"/>
      <c r="G184" s="185"/>
      <c r="H184" s="186"/>
      <c r="I184" s="177"/>
      <c r="J184" s="178">
        <f>SAÍDAS!$D184-SAÍDAS!$G184</f>
        <v>7</v>
      </c>
      <c r="K184" s="178">
        <f>SUMIFS(ENTRADAS!$E$7:$E$1002,ENTRADAS!$B$7:$B$1002,"&lt;=" &amp; SAÍDAS!$B184,ENTRADAS!$C$7:$C$1002,SAÍDAS!$C184)-SUMIFS(SAÍDAS!$J$7:$J$289,SAÍDAS!$B$7:$B$289,"&lt;=" &amp; SAÍDAS!$B184,SAÍDAS!$C$7:$C$289,SAÍDAS!$C184)</f>
        <v>3</v>
      </c>
      <c r="L184" s="179">
        <f t="shared" si="2"/>
        <v>0</v>
      </c>
      <c r="M184" s="170"/>
    </row>
    <row r="185" spans="1:13" ht="15.75" customHeight="1">
      <c r="A185" s="167"/>
      <c r="B185" s="173">
        <v>46056</v>
      </c>
      <c r="C185" s="174" t="s">
        <v>200</v>
      </c>
      <c r="D185" s="174">
        <v>1</v>
      </c>
      <c r="E185" s="174"/>
      <c r="F185" s="181"/>
      <c r="G185" s="185"/>
      <c r="H185" s="186"/>
      <c r="I185" s="177"/>
      <c r="J185" s="178">
        <f>SAÍDAS!$D185-SAÍDAS!$G185</f>
        <v>1</v>
      </c>
      <c r="K185" s="178">
        <f>SUMIFS(ENTRADAS!$E$7:$E$1002,ENTRADAS!$B$7:$B$1002,"&lt;=" &amp; SAÍDAS!$B185,ENTRADAS!$C$7:$C$1002,SAÍDAS!$C185)-SUMIFS(SAÍDAS!$J$7:$J$289,SAÍDAS!$B$7:$B$289,"&lt;=" &amp; SAÍDAS!$B185,SAÍDAS!$C$7:$C$289,SAÍDAS!$C185)</f>
        <v>4</v>
      </c>
      <c r="L185" s="179">
        <f t="shared" si="2"/>
        <v>0</v>
      </c>
      <c r="M185" s="170"/>
    </row>
    <row r="186" spans="1:13" ht="15.75" customHeight="1">
      <c r="A186" s="167"/>
      <c r="B186" s="173">
        <v>46056</v>
      </c>
      <c r="C186" s="174" t="s">
        <v>217</v>
      </c>
      <c r="D186" s="174">
        <v>1</v>
      </c>
      <c r="E186" s="174"/>
      <c r="F186" s="174"/>
      <c r="G186" s="185"/>
      <c r="H186" s="186"/>
      <c r="I186" s="177"/>
      <c r="J186" s="178">
        <f>SAÍDAS!$D186-SAÍDAS!$G186</f>
        <v>1</v>
      </c>
      <c r="K186" s="178">
        <f>SUMIFS(ENTRADAS!$E$7:$E$1002,ENTRADAS!$B$7:$B$1002,"&lt;=" &amp; SAÍDAS!$B186,ENTRADAS!$C$7:$C$1002,SAÍDAS!$C186)-SUMIFS(SAÍDAS!$J$7:$J$289,SAÍDAS!$B$7:$B$289,"&lt;=" &amp; SAÍDAS!$B186,SAÍDAS!$C$7:$C$289,SAÍDAS!$C186)</f>
        <v>6</v>
      </c>
      <c r="L186" s="179">
        <f t="shared" si="2"/>
        <v>0</v>
      </c>
      <c r="M186" s="170"/>
    </row>
    <row r="187" spans="1:13" ht="15.75" customHeight="1">
      <c r="A187" s="167"/>
      <c r="B187" s="173">
        <v>46056</v>
      </c>
      <c r="C187" s="174" t="s">
        <v>224</v>
      </c>
      <c r="D187" s="174">
        <v>1</v>
      </c>
      <c r="E187" s="174"/>
      <c r="F187" s="174"/>
      <c r="G187" s="185"/>
      <c r="H187" s="186"/>
      <c r="I187" s="177"/>
      <c r="J187" s="178">
        <f>SAÍDAS!$D187-SAÍDAS!$G187</f>
        <v>1</v>
      </c>
      <c r="K187" s="178">
        <f>SUMIFS(ENTRADAS!$E$7:$E$1002,ENTRADAS!$B$7:$B$1002,"&lt;=" &amp; SAÍDAS!$B187,ENTRADAS!$C$7:$C$1002,SAÍDAS!$C187)-SUMIFS(SAÍDAS!$J$7:$J$289,SAÍDAS!$B$7:$B$289,"&lt;=" &amp; SAÍDAS!$B187,SAÍDAS!$C$7:$C$289,SAÍDAS!$C187)</f>
        <v>5</v>
      </c>
      <c r="L187" s="179">
        <f t="shared" si="2"/>
        <v>0</v>
      </c>
      <c r="M187" s="170"/>
    </row>
    <row r="188" spans="1:13" ht="15.75" customHeight="1">
      <c r="A188" s="167"/>
      <c r="B188" s="173">
        <v>46056</v>
      </c>
      <c r="C188" s="174" t="s">
        <v>296</v>
      </c>
      <c r="D188" s="174">
        <v>1</v>
      </c>
      <c r="E188" s="174"/>
      <c r="F188" s="174"/>
      <c r="G188" s="185"/>
      <c r="H188" s="186"/>
      <c r="I188" s="177"/>
      <c r="J188" s="178">
        <f>SAÍDAS!$D188-SAÍDAS!$G188</f>
        <v>1</v>
      </c>
      <c r="K188" s="178">
        <f>SUMIFS(ENTRADAS!$E$7:$E$1002,ENTRADAS!$B$7:$B$1002,"&lt;=" &amp; SAÍDAS!$B188,ENTRADAS!$C$7:$C$1002,SAÍDAS!$C188)-SUMIFS(SAÍDAS!$J$7:$J$289,SAÍDAS!$B$7:$B$289,"&lt;=" &amp; SAÍDAS!$B188,SAÍDAS!$C$7:$C$289,SAÍDAS!$C188)</f>
        <v>3</v>
      </c>
      <c r="L188" s="179">
        <f t="shared" si="2"/>
        <v>0</v>
      </c>
      <c r="M188" s="170"/>
    </row>
    <row r="189" spans="1:13" ht="15.75" customHeight="1">
      <c r="A189" s="167"/>
      <c r="B189" s="173">
        <v>46056</v>
      </c>
      <c r="C189" s="174" t="s">
        <v>295</v>
      </c>
      <c r="D189" s="174">
        <v>2</v>
      </c>
      <c r="E189" s="174"/>
      <c r="F189" s="181"/>
      <c r="G189" s="185"/>
      <c r="H189" s="186"/>
      <c r="I189" s="177"/>
      <c r="J189" s="178">
        <f>SAÍDAS!$D189-SAÍDAS!$G189</f>
        <v>2</v>
      </c>
      <c r="K189" s="178">
        <f>SUMIFS(ENTRADAS!$E$7:$E$1002,ENTRADAS!$B$7:$B$1002,"&lt;=" &amp; SAÍDAS!$B189,ENTRADAS!$C$7:$C$1002,SAÍDAS!$C189)-SUMIFS(SAÍDAS!$J$7:$J$289,SAÍDAS!$B$7:$B$289,"&lt;=" &amp; SAÍDAS!$B189,SAÍDAS!$C$7:$C$289,SAÍDAS!$C189)</f>
        <v>5</v>
      </c>
      <c r="L189" s="179">
        <f t="shared" si="2"/>
        <v>0</v>
      </c>
      <c r="M189" s="170"/>
    </row>
    <row r="190" spans="1:13" ht="15.75" customHeight="1">
      <c r="A190" s="167"/>
      <c r="B190" s="173">
        <v>46056</v>
      </c>
      <c r="C190" s="182" t="s">
        <v>299</v>
      </c>
      <c r="D190" s="174">
        <v>3</v>
      </c>
      <c r="E190" s="174"/>
      <c r="F190" s="181"/>
      <c r="G190" s="185"/>
      <c r="H190" s="186"/>
      <c r="I190" s="177"/>
      <c r="J190" s="178">
        <f>SAÍDAS!$D190-SAÍDAS!$G190</f>
        <v>3</v>
      </c>
      <c r="K190" s="178">
        <f>SUMIFS(ENTRADAS!$E$7:$E$1002,ENTRADAS!$B$7:$B$1002,"&lt;=" &amp; SAÍDAS!$B190,ENTRADAS!$C$7:$C$1002,SAÍDAS!$C190)-SUMIFS(SAÍDAS!$J$7:$J$289,SAÍDAS!$B$7:$B$289,"&lt;=" &amp; SAÍDAS!$B190,SAÍDAS!$C$7:$C$289,SAÍDAS!$C190)</f>
        <v>4</v>
      </c>
      <c r="L190" s="179">
        <f t="shared" ref="L190:L251" si="3">I190*J190</f>
        <v>0</v>
      </c>
      <c r="M190" s="170"/>
    </row>
    <row r="191" spans="1:13" ht="15.75" customHeight="1">
      <c r="A191" s="167"/>
      <c r="B191" s="173">
        <v>46056</v>
      </c>
      <c r="C191" s="180" t="s">
        <v>307</v>
      </c>
      <c r="D191" s="174">
        <v>1</v>
      </c>
      <c r="E191" s="174"/>
      <c r="F191" s="181"/>
      <c r="G191" s="185"/>
      <c r="H191" s="186"/>
      <c r="I191" s="177"/>
      <c r="J191" s="178">
        <f>SAÍDAS!$D191-SAÍDAS!$G191</f>
        <v>1</v>
      </c>
      <c r="K191" s="178">
        <f>SUMIFS(ENTRADAS!$E$7:$E$1002,ENTRADAS!$B$7:$B$1002,"&lt;=" &amp; SAÍDAS!$B191,ENTRADAS!$C$7:$C$1002,SAÍDAS!$C191)-SUMIFS(SAÍDAS!$J$7:$J$289,SAÍDAS!$B$7:$B$289,"&lt;=" &amp; SAÍDAS!$B191,SAÍDAS!$C$7:$C$289,SAÍDAS!$C191)</f>
        <v>1</v>
      </c>
      <c r="L191" s="179">
        <f t="shared" si="3"/>
        <v>0</v>
      </c>
      <c r="M191" s="170"/>
    </row>
    <row r="192" spans="1:13" ht="15.75" customHeight="1">
      <c r="A192" s="167"/>
      <c r="B192" s="173">
        <v>46056</v>
      </c>
      <c r="C192" s="174" t="s">
        <v>144</v>
      </c>
      <c r="D192" s="174">
        <v>1</v>
      </c>
      <c r="E192" s="174"/>
      <c r="F192" s="181"/>
      <c r="G192" s="185"/>
      <c r="H192" s="186"/>
      <c r="I192" s="177"/>
      <c r="J192" s="178">
        <f>SAÍDAS!$D192-SAÍDAS!$G192</f>
        <v>1</v>
      </c>
      <c r="K192" s="178">
        <f>SUMIFS(ENTRADAS!$E$7:$E$1002,ENTRADAS!$B$7:$B$1002,"&lt;=" &amp; SAÍDAS!$B192,ENTRADAS!$C$7:$C$1002,SAÍDAS!$C192)-SUMIFS(SAÍDAS!$J$7:$J$289,SAÍDAS!$B$7:$B$289,"&lt;=" &amp; SAÍDAS!$B192,SAÍDAS!$C$7:$C$289,SAÍDAS!$C192)</f>
        <v>2</v>
      </c>
      <c r="L192" s="179">
        <f t="shared" si="3"/>
        <v>0</v>
      </c>
      <c r="M192" s="170"/>
    </row>
    <row r="193" spans="1:13" ht="15.75" customHeight="1">
      <c r="A193" s="167"/>
      <c r="B193" s="173">
        <v>46056</v>
      </c>
      <c r="C193" s="174" t="s">
        <v>146</v>
      </c>
      <c r="D193" s="174">
        <v>2</v>
      </c>
      <c r="E193" s="174"/>
      <c r="F193" s="174"/>
      <c r="G193" s="185"/>
      <c r="H193" s="186"/>
      <c r="I193" s="177"/>
      <c r="J193" s="178">
        <f>SAÍDAS!$D193-SAÍDAS!$G193</f>
        <v>2</v>
      </c>
      <c r="K193" s="178">
        <f>SUMIFS(ENTRADAS!$E$7:$E$1002,ENTRADAS!$B$7:$B$1002,"&lt;=" &amp; SAÍDAS!$B193,ENTRADAS!$C$7:$C$1002,SAÍDAS!$C193)-SUMIFS(SAÍDAS!$J$7:$J$289,SAÍDAS!$B$7:$B$289,"&lt;=" &amp; SAÍDAS!$B193,SAÍDAS!$C$7:$C$289,SAÍDAS!$C193)</f>
        <v>4</v>
      </c>
      <c r="L193" s="179">
        <f t="shared" si="3"/>
        <v>0</v>
      </c>
      <c r="M193" s="170"/>
    </row>
    <row r="194" spans="1:13" ht="15.75" customHeight="1">
      <c r="A194" s="167"/>
      <c r="B194" s="173">
        <v>46057</v>
      </c>
      <c r="C194" s="174" t="s">
        <v>105</v>
      </c>
      <c r="D194" s="174">
        <v>2</v>
      </c>
      <c r="E194" s="174"/>
      <c r="F194" s="174"/>
      <c r="G194" s="185"/>
      <c r="H194" s="186"/>
      <c r="I194" s="177"/>
      <c r="J194" s="178">
        <f>SAÍDAS!$D194-SAÍDAS!$G194</f>
        <v>2</v>
      </c>
      <c r="K194" s="178">
        <f>SUMIFS(ENTRADAS!$E$7:$E$1002,ENTRADAS!$B$7:$B$1002,"&lt;=" &amp; SAÍDAS!$B194,ENTRADAS!$C$7:$C$1002,SAÍDAS!$C194)-SUMIFS(SAÍDAS!$J$7:$J$289,SAÍDAS!$B$7:$B$289,"&lt;=" &amp; SAÍDAS!$B194,SAÍDAS!$C$7:$C$289,SAÍDAS!$C194)</f>
        <v>19</v>
      </c>
      <c r="L194" s="179">
        <f t="shared" si="3"/>
        <v>0</v>
      </c>
      <c r="M194" s="170"/>
    </row>
    <row r="195" spans="1:13" ht="15.75" customHeight="1">
      <c r="A195" s="167"/>
      <c r="B195" s="173">
        <v>46057</v>
      </c>
      <c r="C195" s="174" t="s">
        <v>104</v>
      </c>
      <c r="D195" s="174">
        <v>2</v>
      </c>
      <c r="E195" s="174"/>
      <c r="F195" s="181"/>
      <c r="G195" s="185"/>
      <c r="H195" s="186"/>
      <c r="I195" s="177"/>
      <c r="J195" s="178">
        <f>SAÍDAS!$D195-SAÍDAS!$G195</f>
        <v>2</v>
      </c>
      <c r="K195" s="178">
        <f>SUMIFS(ENTRADAS!$E$7:$E$1002,ENTRADAS!$B$7:$B$1002,"&lt;=" &amp; SAÍDAS!$B195,ENTRADAS!$C$7:$C$1002,SAÍDAS!$C195)-SUMIFS(SAÍDAS!$J$7:$J$289,SAÍDAS!$B$7:$B$289,"&lt;=" &amp; SAÍDAS!$B195,SAÍDAS!$C$7:$C$289,SAÍDAS!$C195)</f>
        <v>27</v>
      </c>
      <c r="L195" s="179">
        <f t="shared" si="3"/>
        <v>0</v>
      </c>
      <c r="M195" s="170"/>
    </row>
    <row r="196" spans="1:13" ht="15.75" customHeight="1">
      <c r="A196" s="167"/>
      <c r="B196" s="173">
        <v>46057</v>
      </c>
      <c r="C196" s="174" t="s">
        <v>103</v>
      </c>
      <c r="D196" s="174">
        <v>1</v>
      </c>
      <c r="E196" s="174"/>
      <c r="F196" s="181"/>
      <c r="G196" s="185"/>
      <c r="H196" s="186"/>
      <c r="I196" s="177"/>
      <c r="J196" s="178">
        <f>SAÍDAS!$D196-SAÍDAS!$G196</f>
        <v>1</v>
      </c>
      <c r="K196" s="178">
        <f>SUMIFS(ENTRADAS!$E$7:$E$1002,ENTRADAS!$B$7:$B$1002,"&lt;=" &amp; SAÍDAS!$B196,ENTRADAS!$C$7:$C$1002,SAÍDAS!$C196)-SUMIFS(SAÍDAS!$J$7:$J$289,SAÍDAS!$B$7:$B$289,"&lt;=" &amp; SAÍDAS!$B196,SAÍDAS!$C$7:$C$289,SAÍDAS!$C196)</f>
        <v>115</v>
      </c>
      <c r="L196" s="179">
        <f t="shared" si="3"/>
        <v>0</v>
      </c>
      <c r="M196" s="170"/>
    </row>
    <row r="197" spans="1:13" ht="15.75" customHeight="1">
      <c r="A197" s="167"/>
      <c r="B197" s="173">
        <v>46057</v>
      </c>
      <c r="C197" s="174" t="s">
        <v>102</v>
      </c>
      <c r="D197" s="174">
        <v>1</v>
      </c>
      <c r="E197" s="174"/>
      <c r="F197" s="181"/>
      <c r="G197" s="185"/>
      <c r="H197" s="186"/>
      <c r="I197" s="177"/>
      <c r="J197" s="178">
        <f>SAÍDAS!$D197-SAÍDAS!$G197</f>
        <v>1</v>
      </c>
      <c r="K197" s="178">
        <f>SUMIFS(ENTRADAS!$E$7:$E$1002,ENTRADAS!$B$7:$B$1002,"&lt;=" &amp; SAÍDAS!$B197,ENTRADAS!$C$7:$C$1002,SAÍDAS!$C197)-SUMIFS(SAÍDAS!$J$7:$J$289,SAÍDAS!$B$7:$B$289,"&lt;=" &amp; SAÍDAS!$B197,SAÍDAS!$C$7:$C$289,SAÍDAS!$C197)</f>
        <v>109</v>
      </c>
      <c r="L197" s="179">
        <f t="shared" si="3"/>
        <v>0</v>
      </c>
      <c r="M197" s="170"/>
    </row>
    <row r="198" spans="1:13" ht="15.75" customHeight="1">
      <c r="A198" s="167"/>
      <c r="B198" s="173">
        <v>46057</v>
      </c>
      <c r="C198" s="174" t="s">
        <v>209</v>
      </c>
      <c r="D198" s="174">
        <v>1</v>
      </c>
      <c r="E198" s="174"/>
      <c r="F198" s="181"/>
      <c r="G198" s="185"/>
      <c r="H198" s="186"/>
      <c r="I198" s="177"/>
      <c r="J198" s="178">
        <f>SAÍDAS!$D198-SAÍDAS!$G198</f>
        <v>1</v>
      </c>
      <c r="K198" s="178">
        <f>SUMIFS(ENTRADAS!$E$7:$E$1002,ENTRADAS!$B$7:$B$1002,"&lt;=" &amp; SAÍDAS!$B198,ENTRADAS!$C$7:$C$1002,SAÍDAS!$C198)-SUMIFS(SAÍDAS!$J$7:$J$289,SAÍDAS!$B$7:$B$289,"&lt;=" &amp; SAÍDAS!$B198,SAÍDAS!$C$7:$C$289,SAÍDAS!$C198)</f>
        <v>6</v>
      </c>
      <c r="L198" s="179">
        <f t="shared" si="3"/>
        <v>0</v>
      </c>
      <c r="M198" s="170"/>
    </row>
    <row r="199" spans="1:13" ht="15.75" customHeight="1">
      <c r="A199" s="167"/>
      <c r="B199" s="173">
        <v>46057</v>
      </c>
      <c r="C199" s="174" t="s">
        <v>171</v>
      </c>
      <c r="D199" s="174">
        <v>1</v>
      </c>
      <c r="E199" s="174"/>
      <c r="F199" s="174"/>
      <c r="G199" s="185"/>
      <c r="H199" s="186"/>
      <c r="I199" s="177"/>
      <c r="J199" s="178">
        <f>SAÍDAS!$D199-SAÍDAS!$G199</f>
        <v>1</v>
      </c>
      <c r="K199" s="178">
        <f>SUMIFS(ENTRADAS!$E$7:$E$1002,ENTRADAS!$B$7:$B$1002,"&lt;=" &amp; SAÍDAS!$B199,ENTRADAS!$C$7:$C$1002,SAÍDAS!$C199)-SUMIFS(SAÍDAS!$J$7:$J$289,SAÍDAS!$B$7:$B$289,"&lt;=" &amp; SAÍDAS!$B199,SAÍDAS!$C$7:$C$289,SAÍDAS!$C199)</f>
        <v>4</v>
      </c>
      <c r="L199" s="179">
        <f t="shared" si="3"/>
        <v>0</v>
      </c>
      <c r="M199" s="170"/>
    </row>
    <row r="200" spans="1:13" ht="15.75" customHeight="1">
      <c r="A200" s="167"/>
      <c r="B200" s="173">
        <v>46057</v>
      </c>
      <c r="C200" s="174" t="s">
        <v>233</v>
      </c>
      <c r="D200" s="174">
        <v>3</v>
      </c>
      <c r="E200" s="174"/>
      <c r="F200" s="174"/>
      <c r="G200" s="185"/>
      <c r="H200" s="186"/>
      <c r="I200" s="177"/>
      <c r="J200" s="178">
        <f>SAÍDAS!$D200-SAÍDAS!$G200</f>
        <v>3</v>
      </c>
      <c r="K200" s="178">
        <f>SUMIFS(ENTRADAS!$E$7:$E$1002,ENTRADAS!$B$7:$B$1002,"&lt;=" &amp; SAÍDAS!$B200,ENTRADAS!$C$7:$C$1002,SAÍDAS!$C200)-SUMIFS(SAÍDAS!$J$7:$J$289,SAÍDAS!$B$7:$B$289,"&lt;=" &amp; SAÍDAS!$B200,SAÍDAS!$C$7:$C$289,SAÍDAS!$C200)</f>
        <v>68</v>
      </c>
      <c r="L200" s="179">
        <f t="shared" si="3"/>
        <v>0</v>
      </c>
      <c r="M200" s="170"/>
    </row>
    <row r="201" spans="1:13" ht="15.75" customHeight="1">
      <c r="A201" s="167"/>
      <c r="B201" s="173">
        <v>46057</v>
      </c>
      <c r="C201" s="174" t="s">
        <v>234</v>
      </c>
      <c r="D201" s="174">
        <v>4</v>
      </c>
      <c r="E201" s="174"/>
      <c r="F201" s="174"/>
      <c r="G201" s="185"/>
      <c r="H201" s="186"/>
      <c r="I201" s="177"/>
      <c r="J201" s="178">
        <f>SAÍDAS!$D201-SAÍDAS!$G201</f>
        <v>4</v>
      </c>
      <c r="K201" s="178">
        <f>SUMIFS(ENTRADAS!$E$7:$E$1002,ENTRADAS!$B$7:$B$1002,"&lt;=" &amp; SAÍDAS!$B201,ENTRADAS!$C$7:$C$1002,SAÍDAS!$C201)-SUMIFS(SAÍDAS!$J$7:$J$289,SAÍDAS!$B$7:$B$289,"&lt;=" &amp; SAÍDAS!$B201,SAÍDAS!$C$7:$C$289,SAÍDAS!$C201)</f>
        <v>40</v>
      </c>
      <c r="L201" s="179">
        <f t="shared" si="3"/>
        <v>0</v>
      </c>
      <c r="M201" s="170"/>
    </row>
    <row r="202" spans="1:13" ht="15.75" customHeight="1">
      <c r="A202" s="167"/>
      <c r="B202" s="173">
        <v>46057</v>
      </c>
      <c r="C202" s="174" t="s">
        <v>235</v>
      </c>
      <c r="D202" s="174">
        <v>1</v>
      </c>
      <c r="E202" s="174"/>
      <c r="F202" s="181"/>
      <c r="G202" s="185"/>
      <c r="H202" s="186"/>
      <c r="I202" s="177"/>
      <c r="J202" s="178">
        <f>SAÍDAS!$D202-SAÍDAS!$G202</f>
        <v>1</v>
      </c>
      <c r="K202" s="178">
        <f>SUMIFS(ENTRADAS!$E$7:$E$1002,ENTRADAS!$B$7:$B$1002,"&lt;=" &amp; SAÍDAS!$B202,ENTRADAS!$C$7:$C$1002,SAÍDAS!$C202)-SUMIFS(SAÍDAS!$J$7:$J$289,SAÍDAS!$B$7:$B$289,"&lt;=" &amp; SAÍDAS!$B202,SAÍDAS!$C$7:$C$289,SAÍDAS!$C202)</f>
        <v>27</v>
      </c>
      <c r="L202" s="179">
        <f t="shared" si="3"/>
        <v>0</v>
      </c>
      <c r="M202" s="170"/>
    </row>
    <row r="203" spans="1:13" ht="15.75" customHeight="1">
      <c r="A203" s="167"/>
      <c r="B203" s="173">
        <v>46057</v>
      </c>
      <c r="C203" s="174" t="s">
        <v>339</v>
      </c>
      <c r="D203" s="174">
        <v>2</v>
      </c>
      <c r="E203" s="174"/>
      <c r="F203" s="174"/>
      <c r="G203" s="185"/>
      <c r="H203" s="186"/>
      <c r="I203" s="177"/>
      <c r="J203" s="178">
        <f>SAÍDAS!$D203-SAÍDAS!$G203</f>
        <v>2</v>
      </c>
      <c r="K203" s="178">
        <f>SUMIFS(ENTRADAS!$E$7:$E$1002,ENTRADAS!$B$7:$B$1002,"&lt;=" &amp; SAÍDAS!$B203,ENTRADAS!$C$7:$C$1002,SAÍDAS!$C203)-SUMIFS(SAÍDAS!$J$7:$J$289,SAÍDAS!$B$7:$B$289,"&lt;=" &amp; SAÍDAS!$B203,SAÍDAS!$C$7:$C$289,SAÍDAS!$C203)</f>
        <v>-2</v>
      </c>
      <c r="L203" s="179">
        <f t="shared" si="3"/>
        <v>0</v>
      </c>
      <c r="M203" s="170"/>
    </row>
    <row r="204" spans="1:13" ht="15.75" customHeight="1">
      <c r="A204" s="167"/>
      <c r="B204" s="173">
        <v>46057</v>
      </c>
      <c r="C204" s="174" t="s">
        <v>101</v>
      </c>
      <c r="D204" s="174">
        <v>1</v>
      </c>
      <c r="E204" s="174"/>
      <c r="F204" s="174"/>
      <c r="G204" s="185"/>
      <c r="H204" s="186"/>
      <c r="I204" s="177"/>
      <c r="J204" s="178">
        <f>SAÍDAS!$D204-SAÍDAS!$G204</f>
        <v>1</v>
      </c>
      <c r="K204" s="178">
        <f>SUMIFS(ENTRADAS!$E$7:$E$1002,ENTRADAS!$B$7:$B$1002,"&lt;=" &amp; SAÍDAS!$B204,ENTRADAS!$C$7:$C$1002,SAÍDAS!$C204)-SUMIFS(SAÍDAS!$J$7:$J$289,SAÍDAS!$B$7:$B$289,"&lt;=" &amp; SAÍDAS!$B204,SAÍDAS!$C$7:$C$289,SAÍDAS!$C204)</f>
        <v>7</v>
      </c>
      <c r="L204" s="179">
        <f t="shared" si="3"/>
        <v>0</v>
      </c>
      <c r="M204" s="170"/>
    </row>
    <row r="205" spans="1:13" ht="15.75" customHeight="1">
      <c r="A205" s="167"/>
      <c r="B205" s="173">
        <v>46057</v>
      </c>
      <c r="C205" s="180" t="s">
        <v>151</v>
      </c>
      <c r="D205" s="174">
        <v>2</v>
      </c>
      <c r="E205" s="174"/>
      <c r="F205" s="174"/>
      <c r="G205" s="185"/>
      <c r="H205" s="186"/>
      <c r="I205" s="177"/>
      <c r="J205" s="178">
        <f>SAÍDAS!$D205-SAÍDAS!$G205</f>
        <v>2</v>
      </c>
      <c r="K205" s="178">
        <f>SUMIFS(ENTRADAS!$E$7:$E$1002,ENTRADAS!$B$7:$B$1002,"&lt;=" &amp; SAÍDAS!$B205,ENTRADAS!$C$7:$C$1002,SAÍDAS!$C205)-SUMIFS(SAÍDAS!$J$7:$J$289,SAÍDAS!$B$7:$B$289,"&lt;=" &amp; SAÍDAS!$B205,SAÍDAS!$C$7:$C$289,SAÍDAS!$C205)</f>
        <v>15</v>
      </c>
      <c r="L205" s="179">
        <f t="shared" si="3"/>
        <v>0</v>
      </c>
      <c r="M205" s="170"/>
    </row>
    <row r="206" spans="1:13" ht="15.75" customHeight="1">
      <c r="A206" s="167"/>
      <c r="B206" s="173">
        <v>46057</v>
      </c>
      <c r="C206" s="174" t="s">
        <v>254</v>
      </c>
      <c r="D206" s="174">
        <v>1</v>
      </c>
      <c r="E206" s="174"/>
      <c r="F206" s="174"/>
      <c r="G206" s="185"/>
      <c r="H206" s="186"/>
      <c r="I206" s="177"/>
      <c r="J206" s="178">
        <f>SAÍDAS!$D206-SAÍDAS!$G206</f>
        <v>1</v>
      </c>
      <c r="K206" s="178">
        <f>SUMIFS(ENTRADAS!$E$7:$E$1002,ENTRADAS!$B$7:$B$1002,"&lt;=" &amp; SAÍDAS!$B206,ENTRADAS!$C$7:$C$1002,SAÍDAS!$C206)-SUMIFS(SAÍDAS!$J$7:$J$289,SAÍDAS!$B$7:$B$289,"&lt;=" &amp; SAÍDAS!$B206,SAÍDAS!$C$7:$C$289,SAÍDAS!$C206)</f>
        <v>16</v>
      </c>
      <c r="L206" s="179">
        <f t="shared" si="3"/>
        <v>0</v>
      </c>
      <c r="M206" s="170"/>
    </row>
    <row r="207" spans="1:13" ht="15.75" customHeight="1">
      <c r="A207" s="167"/>
      <c r="B207" s="173">
        <v>46057</v>
      </c>
      <c r="C207" s="174" t="s">
        <v>176</v>
      </c>
      <c r="D207" s="174">
        <v>1</v>
      </c>
      <c r="E207" s="174"/>
      <c r="F207" s="174"/>
      <c r="G207" s="185"/>
      <c r="H207" s="186"/>
      <c r="I207" s="177"/>
      <c r="J207" s="178">
        <f>SAÍDAS!$D207-SAÍDAS!$G207</f>
        <v>1</v>
      </c>
      <c r="K207" s="178">
        <f>SUMIFS(ENTRADAS!$E$7:$E$1002,ENTRADAS!$B$7:$B$1002,"&lt;=" &amp; SAÍDAS!$B207,ENTRADAS!$C$7:$C$1002,SAÍDAS!$C207)-SUMIFS(SAÍDAS!$J$7:$J$289,SAÍDAS!$B$7:$B$289,"&lt;=" &amp; SAÍDAS!$B207,SAÍDAS!$C$7:$C$289,SAÍDAS!$C207)</f>
        <v>15</v>
      </c>
      <c r="L207" s="179">
        <f t="shared" si="3"/>
        <v>0</v>
      </c>
      <c r="M207" s="170"/>
    </row>
    <row r="208" spans="1:13" ht="15.75" customHeight="1">
      <c r="A208" s="167"/>
      <c r="B208" s="173">
        <v>46057</v>
      </c>
      <c r="C208" s="174" t="s">
        <v>108</v>
      </c>
      <c r="D208" s="174">
        <v>1</v>
      </c>
      <c r="E208" s="174"/>
      <c r="F208" s="181"/>
      <c r="G208" s="185"/>
      <c r="H208" s="186"/>
      <c r="I208" s="177"/>
      <c r="J208" s="178">
        <f>SAÍDAS!$D208-SAÍDAS!$G208</f>
        <v>1</v>
      </c>
      <c r="K208" s="178">
        <f>SUMIFS(ENTRADAS!$E$7:$E$1002,ENTRADAS!$B$7:$B$1002,"&lt;=" &amp; SAÍDAS!$B208,ENTRADAS!$C$7:$C$1002,SAÍDAS!$C208)-SUMIFS(SAÍDAS!$J$7:$J$289,SAÍDAS!$B$7:$B$289,"&lt;=" &amp; SAÍDAS!$B208,SAÍDAS!$C$7:$C$289,SAÍDAS!$C208)</f>
        <v>36</v>
      </c>
      <c r="L208" s="179">
        <f t="shared" si="3"/>
        <v>0</v>
      </c>
      <c r="M208" s="170"/>
    </row>
    <row r="209" spans="1:13" ht="15.75" customHeight="1">
      <c r="A209" s="167"/>
      <c r="B209" s="173">
        <v>46057</v>
      </c>
      <c r="C209" s="174" t="s">
        <v>170</v>
      </c>
      <c r="D209" s="174">
        <v>1</v>
      </c>
      <c r="E209" s="174"/>
      <c r="F209" s="181"/>
      <c r="G209" s="185"/>
      <c r="H209" s="186"/>
      <c r="I209" s="177"/>
      <c r="J209" s="178">
        <f>SAÍDAS!$D209-SAÍDAS!$G209</f>
        <v>1</v>
      </c>
      <c r="K209" s="178">
        <f>SUMIFS(ENTRADAS!$E$7:$E$1002,ENTRADAS!$B$7:$B$1002,"&lt;=" &amp; SAÍDAS!$B209,ENTRADAS!$C$7:$C$1002,SAÍDAS!$C209)-SUMIFS(SAÍDAS!$J$7:$J$289,SAÍDAS!$B$7:$B$289,"&lt;=" &amp; SAÍDAS!$B209,SAÍDAS!$C$7:$C$289,SAÍDAS!$C209)</f>
        <v>11</v>
      </c>
      <c r="L209" s="179">
        <f t="shared" si="3"/>
        <v>0</v>
      </c>
      <c r="M209" s="170"/>
    </row>
    <row r="210" spans="1:13" ht="15.75" customHeight="1">
      <c r="A210" s="167"/>
      <c r="B210" s="173">
        <v>46057</v>
      </c>
      <c r="C210" s="174" t="s">
        <v>130</v>
      </c>
      <c r="D210" s="174">
        <v>1</v>
      </c>
      <c r="E210" s="174"/>
      <c r="F210" s="174"/>
      <c r="G210" s="185"/>
      <c r="H210" s="186"/>
      <c r="I210" s="177"/>
      <c r="J210" s="178">
        <f>SAÍDAS!$D210-SAÍDAS!$G210</f>
        <v>1</v>
      </c>
      <c r="K210" s="178">
        <f>SUMIFS(ENTRADAS!$E$7:$E$1002,ENTRADAS!$B$7:$B$1002,"&lt;=" &amp; SAÍDAS!$B210,ENTRADAS!$C$7:$C$1002,SAÍDAS!$C210)-SUMIFS(SAÍDAS!$J$7:$J$289,SAÍDAS!$B$7:$B$289,"&lt;=" &amp; SAÍDAS!$B210,SAÍDAS!$C$7:$C$289,SAÍDAS!$C210)</f>
        <v>-1</v>
      </c>
      <c r="L210" s="179">
        <f t="shared" si="3"/>
        <v>0</v>
      </c>
      <c r="M210" s="170"/>
    </row>
    <row r="211" spans="1:13" ht="15.75" customHeight="1">
      <c r="A211" s="167"/>
      <c r="B211" s="173">
        <v>46057</v>
      </c>
      <c r="C211" s="174" t="s">
        <v>151</v>
      </c>
      <c r="D211" s="174">
        <v>1</v>
      </c>
      <c r="E211" s="174"/>
      <c r="F211" s="174"/>
      <c r="G211" s="185"/>
      <c r="H211" s="186"/>
      <c r="I211" s="177"/>
      <c r="J211" s="178">
        <f>SAÍDAS!$D211-SAÍDAS!$G211</f>
        <v>1</v>
      </c>
      <c r="K211" s="178">
        <f>SUMIFS(ENTRADAS!$E$7:$E$1002,ENTRADAS!$B$7:$B$1002,"&lt;=" &amp; SAÍDAS!$B211,ENTRADAS!$C$7:$C$1002,SAÍDAS!$C211)-SUMIFS(SAÍDAS!$J$7:$J$289,SAÍDAS!$B$7:$B$289,"&lt;=" &amp; SAÍDAS!$B211,SAÍDAS!$C$7:$C$289,SAÍDAS!$C211)</f>
        <v>15</v>
      </c>
      <c r="L211" s="179">
        <f t="shared" si="3"/>
        <v>0</v>
      </c>
      <c r="M211" s="170"/>
    </row>
    <row r="212" spans="1:13" ht="15.75" customHeight="1">
      <c r="A212" s="167"/>
      <c r="B212" s="173">
        <v>46057</v>
      </c>
      <c r="C212" s="174" t="s">
        <v>152</v>
      </c>
      <c r="D212" s="174">
        <v>1</v>
      </c>
      <c r="E212" s="174"/>
      <c r="F212" s="174"/>
      <c r="G212" s="185"/>
      <c r="H212" s="186"/>
      <c r="I212" s="177"/>
      <c r="J212" s="178">
        <f>SAÍDAS!$D212-SAÍDAS!$G212</f>
        <v>1</v>
      </c>
      <c r="K212" s="178">
        <f>SUMIFS(ENTRADAS!$E$7:$E$1002,ENTRADAS!$B$7:$B$1002,"&lt;=" &amp; SAÍDAS!$B212,ENTRADAS!$C$7:$C$1002,SAÍDAS!$C212)-SUMIFS(SAÍDAS!$J$7:$J$289,SAÍDAS!$B$7:$B$289,"&lt;=" &amp; SAÍDAS!$B212,SAÍDAS!$C$7:$C$289,SAÍDAS!$C212)</f>
        <v>10</v>
      </c>
      <c r="L212" s="179">
        <f t="shared" si="3"/>
        <v>0</v>
      </c>
      <c r="M212" s="170"/>
    </row>
    <row r="213" spans="1:13" ht="15.75" customHeight="1">
      <c r="A213" s="167"/>
      <c r="B213" s="173">
        <v>46057</v>
      </c>
      <c r="C213" s="174" t="s">
        <v>196</v>
      </c>
      <c r="D213" s="174">
        <v>1</v>
      </c>
      <c r="E213" s="174"/>
      <c r="F213" s="181"/>
      <c r="G213" s="185"/>
      <c r="H213" s="186"/>
      <c r="I213" s="177"/>
      <c r="J213" s="178">
        <f>SAÍDAS!$D213-SAÍDAS!$G213</f>
        <v>1</v>
      </c>
      <c r="K213" s="178">
        <f>SUMIFS(ENTRADAS!$E$7:$E$1002,ENTRADAS!$B$7:$B$1002,"&lt;=" &amp; SAÍDAS!$B213,ENTRADAS!$C$7:$C$1002,SAÍDAS!$C213)-SUMIFS(SAÍDAS!$J$7:$J$289,SAÍDAS!$B$7:$B$289,"&lt;=" &amp; SAÍDAS!$B213,SAÍDAS!$C$7:$C$289,SAÍDAS!$C213)</f>
        <v>3</v>
      </c>
      <c r="L213" s="179">
        <f t="shared" si="3"/>
        <v>0</v>
      </c>
      <c r="M213" s="170"/>
    </row>
    <row r="214" spans="1:13" ht="15.75" customHeight="1">
      <c r="A214" s="167"/>
      <c r="B214" s="173">
        <v>46057</v>
      </c>
      <c r="C214" s="174" t="s">
        <v>193</v>
      </c>
      <c r="D214" s="174">
        <v>2</v>
      </c>
      <c r="E214" s="174"/>
      <c r="F214" s="181"/>
      <c r="G214" s="185"/>
      <c r="H214" s="186"/>
      <c r="I214" s="177"/>
      <c r="J214" s="178">
        <f>SAÍDAS!$D214-SAÍDAS!$G214</f>
        <v>2</v>
      </c>
      <c r="K214" s="178">
        <f>SUMIFS(ENTRADAS!$E$7:$E$1002,ENTRADAS!$B$7:$B$1002,"&lt;=" &amp; SAÍDAS!$B214,ENTRADAS!$C$7:$C$1002,SAÍDAS!$C214)-SUMIFS(SAÍDAS!$J$7:$J$289,SAÍDAS!$B$7:$B$289,"&lt;=" &amp; SAÍDAS!$B214,SAÍDAS!$C$7:$C$289,SAÍDAS!$C214)</f>
        <v>25</v>
      </c>
      <c r="L214" s="179">
        <f t="shared" si="3"/>
        <v>0</v>
      </c>
      <c r="M214" s="170"/>
    </row>
    <row r="215" spans="1:13" ht="15.75" customHeight="1">
      <c r="A215" s="167"/>
      <c r="B215" s="173">
        <v>46058</v>
      </c>
      <c r="C215" s="174" t="s">
        <v>150</v>
      </c>
      <c r="D215" s="174">
        <v>2</v>
      </c>
      <c r="E215" s="174"/>
      <c r="F215" s="181"/>
      <c r="G215" s="185"/>
      <c r="H215" s="186"/>
      <c r="I215" s="177"/>
      <c r="J215" s="178">
        <f>SAÍDAS!$D215-SAÍDAS!$G215</f>
        <v>2</v>
      </c>
      <c r="K215" s="178">
        <f>SUMIFS(ENTRADAS!$E$7:$E$1002,ENTRADAS!$B$7:$B$1002,"&lt;=" &amp; SAÍDAS!$B215,ENTRADAS!$C$7:$C$1002,SAÍDAS!$C215)-SUMIFS(SAÍDAS!$J$7:$J$289,SAÍDAS!$B$7:$B$289,"&lt;=" &amp; SAÍDAS!$B215,SAÍDAS!$C$7:$C$289,SAÍDAS!$C215)</f>
        <v>1</v>
      </c>
      <c r="L215" s="179">
        <f t="shared" si="3"/>
        <v>0</v>
      </c>
      <c r="M215" s="170"/>
    </row>
    <row r="216" spans="1:13" ht="15.75" customHeight="1">
      <c r="A216" s="167"/>
      <c r="B216" s="173">
        <v>46058</v>
      </c>
      <c r="C216" s="180" t="s">
        <v>151</v>
      </c>
      <c r="D216" s="174">
        <v>2</v>
      </c>
      <c r="E216" s="174"/>
      <c r="F216" s="181"/>
      <c r="G216" s="185"/>
      <c r="H216" s="186"/>
      <c r="I216" s="177"/>
      <c r="J216" s="178">
        <f>SAÍDAS!$D216-SAÍDAS!$G216</f>
        <v>2</v>
      </c>
      <c r="K216" s="178">
        <f>SUMIFS(ENTRADAS!$E$7:$E$1002,ENTRADAS!$B$7:$B$1002,"&lt;=" &amp; SAÍDAS!$B216,ENTRADAS!$C$7:$C$1002,SAÍDAS!$C216)-SUMIFS(SAÍDAS!$J$7:$J$289,SAÍDAS!$B$7:$B$289,"&lt;=" &amp; SAÍDAS!$B216,SAÍDAS!$C$7:$C$289,SAÍDAS!$C216)</f>
        <v>13</v>
      </c>
      <c r="L216" s="179">
        <f t="shared" si="3"/>
        <v>0</v>
      </c>
      <c r="M216" s="170"/>
    </row>
    <row r="217" spans="1:13" ht="15.75" customHeight="1">
      <c r="A217" s="167"/>
      <c r="B217" s="173">
        <v>46058</v>
      </c>
      <c r="C217" s="174" t="s">
        <v>109</v>
      </c>
      <c r="D217" s="174">
        <v>1</v>
      </c>
      <c r="E217" s="174"/>
      <c r="F217" s="174"/>
      <c r="G217" s="185"/>
      <c r="H217" s="186"/>
      <c r="I217" s="177"/>
      <c r="J217" s="178">
        <f>SAÍDAS!$D217-SAÍDAS!$G217</f>
        <v>1</v>
      </c>
      <c r="K217" s="178">
        <f>SUMIFS(ENTRADAS!$E$7:$E$1002,ENTRADAS!$B$7:$B$1002,"&lt;=" &amp; SAÍDAS!$B217,ENTRADAS!$C$7:$C$1002,SAÍDAS!$C217)-SUMIFS(SAÍDAS!$J$7:$J$289,SAÍDAS!$B$7:$B$289,"&lt;=" &amp; SAÍDAS!$B217,SAÍDAS!$C$7:$C$289,SAÍDAS!$C217)</f>
        <v>36</v>
      </c>
      <c r="L217" s="179">
        <f t="shared" si="3"/>
        <v>0</v>
      </c>
      <c r="M217" s="170"/>
    </row>
    <row r="218" spans="1:13" ht="15.75" customHeight="1">
      <c r="A218" s="167"/>
      <c r="B218" s="173">
        <v>46058</v>
      </c>
      <c r="C218" s="174" t="s">
        <v>110</v>
      </c>
      <c r="D218" s="174">
        <v>1</v>
      </c>
      <c r="E218" s="174"/>
      <c r="F218" s="181"/>
      <c r="G218" s="185"/>
      <c r="H218" s="186"/>
      <c r="I218" s="177"/>
      <c r="J218" s="178">
        <f>SAÍDAS!$D218-SAÍDAS!$G218</f>
        <v>1</v>
      </c>
      <c r="K218" s="178">
        <f>SUMIFS(ENTRADAS!$E$7:$E$1002,ENTRADAS!$B$7:$B$1002,"&lt;=" &amp; SAÍDAS!$B218,ENTRADAS!$C$7:$C$1002,SAÍDAS!$C218)-SUMIFS(SAÍDAS!$J$7:$J$289,SAÍDAS!$B$7:$B$289,"&lt;=" &amp; SAÍDAS!$B218,SAÍDAS!$C$7:$C$289,SAÍDAS!$C218)</f>
        <v>26</v>
      </c>
      <c r="L218" s="179">
        <f t="shared" si="3"/>
        <v>0</v>
      </c>
      <c r="M218" s="170"/>
    </row>
    <row r="219" spans="1:13" ht="15.75" customHeight="1">
      <c r="A219" s="167"/>
      <c r="B219" s="173">
        <v>46058</v>
      </c>
      <c r="C219" s="174" t="s">
        <v>92</v>
      </c>
      <c r="D219" s="174">
        <v>1</v>
      </c>
      <c r="E219" s="174"/>
      <c r="F219" s="181"/>
      <c r="G219" s="185"/>
      <c r="H219" s="186"/>
      <c r="I219" s="177"/>
      <c r="J219" s="178">
        <f>SAÍDAS!$D219-SAÍDAS!$G219</f>
        <v>1</v>
      </c>
      <c r="K219" s="178">
        <f>SUMIFS(ENTRADAS!$E$7:$E$1002,ENTRADAS!$B$7:$B$1002,"&lt;=" &amp; SAÍDAS!$B219,ENTRADAS!$C$7:$C$1002,SAÍDAS!$C219)-SUMIFS(SAÍDAS!$J$7:$J$289,SAÍDAS!$B$7:$B$289,"&lt;=" &amp; SAÍDAS!$B219,SAÍDAS!$C$7:$C$289,SAÍDAS!$C219)</f>
        <v>40</v>
      </c>
      <c r="L219" s="179">
        <f t="shared" si="3"/>
        <v>0</v>
      </c>
      <c r="M219" s="170"/>
    </row>
    <row r="220" spans="1:13" ht="15.75" customHeight="1">
      <c r="A220" s="167"/>
      <c r="B220" s="173">
        <v>46058</v>
      </c>
      <c r="C220" s="174" t="s">
        <v>162</v>
      </c>
      <c r="D220" s="174">
        <v>2</v>
      </c>
      <c r="E220" s="174"/>
      <c r="F220" s="181"/>
      <c r="G220" s="185"/>
      <c r="H220" s="186"/>
      <c r="I220" s="177"/>
      <c r="J220" s="178">
        <f>SAÍDAS!$D220-SAÍDAS!$G220</f>
        <v>2</v>
      </c>
      <c r="K220" s="178">
        <f>SUMIFS(ENTRADAS!$E$7:$E$1002,ENTRADAS!$B$7:$B$1002,"&lt;=" &amp; SAÍDAS!$B220,ENTRADAS!$C$7:$C$1002,SAÍDAS!$C220)-SUMIFS(SAÍDAS!$J$7:$J$289,SAÍDAS!$B$7:$B$289,"&lt;=" &amp; SAÍDAS!$B220,SAÍDAS!$C$7:$C$289,SAÍDAS!$C220)</f>
        <v>1</v>
      </c>
      <c r="L220" s="179">
        <f t="shared" si="3"/>
        <v>0</v>
      </c>
      <c r="M220" s="170"/>
    </row>
    <row r="221" spans="1:13" ht="15.75" customHeight="1">
      <c r="A221" s="167"/>
      <c r="B221" s="173">
        <v>46058</v>
      </c>
      <c r="C221" s="174" t="s">
        <v>102</v>
      </c>
      <c r="D221" s="174">
        <v>1</v>
      </c>
      <c r="E221" s="174"/>
      <c r="F221" s="181"/>
      <c r="G221" s="185"/>
      <c r="H221" s="186"/>
      <c r="I221" s="177"/>
      <c r="J221" s="178">
        <f>SAÍDAS!$D221-SAÍDAS!$G221</f>
        <v>1</v>
      </c>
      <c r="K221" s="178">
        <f>SUMIFS(ENTRADAS!$E$7:$E$1002,ENTRADAS!$B$7:$B$1002,"&lt;=" &amp; SAÍDAS!$B221,ENTRADAS!$C$7:$C$1002,SAÍDAS!$C221)-SUMIFS(SAÍDAS!$J$7:$J$289,SAÍDAS!$B$7:$B$289,"&lt;=" &amp; SAÍDAS!$B221,SAÍDAS!$C$7:$C$289,SAÍDAS!$C221)</f>
        <v>107</v>
      </c>
      <c r="L221" s="179">
        <f t="shared" si="3"/>
        <v>0</v>
      </c>
      <c r="M221" s="170"/>
    </row>
    <row r="222" spans="1:13" ht="15.75" customHeight="1">
      <c r="A222" s="167"/>
      <c r="B222" s="173">
        <v>46058</v>
      </c>
      <c r="C222" s="174" t="s">
        <v>115</v>
      </c>
      <c r="D222" s="174">
        <v>1</v>
      </c>
      <c r="E222" s="174"/>
      <c r="F222" s="181"/>
      <c r="G222" s="185"/>
      <c r="H222" s="186"/>
      <c r="I222" s="177"/>
      <c r="J222" s="178">
        <f>SAÍDAS!$D222-SAÍDAS!$G222</f>
        <v>1</v>
      </c>
      <c r="K222" s="178">
        <f>SUMIFS(ENTRADAS!$E$7:$E$1002,ENTRADAS!$B$7:$B$1002,"&lt;=" &amp; SAÍDAS!$B222,ENTRADAS!$C$7:$C$1002,SAÍDAS!$C222)-SUMIFS(SAÍDAS!$J$7:$J$289,SAÍDAS!$B$7:$B$289,"&lt;=" &amp; SAÍDAS!$B222,SAÍDAS!$C$7:$C$289,SAÍDAS!$C222)</f>
        <v>3</v>
      </c>
      <c r="L222" s="179">
        <f t="shared" si="3"/>
        <v>0</v>
      </c>
      <c r="M222" s="170"/>
    </row>
    <row r="223" spans="1:13" ht="15.75" customHeight="1">
      <c r="A223" s="167"/>
      <c r="B223" s="173">
        <v>46058</v>
      </c>
      <c r="C223" s="174" t="s">
        <v>264</v>
      </c>
      <c r="D223" s="174">
        <v>1</v>
      </c>
      <c r="E223" s="174"/>
      <c r="F223" s="181"/>
      <c r="G223" s="185"/>
      <c r="H223" s="186"/>
      <c r="I223" s="177"/>
      <c r="J223" s="178">
        <f>SAÍDAS!$D223-SAÍDAS!$G223</f>
        <v>1</v>
      </c>
      <c r="K223" s="178">
        <f>SUMIFS(ENTRADAS!$E$7:$E$1002,ENTRADAS!$B$7:$B$1002,"&lt;=" &amp; SAÍDAS!$B223,ENTRADAS!$C$7:$C$1002,SAÍDAS!$C223)-SUMIFS(SAÍDAS!$J$7:$J$289,SAÍDAS!$B$7:$B$289,"&lt;=" &amp; SAÍDAS!$B223,SAÍDAS!$C$7:$C$289,SAÍDAS!$C223)</f>
        <v>3</v>
      </c>
      <c r="L223" s="179">
        <f t="shared" si="3"/>
        <v>0</v>
      </c>
      <c r="M223" s="170"/>
    </row>
    <row r="224" spans="1:13" ht="15.75" customHeight="1">
      <c r="A224" s="167"/>
      <c r="B224" s="173">
        <v>46058</v>
      </c>
      <c r="C224" s="174" t="s">
        <v>171</v>
      </c>
      <c r="D224" s="174">
        <v>1</v>
      </c>
      <c r="E224" s="174"/>
      <c r="F224" s="174"/>
      <c r="G224" s="185"/>
      <c r="H224" s="186"/>
      <c r="I224" s="177"/>
      <c r="J224" s="178">
        <f>SAÍDAS!$D224-SAÍDAS!$G224</f>
        <v>1</v>
      </c>
      <c r="K224" s="178">
        <f>SUMIFS(ENTRADAS!$E$7:$E$1002,ENTRADAS!$B$7:$B$1002,"&lt;=" &amp; SAÍDAS!$B224,ENTRADAS!$C$7:$C$1002,SAÍDAS!$C224)-SUMIFS(SAÍDAS!$J$7:$J$289,SAÍDAS!$B$7:$B$289,"&lt;=" &amp; SAÍDAS!$B224,SAÍDAS!$C$7:$C$289,SAÍDAS!$C224)</f>
        <v>3</v>
      </c>
      <c r="L224" s="179">
        <f t="shared" si="3"/>
        <v>0</v>
      </c>
      <c r="M224" s="170"/>
    </row>
    <row r="225" spans="1:13" ht="15.75" customHeight="1">
      <c r="A225" s="167"/>
      <c r="B225" s="173">
        <v>46058</v>
      </c>
      <c r="C225" s="174" t="s">
        <v>125</v>
      </c>
      <c r="D225" s="174">
        <v>1</v>
      </c>
      <c r="E225" s="174"/>
      <c r="F225" s="181"/>
      <c r="G225" s="185"/>
      <c r="H225" s="186"/>
      <c r="I225" s="177"/>
      <c r="J225" s="178">
        <f>SAÍDAS!$D225-SAÍDAS!$G225</f>
        <v>1</v>
      </c>
      <c r="K225" s="178">
        <f>SUMIFS(ENTRADAS!$E$7:$E$1002,ENTRADAS!$B$7:$B$1002,"&lt;=" &amp; SAÍDAS!$B225,ENTRADAS!$C$7:$C$1002,SAÍDAS!$C225)-SUMIFS(SAÍDAS!$J$7:$J$289,SAÍDAS!$B$7:$B$289,"&lt;=" &amp; SAÍDAS!$B225,SAÍDAS!$C$7:$C$289,SAÍDAS!$C225)</f>
        <v>3</v>
      </c>
      <c r="L225" s="179">
        <f t="shared" si="3"/>
        <v>0</v>
      </c>
      <c r="M225" s="170"/>
    </row>
    <row r="226" spans="1:13" ht="15.75" customHeight="1" thickBot="1">
      <c r="A226" s="168"/>
      <c r="B226" s="173">
        <v>46058</v>
      </c>
      <c r="C226" s="174" t="s">
        <v>94</v>
      </c>
      <c r="D226" s="174">
        <v>1</v>
      </c>
      <c r="E226" s="174"/>
      <c r="F226" s="174"/>
      <c r="G226" s="185"/>
      <c r="H226" s="186"/>
      <c r="I226" s="177"/>
      <c r="J226" s="178">
        <f>SAÍDAS!$D226-SAÍDAS!$G226</f>
        <v>1</v>
      </c>
      <c r="K226" s="178">
        <f>SUMIFS(ENTRADAS!$E$7:$E$1002,ENTRADAS!$B$7:$B$1002,"&lt;=" &amp; SAÍDAS!$B226,ENTRADAS!$C$7:$C$1002,SAÍDAS!$C226)-SUMIFS(SAÍDAS!$J$7:$J$289,SAÍDAS!$B$7:$B$289,"&lt;=" &amp; SAÍDAS!$B226,SAÍDAS!$C$7:$C$289,SAÍDAS!$C226)</f>
        <v>22</v>
      </c>
      <c r="L226" s="179">
        <f t="shared" si="3"/>
        <v>0</v>
      </c>
      <c r="M226" s="170"/>
    </row>
    <row r="227" spans="1:13" ht="15.75" customHeight="1">
      <c r="A227" s="165"/>
      <c r="B227" s="173">
        <v>46058</v>
      </c>
      <c r="C227" s="174" t="s">
        <v>195</v>
      </c>
      <c r="D227" s="174">
        <v>1</v>
      </c>
      <c r="E227" s="174"/>
      <c r="F227" s="174"/>
      <c r="G227" s="185"/>
      <c r="H227" s="186"/>
      <c r="I227" s="177"/>
      <c r="J227" s="178">
        <f>SAÍDAS!$D227-SAÍDAS!$G227</f>
        <v>1</v>
      </c>
      <c r="K227" s="178">
        <f>SUMIFS(ENTRADAS!$E$7:$E$1002,ENTRADAS!$B$7:$B$1002,"&lt;=" &amp; SAÍDAS!$B227,ENTRADAS!$C$7:$C$1002,SAÍDAS!$C227)-SUMIFS(SAÍDAS!$J$7:$J$289,SAÍDAS!$B$7:$B$289,"&lt;=" &amp; SAÍDAS!$B227,SAÍDAS!$C$7:$C$289,SAÍDAS!$C227)</f>
        <v>5</v>
      </c>
      <c r="L227" s="179">
        <f t="shared" si="3"/>
        <v>0</v>
      </c>
      <c r="M227" s="170"/>
    </row>
    <row r="228" spans="1:13" ht="15.75" customHeight="1">
      <c r="A228" s="165"/>
      <c r="B228" s="173">
        <v>46058</v>
      </c>
      <c r="C228" s="174" t="s">
        <v>193</v>
      </c>
      <c r="D228" s="174">
        <v>2</v>
      </c>
      <c r="E228" s="174"/>
      <c r="F228" s="181"/>
      <c r="G228" s="185"/>
      <c r="H228" s="186"/>
      <c r="I228" s="177"/>
      <c r="J228" s="178">
        <f>SAÍDAS!$D228-SAÍDAS!$G228</f>
        <v>2</v>
      </c>
      <c r="K228" s="178">
        <f>SUMIFS(ENTRADAS!$E$7:$E$1002,ENTRADAS!$B$7:$B$1002,"&lt;=" &amp; SAÍDAS!$B228,ENTRADAS!$C$7:$C$1002,SAÍDAS!$C228)-SUMIFS(SAÍDAS!$J$7:$J$289,SAÍDAS!$B$7:$B$289,"&lt;=" &amp; SAÍDAS!$B228,SAÍDAS!$C$7:$C$289,SAÍDAS!$C228)</f>
        <v>23</v>
      </c>
      <c r="L228" s="179">
        <f t="shared" si="3"/>
        <v>0</v>
      </c>
      <c r="M228" s="170"/>
    </row>
    <row r="229" spans="1:13" ht="15.75" customHeight="1">
      <c r="A229" s="165"/>
      <c r="B229" s="173">
        <v>46058</v>
      </c>
      <c r="C229" s="174" t="s">
        <v>111</v>
      </c>
      <c r="D229" s="174">
        <v>1</v>
      </c>
      <c r="E229" s="174"/>
      <c r="F229" s="181"/>
      <c r="G229" s="185"/>
      <c r="H229" s="186"/>
      <c r="I229" s="177"/>
      <c r="J229" s="178">
        <f>SAÍDAS!$D229-SAÍDAS!$G229</f>
        <v>1</v>
      </c>
      <c r="K229" s="178">
        <f>SUMIFS(ENTRADAS!$E$7:$E$1002,ENTRADAS!$B$7:$B$1002,"&lt;=" &amp; SAÍDAS!$B229,ENTRADAS!$C$7:$C$1002,SAÍDAS!$C229)-SUMIFS(SAÍDAS!$J$7:$J$289,SAÍDAS!$B$7:$B$289,"&lt;=" &amp; SAÍDAS!$B229,SAÍDAS!$C$7:$C$289,SAÍDAS!$C229)</f>
        <v>9</v>
      </c>
      <c r="L229" s="179">
        <f t="shared" si="3"/>
        <v>0</v>
      </c>
      <c r="M229" s="170"/>
    </row>
    <row r="230" spans="1:13" ht="15.75" customHeight="1">
      <c r="A230" s="165"/>
      <c r="B230" s="173">
        <v>46058</v>
      </c>
      <c r="C230" s="174" t="s">
        <v>107</v>
      </c>
      <c r="D230" s="174">
        <v>2</v>
      </c>
      <c r="E230" s="174"/>
      <c r="F230" s="181"/>
      <c r="G230" s="185"/>
      <c r="H230" s="186"/>
      <c r="I230" s="177"/>
      <c r="J230" s="178">
        <f>SAÍDAS!$D230-SAÍDAS!$G230</f>
        <v>2</v>
      </c>
      <c r="K230" s="178">
        <f>SUMIFS(ENTRADAS!$E$7:$E$1002,ENTRADAS!$B$7:$B$1002,"&lt;=" &amp; SAÍDAS!$B230,ENTRADAS!$C$7:$C$1002,SAÍDAS!$C230)-SUMIFS(SAÍDAS!$J$7:$J$289,SAÍDAS!$B$7:$B$289,"&lt;=" &amp; SAÍDAS!$B230,SAÍDAS!$C$7:$C$289,SAÍDAS!$C230)</f>
        <v>20</v>
      </c>
      <c r="L230" s="179">
        <f t="shared" si="3"/>
        <v>0</v>
      </c>
      <c r="M230" s="170"/>
    </row>
    <row r="231" spans="1:13" ht="15.75" customHeight="1">
      <c r="A231" s="165"/>
      <c r="B231" s="173">
        <v>46058</v>
      </c>
      <c r="C231" s="174" t="s">
        <v>108</v>
      </c>
      <c r="D231" s="174">
        <v>1</v>
      </c>
      <c r="E231" s="174"/>
      <c r="F231" s="181"/>
      <c r="G231" s="185"/>
      <c r="H231" s="186"/>
      <c r="I231" s="177"/>
      <c r="J231" s="178">
        <f>SAÍDAS!$D231-SAÍDAS!$G231</f>
        <v>1</v>
      </c>
      <c r="K231" s="178">
        <f>SUMIFS(ENTRADAS!$E$7:$E$1002,ENTRADAS!$B$7:$B$1002,"&lt;=" &amp; SAÍDAS!$B231,ENTRADAS!$C$7:$C$1002,SAÍDAS!$C231)-SUMIFS(SAÍDAS!$J$7:$J$289,SAÍDAS!$B$7:$B$289,"&lt;=" &amp; SAÍDAS!$B231,SAÍDAS!$C$7:$C$289,SAÍDAS!$C231)</f>
        <v>35</v>
      </c>
      <c r="L231" s="179">
        <f t="shared" si="3"/>
        <v>0</v>
      </c>
      <c r="M231" s="170"/>
    </row>
    <row r="232" spans="1:13" ht="15.75" customHeight="1">
      <c r="A232" s="165"/>
      <c r="B232" s="173">
        <v>46058</v>
      </c>
      <c r="C232" s="174" t="s">
        <v>105</v>
      </c>
      <c r="D232" s="174">
        <v>2</v>
      </c>
      <c r="E232" s="174"/>
      <c r="F232" s="181"/>
      <c r="G232" s="185"/>
      <c r="H232" s="186"/>
      <c r="I232" s="177"/>
      <c r="J232" s="178">
        <f>SAÍDAS!$D232-SAÍDAS!$G232</f>
        <v>2</v>
      </c>
      <c r="K232" s="178">
        <f>SUMIFS(ENTRADAS!$E$7:$E$1002,ENTRADAS!$B$7:$B$1002,"&lt;=" &amp; SAÍDAS!$B232,ENTRADAS!$C$7:$C$1002,SAÍDAS!$C232)-SUMIFS(SAÍDAS!$J$7:$J$289,SAÍDAS!$B$7:$B$289,"&lt;=" &amp; SAÍDAS!$B232,SAÍDAS!$C$7:$C$289,SAÍDAS!$C232)</f>
        <v>17</v>
      </c>
      <c r="L232" s="179">
        <f t="shared" si="3"/>
        <v>0</v>
      </c>
      <c r="M232" s="170"/>
    </row>
    <row r="233" spans="1:13" ht="15.75" customHeight="1">
      <c r="A233" s="165"/>
      <c r="B233" s="173">
        <v>46058</v>
      </c>
      <c r="C233" s="174" t="s">
        <v>104</v>
      </c>
      <c r="D233" s="174">
        <v>1</v>
      </c>
      <c r="E233" s="174"/>
      <c r="F233" s="181"/>
      <c r="G233" s="185"/>
      <c r="H233" s="186"/>
      <c r="I233" s="177"/>
      <c r="J233" s="178">
        <f>SAÍDAS!$D233-SAÍDAS!$G233</f>
        <v>1</v>
      </c>
      <c r="K233" s="178">
        <f>SUMIFS(ENTRADAS!$E$7:$E$1002,ENTRADAS!$B$7:$B$1002,"&lt;=" &amp; SAÍDAS!$B233,ENTRADAS!$C$7:$C$1002,SAÍDAS!$C233)-SUMIFS(SAÍDAS!$J$7:$J$289,SAÍDAS!$B$7:$B$289,"&lt;=" &amp; SAÍDAS!$B233,SAÍDAS!$C$7:$C$289,SAÍDAS!$C233)</f>
        <v>26</v>
      </c>
      <c r="L233" s="179">
        <f t="shared" si="3"/>
        <v>0</v>
      </c>
      <c r="M233" s="170"/>
    </row>
    <row r="234" spans="1:13" ht="15.75" customHeight="1">
      <c r="A234" s="165"/>
      <c r="B234" s="173">
        <v>46058</v>
      </c>
      <c r="C234" s="174" t="s">
        <v>102</v>
      </c>
      <c r="D234" s="174">
        <v>1</v>
      </c>
      <c r="E234" s="174"/>
      <c r="F234" s="174"/>
      <c r="G234" s="185"/>
      <c r="H234" s="186"/>
      <c r="I234" s="177"/>
      <c r="J234" s="178">
        <f>SAÍDAS!$D234-SAÍDAS!$G234</f>
        <v>1</v>
      </c>
      <c r="K234" s="178">
        <f>SUMIFS(ENTRADAS!$E$7:$E$1002,ENTRADAS!$B$7:$B$1002,"&lt;=" &amp; SAÍDAS!$B234,ENTRADAS!$C$7:$C$1002,SAÍDAS!$C234)-SUMIFS(SAÍDAS!$J$7:$J$289,SAÍDAS!$B$7:$B$289,"&lt;=" &amp; SAÍDAS!$B234,SAÍDAS!$C$7:$C$289,SAÍDAS!$C234)</f>
        <v>107</v>
      </c>
      <c r="L234" s="179">
        <f t="shared" si="3"/>
        <v>0</v>
      </c>
      <c r="M234" s="170"/>
    </row>
    <row r="235" spans="1:13" ht="15.75" customHeight="1">
      <c r="A235" s="165"/>
      <c r="B235" s="173">
        <v>46058</v>
      </c>
      <c r="C235" s="174" t="s">
        <v>177</v>
      </c>
      <c r="D235" s="174">
        <v>1</v>
      </c>
      <c r="E235" s="174"/>
      <c r="F235" s="181"/>
      <c r="G235" s="185"/>
      <c r="H235" s="186"/>
      <c r="I235" s="177"/>
      <c r="J235" s="178">
        <f>SAÍDAS!$D235-SAÍDAS!$G235</f>
        <v>1</v>
      </c>
      <c r="K235" s="178">
        <f>SUMIFS(ENTRADAS!$E$7:$E$1002,ENTRADAS!$B$7:$B$1002,"&lt;=" &amp; SAÍDAS!$B235,ENTRADAS!$C$7:$C$1002,SAÍDAS!$C235)-SUMIFS(SAÍDAS!$J$7:$J$289,SAÍDAS!$B$7:$B$289,"&lt;=" &amp; SAÍDAS!$B235,SAÍDAS!$C$7:$C$289,SAÍDAS!$C235)</f>
        <v>15</v>
      </c>
      <c r="L235" s="179">
        <f t="shared" si="3"/>
        <v>0</v>
      </c>
      <c r="M235" s="170"/>
    </row>
    <row r="236" spans="1:13" ht="15.75" customHeight="1">
      <c r="A236" s="165"/>
      <c r="B236" s="173">
        <v>46058</v>
      </c>
      <c r="C236" s="174" t="s">
        <v>176</v>
      </c>
      <c r="D236" s="174">
        <v>1</v>
      </c>
      <c r="E236" s="174"/>
      <c r="F236" s="181"/>
      <c r="G236" s="185"/>
      <c r="H236" s="186"/>
      <c r="I236" s="177"/>
      <c r="J236" s="178">
        <f>SAÍDAS!$D236-SAÍDAS!$G236</f>
        <v>1</v>
      </c>
      <c r="K236" s="178">
        <f>SUMIFS(ENTRADAS!$E$7:$E$1002,ENTRADAS!$B$7:$B$1002,"&lt;=" &amp; SAÍDAS!$B236,ENTRADAS!$C$7:$C$1002,SAÍDAS!$C236)-SUMIFS(SAÍDAS!$J$7:$J$289,SAÍDAS!$B$7:$B$289,"&lt;=" &amp; SAÍDAS!$B236,SAÍDAS!$C$7:$C$289,SAÍDAS!$C236)</f>
        <v>14</v>
      </c>
      <c r="L236" s="179">
        <f t="shared" si="3"/>
        <v>0</v>
      </c>
      <c r="M236" s="170"/>
    </row>
    <row r="237" spans="1:13" ht="15.75" customHeight="1">
      <c r="A237" s="165"/>
      <c r="B237" s="173">
        <v>46058</v>
      </c>
      <c r="C237" s="174" t="s">
        <v>169</v>
      </c>
      <c r="D237" s="174">
        <v>2</v>
      </c>
      <c r="E237" s="174"/>
      <c r="F237" s="181"/>
      <c r="G237" s="185"/>
      <c r="H237" s="186"/>
      <c r="I237" s="177"/>
      <c r="J237" s="178">
        <f>SAÍDAS!$D237-SAÍDAS!$G237</f>
        <v>2</v>
      </c>
      <c r="K237" s="178">
        <f>SUMIFS(ENTRADAS!$E$7:$E$1002,ENTRADAS!$B$7:$B$1002,"&lt;=" &amp; SAÍDAS!$B237,ENTRADAS!$C$7:$C$1002,SAÍDAS!$C237)-SUMIFS(SAÍDAS!$J$7:$J$289,SAÍDAS!$B$7:$B$289,"&lt;=" &amp; SAÍDAS!$B237,SAÍDAS!$C$7:$C$289,SAÍDAS!$C237)</f>
        <v>13</v>
      </c>
      <c r="L237" s="179">
        <f t="shared" si="3"/>
        <v>0</v>
      </c>
      <c r="M237" s="170"/>
    </row>
    <row r="238" spans="1:13" ht="15.75" customHeight="1">
      <c r="A238" s="165"/>
      <c r="B238" s="173">
        <v>46058</v>
      </c>
      <c r="C238" s="174" t="s">
        <v>168</v>
      </c>
      <c r="D238" s="174">
        <v>3</v>
      </c>
      <c r="E238" s="174"/>
      <c r="F238" s="181"/>
      <c r="G238" s="185"/>
      <c r="H238" s="186"/>
      <c r="I238" s="177"/>
      <c r="J238" s="178">
        <f>SAÍDAS!$D238-SAÍDAS!$G238</f>
        <v>3</v>
      </c>
      <c r="K238" s="178">
        <f>SUMIFS(ENTRADAS!$E$7:$E$1002,ENTRADAS!$B$7:$B$1002,"&lt;=" &amp; SAÍDAS!$B238,ENTRADAS!$C$7:$C$1002,SAÍDAS!$C238)-SUMIFS(SAÍDAS!$J$7:$J$289,SAÍDAS!$B$7:$B$289,"&lt;=" &amp; SAÍDAS!$B238,SAÍDAS!$C$7:$C$289,SAÍDAS!$C238)</f>
        <v>13</v>
      </c>
      <c r="L238" s="179">
        <f t="shared" si="3"/>
        <v>0</v>
      </c>
      <c r="M238" s="170"/>
    </row>
    <row r="239" spans="1:13" ht="15.75" customHeight="1">
      <c r="A239" s="165"/>
      <c r="B239" s="173">
        <v>46058</v>
      </c>
      <c r="C239" s="174" t="s">
        <v>170</v>
      </c>
      <c r="D239" s="174">
        <v>1</v>
      </c>
      <c r="E239" s="174"/>
      <c r="F239" s="181"/>
      <c r="G239" s="185"/>
      <c r="H239" s="186"/>
      <c r="I239" s="177"/>
      <c r="J239" s="178">
        <f>SAÍDAS!$D239-SAÍDAS!$G239</f>
        <v>1</v>
      </c>
      <c r="K239" s="178">
        <f>SUMIFS(ENTRADAS!$E$7:$E$1002,ENTRADAS!$B$7:$B$1002,"&lt;=" &amp; SAÍDAS!$B239,ENTRADAS!$C$7:$C$1002,SAÍDAS!$C239)-SUMIFS(SAÍDAS!$J$7:$J$289,SAÍDAS!$B$7:$B$289,"&lt;=" &amp; SAÍDAS!$B239,SAÍDAS!$C$7:$C$289,SAÍDAS!$C239)</f>
        <v>10</v>
      </c>
      <c r="L239" s="179">
        <f t="shared" si="3"/>
        <v>0</v>
      </c>
      <c r="M239" s="170"/>
    </row>
    <row r="240" spans="1:13" ht="15.75" customHeight="1">
      <c r="A240" s="165"/>
      <c r="B240" s="173">
        <v>46058</v>
      </c>
      <c r="C240" s="174" t="s">
        <v>254</v>
      </c>
      <c r="D240" s="174">
        <v>1</v>
      </c>
      <c r="E240" s="174"/>
      <c r="F240" s="174"/>
      <c r="G240" s="185"/>
      <c r="H240" s="186"/>
      <c r="I240" s="177"/>
      <c r="J240" s="178">
        <f>SAÍDAS!$D240-SAÍDAS!$G240</f>
        <v>1</v>
      </c>
      <c r="K240" s="178">
        <f>SUMIFS(ENTRADAS!$E$7:$E$1002,ENTRADAS!$B$7:$B$1002,"&lt;=" &amp; SAÍDAS!$B240,ENTRADAS!$C$7:$C$1002,SAÍDAS!$C240)-SUMIFS(SAÍDAS!$J$7:$J$289,SAÍDAS!$B$7:$B$289,"&lt;=" &amp; SAÍDAS!$B240,SAÍDAS!$C$7:$C$289,SAÍDAS!$C240)</f>
        <v>15</v>
      </c>
      <c r="L240" s="179">
        <f t="shared" si="3"/>
        <v>0</v>
      </c>
      <c r="M240" s="170"/>
    </row>
    <row r="241" spans="1:13" ht="15.75" customHeight="1">
      <c r="A241" s="165"/>
      <c r="B241" s="173">
        <v>46059</v>
      </c>
      <c r="C241" s="174" t="s">
        <v>228</v>
      </c>
      <c r="D241" s="174">
        <v>4</v>
      </c>
      <c r="E241" s="174"/>
      <c r="F241" s="174"/>
      <c r="G241" s="185"/>
      <c r="H241" s="186"/>
      <c r="I241" s="177"/>
      <c r="J241" s="178">
        <f>SAÍDAS!$D241-SAÍDAS!$G241</f>
        <v>4</v>
      </c>
      <c r="K241" s="178">
        <f>SUMIFS(ENTRADAS!$E$7:$E$1002,ENTRADAS!$B$7:$B$1002,"&lt;=" &amp; SAÍDAS!$B241,ENTRADAS!$C$7:$C$1002,SAÍDAS!$C241)-SUMIFS(SAÍDAS!$J$7:$J$289,SAÍDAS!$B$7:$B$289,"&lt;=" &amp; SAÍDAS!$B241,SAÍDAS!$C$7:$C$289,SAÍDAS!$C241)</f>
        <v>5</v>
      </c>
      <c r="L241" s="179">
        <f t="shared" si="3"/>
        <v>0</v>
      </c>
      <c r="M241" s="170"/>
    </row>
    <row r="242" spans="1:13" ht="15.75" customHeight="1">
      <c r="A242" s="165"/>
      <c r="B242" s="173">
        <v>46059</v>
      </c>
      <c r="C242" s="174" t="s">
        <v>179</v>
      </c>
      <c r="D242" s="174">
        <v>2</v>
      </c>
      <c r="E242" s="174"/>
      <c r="F242" s="181"/>
      <c r="G242" s="185"/>
      <c r="H242" s="186"/>
      <c r="I242" s="177"/>
      <c r="J242" s="178">
        <f>SAÍDAS!$D242-SAÍDAS!$G242</f>
        <v>2</v>
      </c>
      <c r="K242" s="178">
        <f>SUMIFS(ENTRADAS!$E$7:$E$1002,ENTRADAS!$B$7:$B$1002,"&lt;=" &amp; SAÍDAS!$B242,ENTRADAS!$C$7:$C$1002,SAÍDAS!$C242)-SUMIFS(SAÍDAS!$J$7:$J$289,SAÍDAS!$B$7:$B$289,"&lt;=" &amp; SAÍDAS!$B242,SAÍDAS!$C$7:$C$289,SAÍDAS!$C242)</f>
        <v>11</v>
      </c>
      <c r="L242" s="179">
        <f t="shared" si="3"/>
        <v>0</v>
      </c>
      <c r="M242" s="170"/>
    </row>
    <row r="243" spans="1:13" ht="15.75" customHeight="1">
      <c r="A243" s="165"/>
      <c r="B243" s="173">
        <v>46059</v>
      </c>
      <c r="C243" s="174" t="s">
        <v>92</v>
      </c>
      <c r="D243" s="174">
        <v>2</v>
      </c>
      <c r="E243" s="174"/>
      <c r="F243" s="174"/>
      <c r="G243" s="185"/>
      <c r="H243" s="186"/>
      <c r="I243" s="177"/>
      <c r="J243" s="178">
        <f>SAÍDAS!$D243-SAÍDAS!$G243</f>
        <v>2</v>
      </c>
      <c r="K243" s="178">
        <f>SUMIFS(ENTRADAS!$E$7:$E$1002,ENTRADAS!$B$7:$B$1002,"&lt;=" &amp; SAÍDAS!$B243,ENTRADAS!$C$7:$C$1002,SAÍDAS!$C243)-SUMIFS(SAÍDAS!$J$7:$J$289,SAÍDAS!$B$7:$B$289,"&lt;=" &amp; SAÍDAS!$B243,SAÍDAS!$C$7:$C$289,SAÍDAS!$C243)</f>
        <v>37</v>
      </c>
      <c r="L243" s="179">
        <f t="shared" si="3"/>
        <v>0</v>
      </c>
      <c r="M243" s="170"/>
    </row>
    <row r="244" spans="1:13" ht="15.75" customHeight="1">
      <c r="A244" s="165"/>
      <c r="B244" s="173">
        <v>46059</v>
      </c>
      <c r="C244" s="174" t="s">
        <v>194</v>
      </c>
      <c r="D244" s="174">
        <v>1</v>
      </c>
      <c r="E244" s="174"/>
      <c r="F244" s="181"/>
      <c r="G244" s="185"/>
      <c r="H244" s="186"/>
      <c r="I244" s="177"/>
      <c r="J244" s="178">
        <f>SAÍDAS!$D244-SAÍDAS!$G244</f>
        <v>1</v>
      </c>
      <c r="K244" s="178">
        <f>SUMIFS(ENTRADAS!$E$7:$E$1002,ENTRADAS!$B$7:$B$1002,"&lt;=" &amp; SAÍDAS!$B244,ENTRADAS!$C$7:$C$1002,SAÍDAS!$C244)-SUMIFS(SAÍDAS!$J$7:$J$289,SAÍDAS!$B$7:$B$289,"&lt;=" &amp; SAÍDAS!$B244,SAÍDAS!$C$7:$C$289,SAÍDAS!$C244)</f>
        <v>13</v>
      </c>
      <c r="L244" s="179">
        <f t="shared" si="3"/>
        <v>0</v>
      </c>
      <c r="M244" s="170"/>
    </row>
    <row r="245" spans="1:13" ht="15.75" customHeight="1">
      <c r="A245" s="165"/>
      <c r="B245" s="173">
        <v>46059</v>
      </c>
      <c r="C245" s="174" t="s">
        <v>192</v>
      </c>
      <c r="D245" s="174">
        <v>1</v>
      </c>
      <c r="E245" s="174"/>
      <c r="F245" s="181"/>
      <c r="G245" s="185"/>
      <c r="H245" s="186"/>
      <c r="I245" s="177"/>
      <c r="J245" s="178">
        <f>SAÍDAS!$D245-SAÍDAS!$G245</f>
        <v>1</v>
      </c>
      <c r="K245" s="178">
        <f>SUMIFS(ENTRADAS!$E$7:$E$1002,ENTRADAS!$B$7:$B$1002,"&lt;=" &amp; SAÍDAS!$B245,ENTRADAS!$C$7:$C$1002,SAÍDAS!$C245)-SUMIFS(SAÍDAS!$J$7:$J$289,SAÍDAS!$B$7:$B$289,"&lt;=" &amp; SAÍDAS!$B245,SAÍDAS!$C$7:$C$289,SAÍDAS!$C245)</f>
        <v>5</v>
      </c>
      <c r="L245" s="179">
        <f t="shared" si="3"/>
        <v>0</v>
      </c>
      <c r="M245" s="170"/>
    </row>
    <row r="246" spans="1:13" ht="15.75" customHeight="1">
      <c r="A246" s="165"/>
      <c r="B246" s="173">
        <v>46059</v>
      </c>
      <c r="C246" s="174" t="s">
        <v>110</v>
      </c>
      <c r="D246" s="174">
        <v>1</v>
      </c>
      <c r="E246" s="174"/>
      <c r="F246" s="181"/>
      <c r="G246" s="185"/>
      <c r="H246" s="186"/>
      <c r="I246" s="177"/>
      <c r="J246" s="178">
        <f>SAÍDAS!$D246-SAÍDAS!$G246</f>
        <v>1</v>
      </c>
      <c r="K246" s="178">
        <f>SUMIFS(ENTRADAS!$E$7:$E$1002,ENTRADAS!$B$7:$B$1002,"&lt;=" &amp; SAÍDAS!$B246,ENTRADAS!$C$7:$C$1002,SAÍDAS!$C246)-SUMIFS(SAÍDAS!$J$7:$J$289,SAÍDAS!$B$7:$B$289,"&lt;=" &amp; SAÍDAS!$B246,SAÍDAS!$C$7:$C$289,SAÍDAS!$C246)</f>
        <v>25</v>
      </c>
      <c r="L246" s="179">
        <f t="shared" si="3"/>
        <v>0</v>
      </c>
      <c r="M246" s="170"/>
    </row>
    <row r="247" spans="1:13" ht="15.75" customHeight="1">
      <c r="A247" s="165"/>
      <c r="B247" s="173">
        <v>46059</v>
      </c>
      <c r="C247" s="174" t="s">
        <v>103</v>
      </c>
      <c r="D247" s="174">
        <v>6</v>
      </c>
      <c r="E247" s="174"/>
      <c r="F247" s="174"/>
      <c r="G247" s="185"/>
      <c r="H247" s="186"/>
      <c r="I247" s="177"/>
      <c r="J247" s="178">
        <f>SAÍDAS!$D247-SAÍDAS!$G247</f>
        <v>6</v>
      </c>
      <c r="K247" s="178">
        <f>SUMIFS(ENTRADAS!$E$7:$E$1002,ENTRADAS!$B$7:$B$1002,"&lt;=" &amp; SAÍDAS!$B247,ENTRADAS!$C$7:$C$1002,SAÍDAS!$C247)-SUMIFS(SAÍDAS!$J$7:$J$289,SAÍDAS!$B$7:$B$289,"&lt;=" &amp; SAÍDAS!$B247,SAÍDAS!$C$7:$C$289,SAÍDAS!$C247)</f>
        <v>108</v>
      </c>
      <c r="L247" s="179">
        <f t="shared" si="3"/>
        <v>0</v>
      </c>
      <c r="M247" s="170"/>
    </row>
    <row r="248" spans="1:13" ht="15.75" customHeight="1">
      <c r="A248" s="165"/>
      <c r="B248" s="173">
        <v>46059</v>
      </c>
      <c r="C248" s="174" t="s">
        <v>234</v>
      </c>
      <c r="D248" s="174">
        <v>5</v>
      </c>
      <c r="E248" s="174"/>
      <c r="F248" s="174"/>
      <c r="G248" s="185"/>
      <c r="H248" s="186"/>
      <c r="I248" s="177"/>
      <c r="J248" s="178">
        <f>SAÍDAS!$D248-SAÍDAS!$G248</f>
        <v>5</v>
      </c>
      <c r="K248" s="178">
        <f>SUMIFS(ENTRADAS!$E$7:$E$1002,ENTRADAS!$B$7:$B$1002,"&lt;=" &amp; SAÍDAS!$B248,ENTRADAS!$C$7:$C$1002,SAÍDAS!$C248)-SUMIFS(SAÍDAS!$J$7:$J$289,SAÍDAS!$B$7:$B$289,"&lt;=" &amp; SAÍDAS!$B248,SAÍDAS!$C$7:$C$289,SAÍDAS!$C248)</f>
        <v>35</v>
      </c>
      <c r="L248" s="179">
        <f t="shared" si="3"/>
        <v>0</v>
      </c>
      <c r="M248" s="170"/>
    </row>
    <row r="249" spans="1:13" ht="15.75" customHeight="1">
      <c r="A249" s="165"/>
      <c r="B249" s="173">
        <v>46059</v>
      </c>
      <c r="C249" s="174" t="s">
        <v>236</v>
      </c>
      <c r="D249" s="174">
        <v>4</v>
      </c>
      <c r="E249" s="174"/>
      <c r="F249" s="181"/>
      <c r="G249" s="185"/>
      <c r="H249" s="186"/>
      <c r="I249" s="177"/>
      <c r="J249" s="178">
        <f>SAÍDAS!$D249-SAÍDAS!$G249</f>
        <v>4</v>
      </c>
      <c r="K249" s="178">
        <f>SUMIFS(ENTRADAS!$E$7:$E$1002,ENTRADAS!$B$7:$B$1002,"&lt;=" &amp; SAÍDAS!$B249,ENTRADAS!$C$7:$C$1002,SAÍDAS!$C249)-SUMIFS(SAÍDAS!$J$7:$J$289,SAÍDAS!$B$7:$B$289,"&lt;=" &amp; SAÍDAS!$B249,SAÍDAS!$C$7:$C$289,SAÍDAS!$C249)</f>
        <v>4</v>
      </c>
      <c r="L249" s="179">
        <f t="shared" si="3"/>
        <v>0</v>
      </c>
      <c r="M249" s="170"/>
    </row>
    <row r="250" spans="1:13" ht="15.75" customHeight="1">
      <c r="A250" s="165"/>
      <c r="B250" s="173">
        <v>46059</v>
      </c>
      <c r="C250" s="174" t="s">
        <v>190</v>
      </c>
      <c r="D250" s="174">
        <v>1</v>
      </c>
      <c r="E250" s="174"/>
      <c r="F250" s="174"/>
      <c r="G250" s="185"/>
      <c r="H250" s="186"/>
      <c r="I250" s="177"/>
      <c r="J250" s="178">
        <f>SAÍDAS!$D250-SAÍDAS!$G250</f>
        <v>1</v>
      </c>
      <c r="K250" s="178">
        <f>SUMIFS(ENTRADAS!$E$7:$E$1002,ENTRADAS!$B$7:$B$1002,"&lt;=" &amp; SAÍDAS!$B250,ENTRADAS!$C$7:$C$1002,SAÍDAS!$C250)-SUMIFS(SAÍDAS!$J$7:$J$289,SAÍDAS!$B$7:$B$289,"&lt;=" &amp; SAÍDAS!$B250,SAÍDAS!$C$7:$C$289,SAÍDAS!$C250)</f>
        <v>3</v>
      </c>
      <c r="L250" s="179">
        <f t="shared" si="3"/>
        <v>0</v>
      </c>
      <c r="M250" s="170"/>
    </row>
    <row r="251" spans="1:13" ht="15.75" customHeight="1">
      <c r="A251" s="165"/>
      <c r="B251" s="173">
        <v>46059</v>
      </c>
      <c r="C251" s="174" t="s">
        <v>229</v>
      </c>
      <c r="D251" s="174">
        <v>1</v>
      </c>
      <c r="E251" s="174"/>
      <c r="F251" s="181"/>
      <c r="G251" s="185"/>
      <c r="H251" s="186"/>
      <c r="I251" s="177"/>
      <c r="J251" s="178">
        <f>SAÍDAS!$D251-SAÍDAS!$G251</f>
        <v>1</v>
      </c>
      <c r="K251" s="178">
        <f>SUMIFS(ENTRADAS!$E$7:$E$1002,ENTRADAS!$B$7:$B$1002,"&lt;=" &amp; SAÍDAS!$B251,ENTRADAS!$C$7:$C$1002,SAÍDAS!$C251)-SUMIFS(SAÍDAS!$J$7:$J$289,SAÍDAS!$B$7:$B$289,"&lt;=" &amp; SAÍDAS!$B251,SAÍDAS!$C$7:$C$289,SAÍDAS!$C251)</f>
        <v>3</v>
      </c>
      <c r="L251" s="179">
        <f t="shared" si="3"/>
        <v>0</v>
      </c>
      <c r="M251" s="170"/>
    </row>
    <row r="252" spans="1:13" ht="15.75" customHeight="1">
      <c r="A252" s="165"/>
      <c r="B252" s="173">
        <v>46059</v>
      </c>
      <c r="C252" s="174" t="s">
        <v>177</v>
      </c>
      <c r="D252" s="174">
        <v>1</v>
      </c>
      <c r="E252" s="174"/>
      <c r="F252" s="181"/>
      <c r="G252" s="185"/>
      <c r="H252" s="186"/>
      <c r="I252" s="177"/>
      <c r="J252" s="178">
        <f>SAÍDAS!$D252-SAÍDAS!$G252</f>
        <v>1</v>
      </c>
      <c r="K252" s="178">
        <f>SUMIFS(ENTRADAS!$E$7:$E$1002,ENTRADAS!$B$7:$B$1002,"&lt;=" &amp; SAÍDAS!$B252,ENTRADAS!$C$7:$C$1002,SAÍDAS!$C252)-SUMIFS(SAÍDAS!$J$7:$J$289,SAÍDAS!$B$7:$B$289,"&lt;=" &amp; SAÍDAS!$B252,SAÍDAS!$C$7:$C$289,SAÍDAS!$C252)</f>
        <v>14</v>
      </c>
      <c r="L252" s="179">
        <f t="shared" ref="L252:L319" si="4">I252*J252</f>
        <v>0</v>
      </c>
      <c r="M252" s="170"/>
    </row>
    <row r="253" spans="1:13" ht="15.75" customHeight="1">
      <c r="A253" s="165"/>
      <c r="B253" s="173">
        <v>46059</v>
      </c>
      <c r="C253" s="174" t="s">
        <v>131</v>
      </c>
      <c r="D253" s="174">
        <v>2</v>
      </c>
      <c r="E253" s="174"/>
      <c r="F253" s="181"/>
      <c r="G253" s="185"/>
      <c r="H253" s="186"/>
      <c r="I253" s="177"/>
      <c r="J253" s="178">
        <f>SAÍDAS!$D253-SAÍDAS!$G253</f>
        <v>2</v>
      </c>
      <c r="K253" s="178">
        <f>SUMIFS(ENTRADAS!$E$7:$E$1002,ENTRADAS!$B$7:$B$1002,"&lt;=" &amp; SAÍDAS!$B253,ENTRADAS!$C$7:$C$1002,SAÍDAS!$C253)-SUMIFS(SAÍDAS!$J$7:$J$289,SAÍDAS!$B$7:$B$289,"&lt;=" &amp; SAÍDAS!$B253,SAÍDAS!$C$7:$C$289,SAÍDAS!$C253)</f>
        <v>3</v>
      </c>
      <c r="L253" s="179">
        <f t="shared" si="4"/>
        <v>0</v>
      </c>
      <c r="M253" s="170"/>
    </row>
    <row r="254" spans="1:13" ht="15.75" customHeight="1">
      <c r="A254" s="165"/>
      <c r="B254" s="173">
        <v>46059</v>
      </c>
      <c r="C254" s="174" t="s">
        <v>223</v>
      </c>
      <c r="D254" s="174">
        <v>1</v>
      </c>
      <c r="E254" s="174"/>
      <c r="F254" s="181"/>
      <c r="G254" s="185"/>
      <c r="H254" s="186"/>
      <c r="I254" s="177"/>
      <c r="J254" s="178">
        <f>SAÍDAS!$D254-SAÍDAS!$G254</f>
        <v>1</v>
      </c>
      <c r="K254" s="178">
        <f>SUMIFS(ENTRADAS!$E$7:$E$1002,ENTRADAS!$B$7:$B$1002,"&lt;=" &amp; SAÍDAS!$B254,ENTRADAS!$C$7:$C$1002,SAÍDAS!$C254)-SUMIFS(SAÍDAS!$J$7:$J$289,SAÍDAS!$B$7:$B$289,"&lt;=" &amp; SAÍDAS!$B254,SAÍDAS!$C$7:$C$289,SAÍDAS!$C254)</f>
        <v>5</v>
      </c>
      <c r="L254" s="179">
        <f t="shared" si="4"/>
        <v>0</v>
      </c>
      <c r="M254" s="170"/>
    </row>
    <row r="255" spans="1:13" ht="15.75" customHeight="1">
      <c r="A255" s="165"/>
      <c r="B255" s="173">
        <v>46059</v>
      </c>
      <c r="C255" s="174" t="s">
        <v>116</v>
      </c>
      <c r="D255" s="174">
        <v>1</v>
      </c>
      <c r="E255" s="174"/>
      <c r="F255" s="174"/>
      <c r="G255" s="185"/>
      <c r="H255" s="186"/>
      <c r="I255" s="177"/>
      <c r="J255" s="178">
        <f>SAÍDAS!$D255-SAÍDAS!$G255</f>
        <v>1</v>
      </c>
      <c r="K255" s="178">
        <f>SUMIFS(ENTRADAS!$E$7:$E$1002,ENTRADAS!$B$7:$B$1002,"&lt;=" &amp; SAÍDAS!$B255,ENTRADAS!$C$7:$C$1002,SAÍDAS!$C255)-SUMIFS(SAÍDAS!$J$7:$J$289,SAÍDAS!$B$7:$B$289,"&lt;=" &amp; SAÍDAS!$B255,SAÍDAS!$C$7:$C$289,SAÍDAS!$C255)</f>
        <v>5</v>
      </c>
      <c r="L255" s="179">
        <f t="shared" si="4"/>
        <v>0</v>
      </c>
      <c r="M255" s="170"/>
    </row>
    <row r="256" spans="1:13" ht="15.75" customHeight="1">
      <c r="A256" s="165"/>
      <c r="B256" s="173">
        <v>46059</v>
      </c>
      <c r="C256" s="174" t="s">
        <v>117</v>
      </c>
      <c r="D256" s="174">
        <v>1</v>
      </c>
      <c r="E256" s="174"/>
      <c r="F256" s="181"/>
      <c r="G256" s="185"/>
      <c r="H256" s="186"/>
      <c r="I256" s="177"/>
      <c r="J256" s="178">
        <f>SAÍDAS!$D256-SAÍDAS!$G256</f>
        <v>1</v>
      </c>
      <c r="K256" s="178">
        <f>SUMIFS(ENTRADAS!$E$7:$E$1002,ENTRADAS!$B$7:$B$1002,"&lt;=" &amp; SAÍDAS!$B256,ENTRADAS!$C$7:$C$1002,SAÍDAS!$C256)-SUMIFS(SAÍDAS!$J$7:$J$289,SAÍDAS!$B$7:$B$289,"&lt;=" &amp; SAÍDAS!$B256,SAÍDAS!$C$7:$C$289,SAÍDAS!$C256)</f>
        <v>5</v>
      </c>
      <c r="L256" s="179">
        <f t="shared" si="4"/>
        <v>0</v>
      </c>
      <c r="M256" s="170"/>
    </row>
    <row r="257" spans="1:13" ht="15.75" customHeight="1">
      <c r="A257" s="165"/>
      <c r="B257" s="173">
        <v>46059</v>
      </c>
      <c r="C257" s="174" t="s">
        <v>92</v>
      </c>
      <c r="D257" s="174">
        <v>1</v>
      </c>
      <c r="E257" s="174"/>
      <c r="F257" s="174"/>
      <c r="G257" s="185"/>
      <c r="H257" s="186"/>
      <c r="I257" s="177"/>
      <c r="J257" s="178">
        <f>SAÍDAS!$D257-SAÍDAS!$G257</f>
        <v>1</v>
      </c>
      <c r="K257" s="178">
        <f>SUMIFS(ENTRADAS!$E$7:$E$1002,ENTRADAS!$B$7:$B$1002,"&lt;=" &amp; SAÍDAS!$B257,ENTRADAS!$C$7:$C$1002,SAÍDAS!$C257)-SUMIFS(SAÍDAS!$J$7:$J$289,SAÍDAS!$B$7:$B$289,"&lt;=" &amp; SAÍDAS!$B257,SAÍDAS!$C$7:$C$289,SAÍDAS!$C257)</f>
        <v>37</v>
      </c>
      <c r="L257" s="179">
        <f t="shared" si="4"/>
        <v>0</v>
      </c>
      <c r="M257" s="170"/>
    </row>
    <row r="258" spans="1:13" ht="15.75" customHeight="1">
      <c r="A258" s="165"/>
      <c r="B258" s="173">
        <v>46059</v>
      </c>
      <c r="C258" s="174" t="s">
        <v>166</v>
      </c>
      <c r="D258" s="174">
        <v>1</v>
      </c>
      <c r="E258" s="174"/>
      <c r="F258" s="181"/>
      <c r="G258" s="185"/>
      <c r="H258" s="186"/>
      <c r="I258" s="177"/>
      <c r="J258" s="178">
        <f>SAÍDAS!$D258-SAÍDAS!$G258</f>
        <v>1</v>
      </c>
      <c r="K258" s="178">
        <f>SUMIFS(ENTRADAS!$E$7:$E$1002,ENTRADAS!$B$7:$B$1002,"&lt;=" &amp; SAÍDAS!$B258,ENTRADAS!$C$7:$C$1002,SAÍDAS!$C258)-SUMIFS(SAÍDAS!$J$7:$J$289,SAÍDAS!$B$7:$B$289,"&lt;=" &amp; SAÍDAS!$B258,SAÍDAS!$C$7:$C$289,SAÍDAS!$C258)</f>
        <v>6</v>
      </c>
      <c r="L258" s="179">
        <f t="shared" si="4"/>
        <v>0</v>
      </c>
      <c r="M258" s="170"/>
    </row>
    <row r="259" spans="1:13" ht="15.75" customHeight="1">
      <c r="A259" s="165"/>
      <c r="B259" s="173">
        <v>46059</v>
      </c>
      <c r="C259" s="174" t="s">
        <v>167</v>
      </c>
      <c r="D259" s="174">
        <v>1</v>
      </c>
      <c r="E259" s="174"/>
      <c r="F259" s="174"/>
      <c r="G259" s="185"/>
      <c r="H259" s="186"/>
      <c r="I259" s="177"/>
      <c r="J259" s="178">
        <f>SAÍDAS!$D259-SAÍDAS!$G259</f>
        <v>1</v>
      </c>
      <c r="K259" s="178">
        <f>SUMIFS(ENTRADAS!$E$7:$E$1002,ENTRADAS!$B$7:$B$1002,"&lt;=" &amp; SAÍDAS!$B259,ENTRADAS!$C$7:$C$1002,SAÍDAS!$C259)-SUMIFS(SAÍDAS!$J$7:$J$289,SAÍDAS!$B$7:$B$289,"&lt;=" &amp; SAÍDAS!$B259,SAÍDAS!$C$7:$C$289,SAÍDAS!$C259)</f>
        <v>4</v>
      </c>
      <c r="L259" s="179">
        <f t="shared" si="4"/>
        <v>0</v>
      </c>
      <c r="M259" s="170"/>
    </row>
    <row r="260" spans="1:13" ht="15.75" customHeight="1">
      <c r="A260" s="165"/>
      <c r="B260" s="173">
        <v>46059</v>
      </c>
      <c r="C260" s="174" t="s">
        <v>103</v>
      </c>
      <c r="D260" s="174">
        <v>1</v>
      </c>
      <c r="E260" s="174"/>
      <c r="F260" s="174"/>
      <c r="G260" s="185"/>
      <c r="H260" s="186"/>
      <c r="I260" s="177"/>
      <c r="J260" s="178">
        <f>SAÍDAS!$D260-SAÍDAS!$G260</f>
        <v>1</v>
      </c>
      <c r="K260" s="178">
        <f>SUMIFS(ENTRADAS!$E$7:$E$1002,ENTRADAS!$B$7:$B$1002,"&lt;=" &amp; SAÍDAS!$B260,ENTRADAS!$C$7:$C$1002,SAÍDAS!$C260)-SUMIFS(SAÍDAS!$J$7:$J$289,SAÍDAS!$B$7:$B$289,"&lt;=" &amp; SAÍDAS!$B260,SAÍDAS!$C$7:$C$289,SAÍDAS!$C260)</f>
        <v>108</v>
      </c>
      <c r="L260" s="179">
        <f t="shared" si="4"/>
        <v>0</v>
      </c>
      <c r="M260" s="170"/>
    </row>
    <row r="261" spans="1:13" ht="15.75" customHeight="1">
      <c r="A261" s="165"/>
      <c r="B261" s="173">
        <v>46059</v>
      </c>
      <c r="C261" s="174" t="s">
        <v>105</v>
      </c>
      <c r="D261" s="174">
        <v>2</v>
      </c>
      <c r="E261" s="174"/>
      <c r="F261" s="181"/>
      <c r="G261" s="185"/>
      <c r="H261" s="186"/>
      <c r="I261" s="177"/>
      <c r="J261" s="178">
        <f>SAÍDAS!$D261-SAÍDAS!$G261</f>
        <v>2</v>
      </c>
      <c r="K261" s="178">
        <f>SUMIFS(ENTRADAS!$E$7:$E$1002,ENTRADAS!$B$7:$B$1002,"&lt;=" &amp; SAÍDAS!$B261,ENTRADAS!$C$7:$C$1002,SAÍDAS!$C261)-SUMIFS(SAÍDAS!$J$7:$J$289,SAÍDAS!$B$7:$B$289,"&lt;=" &amp; SAÍDAS!$B261,SAÍDAS!$C$7:$C$289,SAÍDAS!$C261)</f>
        <v>15</v>
      </c>
      <c r="L261" s="179">
        <f t="shared" si="4"/>
        <v>0</v>
      </c>
      <c r="M261" s="170"/>
    </row>
    <row r="262" spans="1:13" ht="15.75" customHeight="1">
      <c r="A262" s="165"/>
      <c r="B262" s="173">
        <v>46059</v>
      </c>
      <c r="C262" s="174" t="s">
        <v>104</v>
      </c>
      <c r="D262" s="174">
        <v>1</v>
      </c>
      <c r="E262" s="174"/>
      <c r="F262" s="181"/>
      <c r="G262" s="185"/>
      <c r="H262" s="186"/>
      <c r="I262" s="177"/>
      <c r="J262" s="178">
        <f>SAÍDAS!$D262-SAÍDAS!$G262</f>
        <v>1</v>
      </c>
      <c r="K262" s="178">
        <f>SUMIFS(ENTRADAS!$E$7:$E$1002,ENTRADAS!$B$7:$B$1002,"&lt;=" &amp; SAÍDAS!$B262,ENTRADAS!$C$7:$C$1002,SAÍDAS!$C262)-SUMIFS(SAÍDAS!$J$7:$J$289,SAÍDAS!$B$7:$B$289,"&lt;=" &amp; SAÍDAS!$B262,SAÍDAS!$C$7:$C$289,SAÍDAS!$C262)</f>
        <v>25</v>
      </c>
      <c r="L262" s="179">
        <f t="shared" si="4"/>
        <v>0</v>
      </c>
      <c r="M262" s="170"/>
    </row>
    <row r="263" spans="1:13" ht="15.75" customHeight="1">
      <c r="A263" s="165"/>
      <c r="B263" s="173">
        <v>46059</v>
      </c>
      <c r="C263" s="174" t="s">
        <v>101</v>
      </c>
      <c r="D263" s="174">
        <v>2</v>
      </c>
      <c r="E263" s="174"/>
      <c r="F263" s="181"/>
      <c r="G263" s="185"/>
      <c r="H263" s="186"/>
      <c r="I263" s="177"/>
      <c r="J263" s="178">
        <f>SAÍDAS!$D263-SAÍDAS!$G263</f>
        <v>2</v>
      </c>
      <c r="K263" s="178">
        <f>SUMIFS(ENTRADAS!$E$7:$E$1002,ENTRADAS!$B$7:$B$1002,"&lt;=" &amp; SAÍDAS!$B263,ENTRADAS!$C$7:$C$1002,SAÍDAS!$C263)-SUMIFS(SAÍDAS!$J$7:$J$289,SAÍDAS!$B$7:$B$289,"&lt;=" &amp; SAÍDAS!$B263,SAÍDAS!$C$7:$C$289,SAÍDAS!$C263)</f>
        <v>5</v>
      </c>
      <c r="L263" s="179">
        <f t="shared" si="4"/>
        <v>0</v>
      </c>
      <c r="M263" s="170"/>
    </row>
    <row r="264" spans="1:13" ht="15.75" customHeight="1">
      <c r="A264" s="165"/>
      <c r="B264" s="173">
        <v>46062</v>
      </c>
      <c r="C264" s="174" t="s">
        <v>237</v>
      </c>
      <c r="D264" s="174">
        <v>5</v>
      </c>
      <c r="E264" s="174"/>
      <c r="F264" s="174"/>
      <c r="G264" s="185"/>
      <c r="H264" s="186"/>
      <c r="I264" s="177"/>
      <c r="J264" s="178">
        <f>SAÍDAS!$D264-SAÍDAS!$G264</f>
        <v>5</v>
      </c>
      <c r="K264" s="178">
        <f>SUMIFS(ENTRADAS!$E$7:$E$1002,ENTRADAS!$B$7:$B$1002,"&lt;=" &amp; SAÍDAS!$B264,ENTRADAS!$C$7:$C$1002,SAÍDAS!$C264)-SUMIFS(SAÍDAS!$J$7:$J$289,SAÍDAS!$B$7:$B$289,"&lt;=" &amp; SAÍDAS!$B264,SAÍDAS!$C$7:$C$289,SAÍDAS!$C264)</f>
        <v>47</v>
      </c>
      <c r="L264" s="179">
        <f t="shared" si="4"/>
        <v>0</v>
      </c>
      <c r="M264" s="170"/>
    </row>
    <row r="265" spans="1:13" ht="15.75" customHeight="1">
      <c r="A265" s="165"/>
      <c r="B265" s="173">
        <v>46062</v>
      </c>
      <c r="C265" s="174" t="s">
        <v>255</v>
      </c>
      <c r="D265" s="174">
        <v>2</v>
      </c>
      <c r="E265" s="174"/>
      <c r="F265" s="174"/>
      <c r="G265" s="185"/>
      <c r="H265" s="186"/>
      <c r="I265" s="177"/>
      <c r="J265" s="178">
        <f>SAÍDAS!$D265-SAÍDAS!$G265</f>
        <v>2</v>
      </c>
      <c r="K265" s="178">
        <f>SUMIFS(ENTRADAS!$E$7:$E$1002,ENTRADAS!$B$7:$B$1002,"&lt;=" &amp; SAÍDAS!$B265,ENTRADAS!$C$7:$C$1002,SAÍDAS!$C265)-SUMIFS(SAÍDAS!$J$7:$J$289,SAÍDAS!$B$7:$B$289,"&lt;=" &amp; SAÍDAS!$B265,SAÍDAS!$C$7:$C$289,SAÍDAS!$C265)</f>
        <v>13</v>
      </c>
      <c r="L265" s="179">
        <f t="shared" si="4"/>
        <v>0</v>
      </c>
      <c r="M265" s="170"/>
    </row>
    <row r="266" spans="1:13" ht="15.75" customHeight="1">
      <c r="A266" s="165"/>
      <c r="B266" s="173">
        <v>46062</v>
      </c>
      <c r="C266" s="174" t="s">
        <v>157</v>
      </c>
      <c r="D266" s="174">
        <v>1</v>
      </c>
      <c r="E266" s="174"/>
      <c r="F266" s="181"/>
      <c r="G266" s="185"/>
      <c r="H266" s="186"/>
      <c r="I266" s="177"/>
      <c r="J266" s="178">
        <f>SAÍDAS!$D266-SAÍDAS!$G266</f>
        <v>1</v>
      </c>
      <c r="K266" s="178">
        <f>SUMIFS(ENTRADAS!$E$7:$E$1002,ENTRADAS!$B$7:$B$1002,"&lt;=" &amp; SAÍDAS!$B266,ENTRADAS!$C$7:$C$1002,SAÍDAS!$C266)-SUMIFS(SAÍDAS!$J$7:$J$289,SAÍDAS!$B$7:$B$289,"&lt;=" &amp; SAÍDAS!$B266,SAÍDAS!$C$7:$C$289,SAÍDAS!$C266)</f>
        <v>16</v>
      </c>
      <c r="L266" s="179">
        <f t="shared" si="4"/>
        <v>0</v>
      </c>
      <c r="M266" s="170"/>
    </row>
    <row r="267" spans="1:13" ht="15.75" customHeight="1">
      <c r="A267" s="165"/>
      <c r="B267" s="173">
        <v>46062</v>
      </c>
      <c r="C267" s="174" t="s">
        <v>103</v>
      </c>
      <c r="D267" s="174">
        <v>1</v>
      </c>
      <c r="E267" s="174"/>
      <c r="F267" s="181"/>
      <c r="G267" s="185"/>
      <c r="H267" s="186"/>
      <c r="I267" s="177"/>
      <c r="J267" s="178">
        <f>SAÍDAS!$D267-SAÍDAS!$G267</f>
        <v>1</v>
      </c>
      <c r="K267" s="178">
        <f>SUMIFS(ENTRADAS!$E$7:$E$1002,ENTRADAS!$B$7:$B$1002,"&lt;=" &amp; SAÍDAS!$B267,ENTRADAS!$C$7:$C$1002,SAÍDAS!$C267)-SUMIFS(SAÍDAS!$J$7:$J$289,SAÍDAS!$B$7:$B$289,"&lt;=" &amp; SAÍDAS!$B267,SAÍDAS!$C$7:$C$289,SAÍDAS!$C267)</f>
        <v>106</v>
      </c>
      <c r="L267" s="179">
        <f t="shared" si="4"/>
        <v>0</v>
      </c>
      <c r="M267" s="170"/>
    </row>
    <row r="268" spans="1:13" ht="15.75" customHeight="1">
      <c r="A268" s="165"/>
      <c r="B268" s="173">
        <v>46062</v>
      </c>
      <c r="C268" s="174" t="s">
        <v>119</v>
      </c>
      <c r="D268" s="174">
        <v>1</v>
      </c>
      <c r="E268" s="174"/>
      <c r="F268" s="181"/>
      <c r="G268" s="185"/>
      <c r="H268" s="186"/>
      <c r="I268" s="177"/>
      <c r="J268" s="178">
        <f>SAÍDAS!$D268-SAÍDAS!$G268</f>
        <v>1</v>
      </c>
      <c r="K268" s="178">
        <f>SUMIFS(ENTRADAS!$E$7:$E$1002,ENTRADAS!$B$7:$B$1002,"&lt;=" &amp; SAÍDAS!$B268,ENTRADAS!$C$7:$C$1002,SAÍDAS!$C268)-SUMIFS(SAÍDAS!$J$7:$J$289,SAÍDAS!$B$7:$B$289,"&lt;=" &amp; SAÍDAS!$B268,SAÍDAS!$C$7:$C$289,SAÍDAS!$C268)</f>
        <v>6</v>
      </c>
      <c r="L268" s="179">
        <f t="shared" si="4"/>
        <v>0</v>
      </c>
      <c r="M268" s="170"/>
    </row>
    <row r="269" spans="1:13" ht="15.75" customHeight="1">
      <c r="A269" s="165"/>
      <c r="B269" s="173">
        <v>46062</v>
      </c>
      <c r="C269" s="174" t="s">
        <v>92</v>
      </c>
      <c r="D269" s="174">
        <v>1</v>
      </c>
      <c r="E269" s="174"/>
      <c r="F269" s="174"/>
      <c r="G269" s="185"/>
      <c r="H269" s="186"/>
      <c r="I269" s="177"/>
      <c r="J269" s="178">
        <f>SAÍDAS!$D269-SAÍDAS!$G269</f>
        <v>1</v>
      </c>
      <c r="K269" s="178">
        <f>SUMIFS(ENTRADAS!$E$7:$E$1002,ENTRADAS!$B$7:$B$1002,"&lt;=" &amp; SAÍDAS!$B269,ENTRADAS!$C$7:$C$1002,SAÍDAS!$C269)-SUMIFS(SAÍDAS!$J$7:$J$289,SAÍDAS!$B$7:$B$289,"&lt;=" &amp; SAÍDAS!$B269,SAÍDAS!$C$7:$C$289,SAÍDAS!$C269)</f>
        <v>36</v>
      </c>
      <c r="L269" s="179">
        <f t="shared" si="4"/>
        <v>0</v>
      </c>
      <c r="M269" s="170"/>
    </row>
    <row r="270" spans="1:13" ht="15.75" customHeight="1">
      <c r="A270" s="165"/>
      <c r="B270" s="173">
        <v>46062</v>
      </c>
      <c r="C270" s="174" t="s">
        <v>94</v>
      </c>
      <c r="D270" s="174">
        <v>1</v>
      </c>
      <c r="E270" s="174"/>
      <c r="F270" s="181"/>
      <c r="G270" s="185"/>
      <c r="H270" s="186"/>
      <c r="I270" s="177"/>
      <c r="J270" s="178">
        <f>SAÍDAS!$D270-SAÍDAS!$G270</f>
        <v>1</v>
      </c>
      <c r="K270" s="178">
        <f>SUMIFS(ENTRADAS!$E$7:$E$1002,ENTRADAS!$B$7:$B$1002,"&lt;=" &amp; SAÍDAS!$B270,ENTRADAS!$C$7:$C$1002,SAÍDAS!$C270)-SUMIFS(SAÍDAS!$J$7:$J$289,SAÍDAS!$B$7:$B$289,"&lt;=" &amp; SAÍDAS!$B270,SAÍDAS!$C$7:$C$289,SAÍDAS!$C270)</f>
        <v>21</v>
      </c>
      <c r="L270" s="179">
        <f t="shared" si="4"/>
        <v>0</v>
      </c>
      <c r="M270" s="170"/>
    </row>
    <row r="271" spans="1:13" ht="15.75" customHeight="1">
      <c r="A271" s="165"/>
      <c r="B271" s="173">
        <v>46062</v>
      </c>
      <c r="C271" s="174" t="s">
        <v>219</v>
      </c>
      <c r="D271" s="174">
        <v>1</v>
      </c>
      <c r="E271" s="174"/>
      <c r="F271" s="181"/>
      <c r="G271" s="185"/>
      <c r="H271" s="186"/>
      <c r="I271" s="177"/>
      <c r="J271" s="178">
        <f>SAÍDAS!$D271-SAÍDAS!$G271</f>
        <v>1</v>
      </c>
      <c r="K271" s="178">
        <f>SUMIFS(ENTRADAS!$E$7:$E$1002,ENTRADAS!$B$7:$B$1002,"&lt;=" &amp; SAÍDAS!$B271,ENTRADAS!$C$7:$C$1002,SAÍDAS!$C271)-SUMIFS(SAÍDAS!$J$7:$J$289,SAÍDAS!$B$7:$B$289,"&lt;=" &amp; SAÍDAS!$B271,SAÍDAS!$C$7:$C$289,SAÍDAS!$C271)</f>
        <v>5</v>
      </c>
      <c r="L271" s="179">
        <f t="shared" si="4"/>
        <v>0</v>
      </c>
      <c r="M271" s="170"/>
    </row>
    <row r="272" spans="1:13" ht="15.75" customHeight="1">
      <c r="A272" s="165"/>
      <c r="B272" s="173">
        <v>46062</v>
      </c>
      <c r="C272" s="174" t="s">
        <v>218</v>
      </c>
      <c r="D272" s="174">
        <v>1</v>
      </c>
      <c r="E272" s="181"/>
      <c r="F272" s="181"/>
      <c r="G272" s="185"/>
      <c r="H272" s="186"/>
      <c r="I272" s="177"/>
      <c r="J272" s="178">
        <f>SAÍDAS!$D272-SAÍDAS!$G272</f>
        <v>1</v>
      </c>
      <c r="K272" s="178">
        <f>SUMIFS(ENTRADAS!$E$7:$E$1002,ENTRADAS!$B$7:$B$1002,"&lt;=" &amp; SAÍDAS!$B272,ENTRADAS!$C$7:$C$1002,SAÍDAS!$C272)-SUMIFS(SAÍDAS!$J$7:$J$289,SAÍDAS!$B$7:$B$289,"&lt;=" &amp; SAÍDAS!$B272,SAÍDAS!$C$7:$C$289,SAÍDAS!$C272)</f>
        <v>3</v>
      </c>
      <c r="L272" s="179">
        <f t="shared" si="4"/>
        <v>0</v>
      </c>
      <c r="M272" s="170"/>
    </row>
    <row r="273" spans="1:13" ht="15.75" customHeight="1">
      <c r="A273" s="165"/>
      <c r="B273" s="173">
        <v>46062</v>
      </c>
      <c r="C273" s="182" t="s">
        <v>168</v>
      </c>
      <c r="D273" s="182">
        <v>2</v>
      </c>
      <c r="E273" s="182"/>
      <c r="F273" s="185"/>
      <c r="G273" s="185"/>
      <c r="H273" s="186"/>
      <c r="I273" s="177"/>
      <c r="J273" s="178">
        <f>SAÍDAS!$D273-SAÍDAS!$G273</f>
        <v>2</v>
      </c>
      <c r="K273" s="178">
        <f>SUMIFS(ENTRADAS!$E$7:$E$1002,ENTRADAS!$B$7:$B$1002,"&lt;=" &amp; SAÍDAS!$B273,ENTRADAS!$C$7:$C$1002,SAÍDAS!$C273)-SUMIFS(SAÍDAS!$J$7:$J$289,SAÍDAS!$B$7:$B$289,"&lt;=" &amp; SAÍDAS!$B273,SAÍDAS!$C$7:$C$289,SAÍDAS!$C273)</f>
        <v>11</v>
      </c>
      <c r="L273" s="179">
        <f t="shared" si="4"/>
        <v>0</v>
      </c>
      <c r="M273" s="170"/>
    </row>
    <row r="274" spans="1:13" ht="15.75" customHeight="1">
      <c r="A274" s="165"/>
      <c r="B274" s="173">
        <v>46062</v>
      </c>
      <c r="C274" s="182" t="s">
        <v>150</v>
      </c>
      <c r="D274" s="182">
        <v>1</v>
      </c>
      <c r="E274" s="182"/>
      <c r="F274" s="185"/>
      <c r="G274" s="185"/>
      <c r="H274" s="186"/>
      <c r="I274" s="177"/>
      <c r="J274" s="178">
        <f>SAÍDAS!$D274-SAÍDAS!$G274</f>
        <v>1</v>
      </c>
      <c r="K274" s="178">
        <f>SUMIFS(ENTRADAS!$E$7:$E$1002,ENTRADAS!$B$7:$B$1002,"&lt;=" &amp; SAÍDAS!$B274,ENTRADAS!$C$7:$C$1002,SAÍDAS!$C274)-SUMIFS(SAÍDAS!$J$7:$J$289,SAÍDAS!$B$7:$B$289,"&lt;=" &amp; SAÍDAS!$B274,SAÍDAS!$C$7:$C$289,SAÍDAS!$C274)</f>
        <v>0</v>
      </c>
      <c r="L274" s="179">
        <f t="shared" si="4"/>
        <v>0</v>
      </c>
      <c r="M274" s="170"/>
    </row>
    <row r="275" spans="1:13" ht="15.75" customHeight="1">
      <c r="A275" s="165"/>
      <c r="B275" s="173">
        <v>46062</v>
      </c>
      <c r="C275" s="182" t="s">
        <v>207</v>
      </c>
      <c r="D275" s="182">
        <v>1</v>
      </c>
      <c r="E275" s="182"/>
      <c r="F275" s="185"/>
      <c r="G275" s="185"/>
      <c r="H275" s="186"/>
      <c r="I275" s="177"/>
      <c r="J275" s="178">
        <f>SAÍDAS!$D275-SAÍDAS!$G275</f>
        <v>1</v>
      </c>
      <c r="K275" s="178">
        <f>SUMIFS(ENTRADAS!$E$7:$E$1002,ENTRADAS!$B$7:$B$1002,"&lt;=" &amp; SAÍDAS!$B275,ENTRADAS!$C$7:$C$1002,SAÍDAS!$C275)-SUMIFS(SAÍDAS!$J$7:$J$289,SAÍDAS!$B$7:$B$289,"&lt;=" &amp; SAÍDAS!$B275,SAÍDAS!$C$7:$C$289,SAÍDAS!$C275)</f>
        <v>7</v>
      </c>
      <c r="L275" s="179">
        <f t="shared" si="4"/>
        <v>0</v>
      </c>
      <c r="M275" s="170"/>
    </row>
    <row r="276" spans="1:13" ht="15.75" customHeight="1">
      <c r="A276" s="165"/>
      <c r="B276" s="173">
        <v>46062</v>
      </c>
      <c r="C276" s="182" t="s">
        <v>102</v>
      </c>
      <c r="D276" s="182">
        <v>2</v>
      </c>
      <c r="E276" s="182"/>
      <c r="F276" s="185"/>
      <c r="G276" s="185"/>
      <c r="H276" s="186"/>
      <c r="I276" s="177"/>
      <c r="J276" s="178">
        <f>SAÍDAS!$D276-SAÍDAS!$G276</f>
        <v>2</v>
      </c>
      <c r="K276" s="178">
        <f>SUMIFS(ENTRADAS!$E$7:$E$1002,ENTRADAS!$B$7:$B$1002,"&lt;=" &amp; SAÍDAS!$B276,ENTRADAS!$C$7:$C$1002,SAÍDAS!$C276)-SUMIFS(SAÍDAS!$J$7:$J$289,SAÍDAS!$B$7:$B$289,"&lt;=" &amp; SAÍDAS!$B276,SAÍDAS!$C$7:$C$289,SAÍDAS!$C276)</f>
        <v>105</v>
      </c>
      <c r="L276" s="179">
        <f t="shared" si="4"/>
        <v>0</v>
      </c>
      <c r="M276" s="170"/>
    </row>
    <row r="277" spans="1:13" ht="15.75" customHeight="1">
      <c r="A277" s="165"/>
      <c r="B277" s="173">
        <v>46062</v>
      </c>
      <c r="C277" s="182" t="s">
        <v>105</v>
      </c>
      <c r="D277" s="182">
        <v>2</v>
      </c>
      <c r="E277" s="182"/>
      <c r="F277" s="185"/>
      <c r="G277" s="185"/>
      <c r="H277" s="186"/>
      <c r="I277" s="177"/>
      <c r="J277" s="178">
        <f>SAÍDAS!$D277-SAÍDAS!$G277</f>
        <v>2</v>
      </c>
      <c r="K277" s="178">
        <f>SUMIFS(ENTRADAS!$E$7:$E$1002,ENTRADAS!$B$7:$B$1002,"&lt;=" &amp; SAÍDAS!$B277,ENTRADAS!$C$7:$C$1002,SAÍDAS!$C277)-SUMIFS(SAÍDAS!$J$7:$J$289,SAÍDAS!$B$7:$B$289,"&lt;=" &amp; SAÍDAS!$B277,SAÍDAS!$C$7:$C$289,SAÍDAS!$C277)</f>
        <v>13</v>
      </c>
      <c r="L277" s="179">
        <f t="shared" si="4"/>
        <v>0</v>
      </c>
      <c r="M277" s="170"/>
    </row>
    <row r="278" spans="1:13" ht="15.75" customHeight="1">
      <c r="A278" s="165"/>
      <c r="B278" s="173">
        <v>46062</v>
      </c>
      <c r="C278" s="182" t="s">
        <v>110</v>
      </c>
      <c r="D278" s="182">
        <v>1</v>
      </c>
      <c r="E278" s="182"/>
      <c r="F278" s="185"/>
      <c r="G278" s="185"/>
      <c r="H278" s="186"/>
      <c r="I278" s="177"/>
      <c r="J278" s="178">
        <f>SAÍDAS!$D278-SAÍDAS!$G278</f>
        <v>1</v>
      </c>
      <c r="K278" s="178">
        <f>SUMIFS(ENTRADAS!$E$7:$E$1002,ENTRADAS!$B$7:$B$1002,"&lt;=" &amp; SAÍDAS!$B278,ENTRADAS!$C$7:$C$1002,SAÍDAS!$C278)-SUMIFS(SAÍDAS!$J$7:$J$289,SAÍDAS!$B$7:$B$289,"&lt;=" &amp; SAÍDAS!$B278,SAÍDAS!$C$7:$C$289,SAÍDAS!$C278)</f>
        <v>24</v>
      </c>
      <c r="L278" s="179">
        <f t="shared" si="4"/>
        <v>0</v>
      </c>
      <c r="M278" s="170"/>
    </row>
    <row r="279" spans="1:13" ht="15.75" customHeight="1">
      <c r="A279" s="165"/>
      <c r="B279" s="173">
        <v>46062</v>
      </c>
      <c r="C279" s="182" t="s">
        <v>233</v>
      </c>
      <c r="D279" s="182">
        <v>4</v>
      </c>
      <c r="E279" s="182"/>
      <c r="F279" s="185"/>
      <c r="G279" s="185"/>
      <c r="H279" s="186"/>
      <c r="I279" s="177"/>
      <c r="J279" s="178">
        <f>SAÍDAS!$D279-SAÍDAS!$G279</f>
        <v>4</v>
      </c>
      <c r="K279" s="178">
        <f>SUMIFS(ENTRADAS!$E$7:$E$1002,ENTRADAS!$B$7:$B$1002,"&lt;=" &amp; SAÍDAS!$B279,ENTRADAS!$C$7:$C$1002,SAÍDAS!$C279)-SUMIFS(SAÍDAS!$J$7:$J$289,SAÍDAS!$B$7:$B$289,"&lt;=" &amp; SAÍDAS!$B279,SAÍDAS!$C$7:$C$289,SAÍDAS!$C279)</f>
        <v>64</v>
      </c>
      <c r="L279" s="179">
        <f t="shared" si="4"/>
        <v>0</v>
      </c>
      <c r="M279" s="170"/>
    </row>
    <row r="280" spans="1:13" ht="15.75" customHeight="1">
      <c r="A280" s="165"/>
      <c r="B280" s="173">
        <v>46062</v>
      </c>
      <c r="C280" s="182" t="s">
        <v>235</v>
      </c>
      <c r="D280" s="182">
        <v>2</v>
      </c>
      <c r="E280" s="182"/>
      <c r="F280" s="185"/>
      <c r="G280" s="185"/>
      <c r="H280" s="186"/>
      <c r="I280" s="177"/>
      <c r="J280" s="178">
        <f>SAÍDAS!$D280-SAÍDAS!$G280</f>
        <v>2</v>
      </c>
      <c r="K280" s="178">
        <f>SUMIFS(ENTRADAS!$E$7:$E$1002,ENTRADAS!$B$7:$B$1002,"&lt;=" &amp; SAÍDAS!$B280,ENTRADAS!$C$7:$C$1002,SAÍDAS!$C280)-SUMIFS(SAÍDAS!$J$7:$J$289,SAÍDAS!$B$7:$B$289,"&lt;=" &amp; SAÍDAS!$B280,SAÍDAS!$C$7:$C$289,SAÍDAS!$C280)</f>
        <v>25</v>
      </c>
      <c r="L280" s="179">
        <f t="shared" si="4"/>
        <v>0</v>
      </c>
      <c r="M280" s="170"/>
    </row>
    <row r="281" spans="1:13" ht="15.75" customHeight="1">
      <c r="A281" s="165"/>
      <c r="B281" s="173">
        <v>46062</v>
      </c>
      <c r="C281" s="174" t="s">
        <v>236</v>
      </c>
      <c r="D281" s="174">
        <v>3</v>
      </c>
      <c r="E281" s="174"/>
      <c r="F281" s="182"/>
      <c r="G281" s="185"/>
      <c r="H281" s="186"/>
      <c r="I281" s="177"/>
      <c r="J281" s="178">
        <f>SAÍDAS!$D281-SAÍDAS!$G281</f>
        <v>3</v>
      </c>
      <c r="K281" s="178">
        <f>SUMIFS(ENTRADAS!$E$7:$E$1002,ENTRADAS!$B$7:$B$1002,"&lt;=" &amp; SAÍDAS!$B281,ENTRADAS!$C$7:$C$1002,SAÍDAS!$C281)-SUMIFS(SAÍDAS!$J$7:$J$289,SAÍDAS!$B$7:$B$289,"&lt;=" &amp; SAÍDAS!$B281,SAÍDAS!$C$7:$C$289,SAÍDAS!$C281)</f>
        <v>1</v>
      </c>
      <c r="L281" s="179">
        <f t="shared" si="4"/>
        <v>0</v>
      </c>
      <c r="M281" s="170"/>
    </row>
    <row r="282" spans="1:13" ht="15.75" customHeight="1">
      <c r="A282" s="165"/>
      <c r="B282" s="173">
        <v>46062</v>
      </c>
      <c r="C282" s="174" t="s">
        <v>125</v>
      </c>
      <c r="D282" s="174">
        <v>1</v>
      </c>
      <c r="E282" s="174"/>
      <c r="F282" s="182"/>
      <c r="G282" s="185"/>
      <c r="H282" s="186"/>
      <c r="I282" s="177"/>
      <c r="J282" s="178">
        <f>SAÍDAS!$D282-SAÍDAS!$G282</f>
        <v>1</v>
      </c>
      <c r="K282" s="178">
        <f>SUMIFS(ENTRADAS!$E$7:$E$1002,ENTRADAS!$B$7:$B$1002,"&lt;=" &amp; SAÍDAS!$B282,ENTRADAS!$C$7:$C$1002,SAÍDAS!$C282)-SUMIFS(SAÍDAS!$J$7:$J$289,SAÍDAS!$B$7:$B$289,"&lt;=" &amp; SAÍDAS!$B282,SAÍDAS!$C$7:$C$289,SAÍDAS!$C282)</f>
        <v>2</v>
      </c>
      <c r="L282" s="179">
        <f t="shared" si="4"/>
        <v>0</v>
      </c>
      <c r="M282" s="170"/>
    </row>
    <row r="283" spans="1:13" ht="15.75" customHeight="1">
      <c r="A283" s="165"/>
      <c r="B283" s="173">
        <v>46062</v>
      </c>
      <c r="C283" s="174" t="s">
        <v>107</v>
      </c>
      <c r="D283" s="174">
        <v>1</v>
      </c>
      <c r="E283" s="174"/>
      <c r="F283" s="182"/>
      <c r="G283" s="185"/>
      <c r="H283" s="186"/>
      <c r="I283" s="177"/>
      <c r="J283" s="178">
        <f>SAÍDAS!$D283-SAÍDAS!$G283</f>
        <v>1</v>
      </c>
      <c r="K283" s="178">
        <f>SUMIFS(ENTRADAS!$E$7:$E$1002,ENTRADAS!$B$7:$B$1002,"&lt;=" &amp; SAÍDAS!$B283,ENTRADAS!$C$7:$C$1002,SAÍDAS!$C283)-SUMIFS(SAÍDAS!$J$7:$J$289,SAÍDAS!$B$7:$B$289,"&lt;=" &amp; SAÍDAS!$B283,SAÍDAS!$C$7:$C$289,SAÍDAS!$C283)</f>
        <v>19</v>
      </c>
      <c r="L283" s="179">
        <f t="shared" si="4"/>
        <v>0</v>
      </c>
      <c r="M283" s="170"/>
    </row>
    <row r="284" spans="1:13" ht="15.75" customHeight="1">
      <c r="A284" s="165"/>
      <c r="B284" s="173">
        <v>46062</v>
      </c>
      <c r="C284" s="182" t="s">
        <v>103</v>
      </c>
      <c r="D284" s="182">
        <v>1</v>
      </c>
      <c r="E284" s="182"/>
      <c r="F284" s="185"/>
      <c r="G284" s="185"/>
      <c r="H284" s="186"/>
      <c r="I284" s="177"/>
      <c r="J284" s="178">
        <f>SAÍDAS!$D284-SAÍDAS!$G284</f>
        <v>1</v>
      </c>
      <c r="K284" s="178">
        <f>SUMIFS(ENTRADAS!$E$7:$E$1002,ENTRADAS!$B$7:$B$1002,"&lt;=" &amp; SAÍDAS!$B284,ENTRADAS!$C$7:$C$1002,SAÍDAS!$C284)-SUMIFS(SAÍDAS!$J$7:$J$289,SAÍDAS!$B$7:$B$289,"&lt;=" &amp; SAÍDAS!$B284,SAÍDAS!$C$7:$C$289,SAÍDAS!$C284)</f>
        <v>106</v>
      </c>
      <c r="L284" s="179">
        <f t="shared" si="4"/>
        <v>0</v>
      </c>
      <c r="M284" s="170"/>
    </row>
    <row r="285" spans="1:13" ht="15.75" customHeight="1">
      <c r="A285" s="165"/>
      <c r="B285" s="173">
        <v>46062</v>
      </c>
      <c r="C285" s="182" t="s">
        <v>104</v>
      </c>
      <c r="D285" s="182">
        <v>1</v>
      </c>
      <c r="E285" s="182"/>
      <c r="F285" s="185"/>
      <c r="G285" s="185"/>
      <c r="H285" s="186"/>
      <c r="I285" s="177"/>
      <c r="J285" s="178">
        <f>SAÍDAS!$D285-SAÍDAS!$G285</f>
        <v>1</v>
      </c>
      <c r="K285" s="178">
        <f>SUMIFS(ENTRADAS!$E$7:$E$1002,ENTRADAS!$B$7:$B$1002,"&lt;=" &amp; SAÍDAS!$B285,ENTRADAS!$C$7:$C$1002,SAÍDAS!$C285)-SUMIFS(SAÍDAS!$J$7:$J$289,SAÍDAS!$B$7:$B$289,"&lt;=" &amp; SAÍDAS!$B285,SAÍDAS!$C$7:$C$289,SAÍDAS!$C285)</f>
        <v>24</v>
      </c>
      <c r="L285" s="179">
        <f t="shared" si="4"/>
        <v>0</v>
      </c>
      <c r="M285" s="170"/>
    </row>
    <row r="286" spans="1:13" ht="15.75" customHeight="1">
      <c r="A286" s="165"/>
      <c r="B286" s="173">
        <v>46062</v>
      </c>
      <c r="C286" s="182" t="s">
        <v>218</v>
      </c>
      <c r="D286" s="182">
        <v>8</v>
      </c>
      <c r="E286" s="182"/>
      <c r="F286" s="185"/>
      <c r="G286" s="185"/>
      <c r="H286" s="186"/>
      <c r="I286" s="177"/>
      <c r="J286" s="178">
        <f>SAÍDAS!$D286-SAÍDAS!$G286</f>
        <v>8</v>
      </c>
      <c r="K286" s="178">
        <f>SUMIFS(ENTRADAS!$E$7:$E$1002,ENTRADAS!$B$7:$B$1002,"&lt;=" &amp; SAÍDAS!$B286,ENTRADAS!$C$7:$C$1002,SAÍDAS!$C286)-SUMIFS(SAÍDAS!$J$7:$J$289,SAÍDAS!$B$7:$B$289,"&lt;=" &amp; SAÍDAS!$B286,SAÍDAS!$C$7:$C$289,SAÍDAS!$C286)</f>
        <v>3</v>
      </c>
      <c r="L286" s="179">
        <f t="shared" si="4"/>
        <v>0</v>
      </c>
      <c r="M286" s="170"/>
    </row>
    <row r="287" spans="1:13" ht="15.75" customHeight="1">
      <c r="A287" s="165"/>
      <c r="B287" s="173">
        <v>46062</v>
      </c>
      <c r="C287" s="182" t="s">
        <v>254</v>
      </c>
      <c r="D287" s="182">
        <v>1</v>
      </c>
      <c r="E287" s="182"/>
      <c r="F287" s="185"/>
      <c r="G287" s="185"/>
      <c r="H287" s="186"/>
      <c r="I287" s="177"/>
      <c r="J287" s="178">
        <f>SAÍDAS!$D287-SAÍDAS!$G287</f>
        <v>1</v>
      </c>
      <c r="K287" s="178">
        <f>SUMIFS(ENTRADAS!$E$7:$E$1002,ENTRADAS!$B$7:$B$1002,"&lt;=" &amp; SAÍDAS!$B287,ENTRADAS!$C$7:$C$1002,SAÍDAS!$C287)-SUMIFS(SAÍDAS!$J$7:$J$289,SAÍDAS!$B$7:$B$289,"&lt;=" &amp; SAÍDAS!$B287,SAÍDAS!$C$7:$C$289,SAÍDAS!$C287)</f>
        <v>14</v>
      </c>
      <c r="L287" s="179">
        <f t="shared" si="4"/>
        <v>0</v>
      </c>
      <c r="M287" s="170"/>
    </row>
    <row r="288" spans="1:13" ht="15.75" customHeight="1">
      <c r="A288" s="165"/>
      <c r="B288" s="173">
        <v>46063</v>
      </c>
      <c r="C288" s="182" t="s">
        <v>220</v>
      </c>
      <c r="D288" s="182">
        <v>1</v>
      </c>
      <c r="E288" s="182"/>
      <c r="F288" s="185"/>
      <c r="G288" s="185"/>
      <c r="H288" s="186"/>
      <c r="I288" s="177"/>
      <c r="J288" s="178">
        <f>SAÍDAS!$D288-SAÍDAS!$G288</f>
        <v>1</v>
      </c>
      <c r="K288" s="178">
        <f>SUMIFS(ENTRADAS!$E$7:$E$1002,ENTRADAS!$B$7:$B$1002,"&lt;=" &amp; SAÍDAS!$B288,ENTRADAS!$C$7:$C$1002,SAÍDAS!$C288)-SUMIFS(SAÍDAS!$J$7:$J$289,SAÍDAS!$B$7:$B$289,"&lt;=" &amp; SAÍDAS!$B288,SAÍDAS!$C$7:$C$289,SAÍDAS!$C288)</f>
        <v>-1</v>
      </c>
      <c r="L288" s="179">
        <f t="shared" si="4"/>
        <v>0</v>
      </c>
      <c r="M288" s="170"/>
    </row>
    <row r="289" spans="1:13" ht="15.75" customHeight="1">
      <c r="A289" s="165"/>
      <c r="B289" s="173">
        <v>46063</v>
      </c>
      <c r="C289" s="182" t="s">
        <v>102</v>
      </c>
      <c r="D289" s="182">
        <v>2</v>
      </c>
      <c r="E289" s="182"/>
      <c r="F289" s="185"/>
      <c r="G289" s="185"/>
      <c r="H289" s="186"/>
      <c r="I289" s="177"/>
      <c r="J289" s="178">
        <f>SAÍDAS!$D289-SAÍDAS!$G289</f>
        <v>2</v>
      </c>
      <c r="K289" s="178">
        <f>SUMIFS(ENTRADAS!$E$7:$E$1002,ENTRADAS!$B$7:$B$1002,"&lt;=" &amp; SAÍDAS!$B289,ENTRADAS!$C$7:$C$1002,SAÍDAS!$C289)-SUMIFS(SAÍDAS!$J$7:$J$289,SAÍDAS!$B$7:$B$289,"&lt;=" &amp; SAÍDAS!$B289,SAÍDAS!$C$7:$C$289,SAÍDAS!$C289)</f>
        <v>103</v>
      </c>
      <c r="L289" s="179">
        <f t="shared" si="4"/>
        <v>0</v>
      </c>
      <c r="M289" s="170"/>
    </row>
    <row r="290" spans="1:13" ht="15.75" customHeight="1">
      <c r="A290" s="165"/>
      <c r="B290" s="173">
        <v>46063</v>
      </c>
      <c r="C290" s="174" t="s">
        <v>103</v>
      </c>
      <c r="D290" s="174">
        <v>2</v>
      </c>
      <c r="E290" s="174"/>
      <c r="F290" s="182"/>
      <c r="G290" s="185"/>
      <c r="H290" s="186"/>
      <c r="I290" s="177"/>
      <c r="J290" s="178">
        <f>SAÍDAS!$D290-SAÍDAS!$G290</f>
        <v>2</v>
      </c>
      <c r="K290" s="178">
        <f>SUMIFS(ENTRADAS!$E$7:$E$1002,ENTRADAS!$B$7:$B$1002,"&lt;=" &amp; SAÍDAS!$B290,ENTRADAS!$C$7:$C$1002,SAÍDAS!$C290)-SUMIFS(SAÍDAS!$J$7:$J$289,SAÍDAS!$B$7:$B$289,"&lt;=" &amp; SAÍDAS!$B290,SAÍDAS!$C$7:$C$289,SAÍDAS!$C290)</f>
        <v>106</v>
      </c>
      <c r="L290" s="179">
        <f t="shared" si="4"/>
        <v>0</v>
      </c>
      <c r="M290" s="170"/>
    </row>
    <row r="291" spans="1:13" ht="15.75" customHeight="1">
      <c r="A291" s="165"/>
      <c r="B291" s="173">
        <v>46063</v>
      </c>
      <c r="C291" s="174" t="s">
        <v>105</v>
      </c>
      <c r="D291" s="174">
        <v>2</v>
      </c>
      <c r="E291" s="174"/>
      <c r="F291" s="182"/>
      <c r="G291" s="185"/>
      <c r="H291" s="186"/>
      <c r="I291" s="177"/>
      <c r="J291" s="178">
        <f>SAÍDAS!$D291-SAÍDAS!$G291</f>
        <v>2</v>
      </c>
      <c r="K291" s="178">
        <f>SUMIFS(ENTRADAS!$E$7:$E$1002,ENTRADAS!$B$7:$B$1002,"&lt;=" &amp; SAÍDAS!$B291,ENTRADAS!$C$7:$C$1002,SAÍDAS!$C291)-SUMIFS(SAÍDAS!$J$7:$J$289,SAÍDAS!$B$7:$B$289,"&lt;=" &amp; SAÍDAS!$B291,SAÍDAS!$C$7:$C$289,SAÍDAS!$C291)</f>
        <v>13</v>
      </c>
      <c r="L291" s="179">
        <f t="shared" si="4"/>
        <v>0</v>
      </c>
      <c r="M291" s="170"/>
    </row>
    <row r="292" spans="1:13" ht="15.75" customHeight="1">
      <c r="A292" s="165"/>
      <c r="B292" s="173">
        <v>46063</v>
      </c>
      <c r="C292" s="182" t="s">
        <v>176</v>
      </c>
      <c r="D292" s="182">
        <v>2</v>
      </c>
      <c r="E292" s="182"/>
      <c r="F292" s="185"/>
      <c r="G292" s="185"/>
      <c r="H292" s="186"/>
      <c r="I292" s="177"/>
      <c r="J292" s="178">
        <f>SAÍDAS!$D292-SAÍDAS!$G292</f>
        <v>2</v>
      </c>
      <c r="K292" s="178">
        <f>SUMIFS(ENTRADAS!$E$7:$E$1002,ENTRADAS!$B$7:$B$1002,"&lt;=" &amp; SAÍDAS!$B292,ENTRADAS!$C$7:$C$1002,SAÍDAS!$C292)-SUMIFS(SAÍDAS!$J$7:$J$289,SAÍDAS!$B$7:$B$289,"&lt;=" &amp; SAÍDAS!$B292,SAÍDAS!$C$7:$C$289,SAÍDAS!$C292)</f>
        <v>14</v>
      </c>
      <c r="L292" s="179">
        <f t="shared" si="4"/>
        <v>0</v>
      </c>
      <c r="M292" s="170"/>
    </row>
    <row r="293" spans="1:13" ht="15.75" customHeight="1">
      <c r="A293" s="169"/>
      <c r="B293" s="173">
        <v>46063</v>
      </c>
      <c r="C293" s="174" t="s">
        <v>170</v>
      </c>
      <c r="D293" s="174">
        <v>2</v>
      </c>
      <c r="E293" s="174"/>
      <c r="F293" s="182"/>
      <c r="G293" s="185"/>
      <c r="H293" s="186"/>
      <c r="I293" s="177"/>
      <c r="J293" s="178">
        <f>SAÍDAS!$D293-SAÍDAS!$G293</f>
        <v>2</v>
      </c>
      <c r="K293" s="178">
        <f>SUMIFS(ENTRADAS!$E$7:$E$1002,ENTRADAS!$B$7:$B$1002,"&lt;=" &amp; SAÍDAS!$B293,ENTRADAS!$C$7:$C$1002,SAÍDAS!$C293)-SUMIFS(SAÍDAS!$J$7:$J$289,SAÍDAS!$B$7:$B$289,"&lt;=" &amp; SAÍDAS!$B293,SAÍDAS!$C$7:$C$289,SAÍDAS!$C293)</f>
        <v>10</v>
      </c>
      <c r="L293" s="179">
        <f t="shared" si="4"/>
        <v>0</v>
      </c>
      <c r="M293" s="170"/>
    </row>
    <row r="294" spans="1:13" ht="15.75" customHeight="1">
      <c r="A294" s="165"/>
      <c r="B294" s="173">
        <v>46063</v>
      </c>
      <c r="C294" s="174" t="s">
        <v>104</v>
      </c>
      <c r="D294" s="174">
        <v>1</v>
      </c>
      <c r="E294" s="174"/>
      <c r="F294" s="182"/>
      <c r="G294" s="185"/>
      <c r="H294" s="186"/>
      <c r="I294" s="177"/>
      <c r="J294" s="178">
        <f>SAÍDAS!$D294-SAÍDAS!$G294</f>
        <v>1</v>
      </c>
      <c r="K294" s="178">
        <f>SUMIFS(ENTRADAS!$E$7:$E$1002,ENTRADAS!$B$7:$B$1002,"&lt;=" &amp; SAÍDAS!$B294,ENTRADAS!$C$7:$C$1002,SAÍDAS!$C294)-SUMIFS(SAÍDAS!$J$7:$J$289,SAÍDAS!$B$7:$B$289,"&lt;=" &amp; SAÍDAS!$B294,SAÍDAS!$C$7:$C$289,SAÍDAS!$C294)</f>
        <v>24</v>
      </c>
      <c r="L294" s="179">
        <f t="shared" si="4"/>
        <v>0</v>
      </c>
      <c r="M294" s="170"/>
    </row>
    <row r="295" spans="1:13" ht="15.75" customHeight="1">
      <c r="A295" s="165"/>
      <c r="B295" s="173">
        <v>46063</v>
      </c>
      <c r="C295" s="174" t="s">
        <v>105</v>
      </c>
      <c r="D295" s="174">
        <v>2</v>
      </c>
      <c r="E295" s="174"/>
      <c r="F295" s="182"/>
      <c r="G295" s="185"/>
      <c r="H295" s="186"/>
      <c r="I295" s="177"/>
      <c r="J295" s="178">
        <f>SAÍDAS!$D295-SAÍDAS!$G295</f>
        <v>2</v>
      </c>
      <c r="K295" s="178">
        <f>SUMIFS(ENTRADAS!$E$7:$E$1002,ENTRADAS!$B$7:$B$1002,"&lt;=" &amp; SAÍDAS!$B295,ENTRADAS!$C$7:$C$1002,SAÍDAS!$C295)-SUMIFS(SAÍDAS!$J$7:$J$289,SAÍDAS!$B$7:$B$289,"&lt;=" &amp; SAÍDAS!$B295,SAÍDAS!$C$7:$C$289,SAÍDAS!$C295)</f>
        <v>13</v>
      </c>
      <c r="L295" s="179">
        <f t="shared" si="4"/>
        <v>0</v>
      </c>
      <c r="M295" s="170"/>
    </row>
    <row r="296" spans="1:13" ht="15.75" customHeight="1">
      <c r="A296" s="165"/>
      <c r="B296" s="173">
        <v>46063</v>
      </c>
      <c r="C296" s="174" t="s">
        <v>234</v>
      </c>
      <c r="D296" s="174">
        <v>6</v>
      </c>
      <c r="E296" s="174"/>
      <c r="F296" s="185"/>
      <c r="G296" s="185"/>
      <c r="H296" s="186"/>
      <c r="I296" s="177"/>
      <c r="J296" s="178">
        <f>SAÍDAS!$D296-SAÍDAS!$G296</f>
        <v>6</v>
      </c>
      <c r="K296" s="178">
        <f>SUMIFS(ENTRADAS!$E$7:$E$1002,ENTRADAS!$B$7:$B$1002,"&lt;=" &amp; SAÍDAS!$B296,ENTRADAS!$C$7:$C$1002,SAÍDAS!$C296)-SUMIFS(SAÍDAS!$J$7:$J$289,SAÍDAS!$B$7:$B$289,"&lt;=" &amp; SAÍDAS!$B296,SAÍDAS!$C$7:$C$289,SAÍDAS!$C296)</f>
        <v>35</v>
      </c>
      <c r="L296" s="179">
        <f t="shared" si="4"/>
        <v>0</v>
      </c>
      <c r="M296" s="170"/>
    </row>
    <row r="297" spans="1:13" ht="15.75" customHeight="1">
      <c r="A297" s="165"/>
      <c r="B297" s="173">
        <v>46063</v>
      </c>
      <c r="C297" s="174" t="s">
        <v>233</v>
      </c>
      <c r="D297" s="174">
        <v>2</v>
      </c>
      <c r="E297" s="174"/>
      <c r="F297" s="182"/>
      <c r="G297" s="185"/>
      <c r="H297" s="186"/>
      <c r="I297" s="177"/>
      <c r="J297" s="178">
        <f>SAÍDAS!$D297-SAÍDAS!$G297</f>
        <v>2</v>
      </c>
      <c r="K297" s="178">
        <f>SUMIFS(ENTRADAS!$E$7:$E$1002,ENTRADAS!$B$7:$B$1002,"&lt;=" &amp; SAÍDAS!$B297,ENTRADAS!$C$7:$C$1002,SAÍDAS!$C297)-SUMIFS(SAÍDAS!$J$7:$J$289,SAÍDAS!$B$7:$B$289,"&lt;=" &amp; SAÍDAS!$B297,SAÍDAS!$C$7:$C$289,SAÍDAS!$C297)</f>
        <v>64</v>
      </c>
      <c r="L297" s="179">
        <f t="shared" si="4"/>
        <v>0</v>
      </c>
      <c r="M297" s="170"/>
    </row>
    <row r="298" spans="1:13" ht="15.75" customHeight="1">
      <c r="A298" s="165"/>
      <c r="B298" s="173">
        <v>46063</v>
      </c>
      <c r="C298" s="182" t="s">
        <v>232</v>
      </c>
      <c r="D298" s="182">
        <v>2</v>
      </c>
      <c r="E298" s="182"/>
      <c r="F298" s="185"/>
      <c r="G298" s="185"/>
      <c r="H298" s="186"/>
      <c r="I298" s="177"/>
      <c r="J298" s="178">
        <f>SAÍDAS!$D298-SAÍDAS!$G298</f>
        <v>2</v>
      </c>
      <c r="K298" s="178">
        <f>SUMIFS(ENTRADAS!$E$7:$E$1002,ENTRADAS!$B$7:$B$1002,"&lt;=" &amp; SAÍDAS!$B298,ENTRADAS!$C$7:$C$1002,SAÍDAS!$C298)-SUMIFS(SAÍDAS!$J$7:$J$289,SAÍDAS!$B$7:$B$289,"&lt;=" &amp; SAÍDAS!$B298,SAÍDAS!$C$7:$C$289,SAÍDAS!$C298)</f>
        <v>14</v>
      </c>
      <c r="L298" s="179">
        <f t="shared" si="4"/>
        <v>0</v>
      </c>
      <c r="M298" s="170"/>
    </row>
    <row r="299" spans="1:13" ht="15.75" customHeight="1">
      <c r="A299" s="165"/>
      <c r="B299" s="173">
        <v>46063</v>
      </c>
      <c r="C299" s="174" t="s">
        <v>262</v>
      </c>
      <c r="D299" s="174">
        <v>1</v>
      </c>
      <c r="E299" s="174"/>
      <c r="F299" s="181"/>
      <c r="G299" s="185"/>
      <c r="H299" s="186"/>
      <c r="I299" s="177"/>
      <c r="J299" s="178">
        <f>SAÍDAS!$D299-SAÍDAS!$G299</f>
        <v>1</v>
      </c>
      <c r="K299" s="178">
        <f>SUMIFS(ENTRADAS!$E$7:$E$1002,ENTRADAS!$B$7:$B$1002,"&lt;=" &amp; SAÍDAS!$B299,ENTRADAS!$C$7:$C$1002,SAÍDAS!$C299)-SUMIFS(SAÍDAS!$J$7:$J$289,SAÍDAS!$B$7:$B$289,"&lt;=" &amp; SAÍDAS!$B299,SAÍDAS!$C$7:$C$289,SAÍDAS!$C299)</f>
        <v>6</v>
      </c>
      <c r="L299" s="179">
        <f t="shared" si="4"/>
        <v>0</v>
      </c>
      <c r="M299" s="170"/>
    </row>
    <row r="300" spans="1:13" ht="15.75" customHeight="1">
      <c r="A300" s="165"/>
      <c r="B300" s="173">
        <v>46063</v>
      </c>
      <c r="C300" s="174" t="s">
        <v>109</v>
      </c>
      <c r="D300" s="174">
        <v>1</v>
      </c>
      <c r="E300" s="174"/>
      <c r="F300" s="181"/>
      <c r="G300" s="185"/>
      <c r="H300" s="186"/>
      <c r="I300" s="177"/>
      <c r="J300" s="178">
        <f>SAÍDAS!$D300-SAÍDAS!$G300</f>
        <v>1</v>
      </c>
      <c r="K300" s="178">
        <f>SUMIFS(ENTRADAS!$E$7:$E$1002,ENTRADAS!$B$7:$B$1002,"&lt;=" &amp; SAÍDAS!$B300,ENTRADAS!$C$7:$C$1002,SAÍDAS!$C300)-SUMIFS(SAÍDAS!$J$7:$J$289,SAÍDAS!$B$7:$B$289,"&lt;=" &amp; SAÍDAS!$B300,SAÍDAS!$C$7:$C$289,SAÍDAS!$C300)</f>
        <v>36</v>
      </c>
      <c r="L300" s="179">
        <f t="shared" si="4"/>
        <v>0</v>
      </c>
      <c r="M300" s="170"/>
    </row>
    <row r="301" spans="1:13" ht="15.75" customHeight="1">
      <c r="A301" s="165"/>
      <c r="B301" s="173">
        <v>46063</v>
      </c>
      <c r="C301" s="174" t="s">
        <v>195</v>
      </c>
      <c r="D301" s="174">
        <v>1</v>
      </c>
      <c r="E301" s="174"/>
      <c r="F301" s="174"/>
      <c r="G301" s="185"/>
      <c r="H301" s="186"/>
      <c r="I301" s="177"/>
      <c r="J301" s="178">
        <f>SAÍDAS!$D301-SAÍDAS!$G301</f>
        <v>1</v>
      </c>
      <c r="K301" s="178">
        <f>SUMIFS(ENTRADAS!$E$7:$E$1002,ENTRADAS!$B$7:$B$1002,"&lt;=" &amp; SAÍDAS!$B301,ENTRADAS!$C$7:$C$1002,SAÍDAS!$C301)-SUMIFS(SAÍDAS!$J$7:$J$289,SAÍDAS!$B$7:$B$289,"&lt;=" &amp; SAÍDAS!$B301,SAÍDAS!$C$7:$C$289,SAÍDAS!$C301)</f>
        <v>5</v>
      </c>
      <c r="L301" s="179">
        <f t="shared" si="4"/>
        <v>0</v>
      </c>
      <c r="M301" s="170"/>
    </row>
    <row r="302" spans="1:13" ht="15.75" customHeight="1">
      <c r="A302" s="165"/>
      <c r="B302" s="173">
        <v>46063</v>
      </c>
      <c r="C302" s="174" t="s">
        <v>196</v>
      </c>
      <c r="D302" s="174">
        <v>1</v>
      </c>
      <c r="E302" s="174"/>
      <c r="F302" s="181"/>
      <c r="G302" s="185"/>
      <c r="H302" s="186"/>
      <c r="I302" s="177"/>
      <c r="J302" s="178">
        <f>SAÍDAS!$D302-SAÍDAS!$G302</f>
        <v>1</v>
      </c>
      <c r="K302" s="178">
        <f>SUMIFS(ENTRADAS!$E$7:$E$1002,ENTRADAS!$B$7:$B$1002,"&lt;=" &amp; SAÍDAS!$B302,ENTRADAS!$C$7:$C$1002,SAÍDAS!$C302)-SUMIFS(SAÍDAS!$J$7:$J$289,SAÍDAS!$B$7:$B$289,"&lt;=" &amp; SAÍDAS!$B302,SAÍDAS!$C$7:$C$289,SAÍDAS!$C302)</f>
        <v>3</v>
      </c>
      <c r="L302" s="179">
        <f t="shared" si="4"/>
        <v>0</v>
      </c>
      <c r="M302" s="170"/>
    </row>
    <row r="303" spans="1:13" ht="15.75" customHeight="1">
      <c r="A303" s="165"/>
      <c r="B303" s="173">
        <v>46063</v>
      </c>
      <c r="C303" s="182" t="s">
        <v>177</v>
      </c>
      <c r="D303" s="182">
        <v>1</v>
      </c>
      <c r="E303" s="182"/>
      <c r="F303" s="185"/>
      <c r="G303" s="185"/>
      <c r="H303" s="186"/>
      <c r="I303" s="177"/>
      <c r="J303" s="178">
        <f>SAÍDAS!$D303-SAÍDAS!$G303</f>
        <v>1</v>
      </c>
      <c r="K303" s="178">
        <f>SUMIFS(ENTRADAS!$E$7:$E$1002,ENTRADAS!$B$7:$B$1002,"&lt;=" &amp; SAÍDAS!$B303,ENTRADAS!$C$7:$C$1002,SAÍDAS!$C303)-SUMIFS(SAÍDAS!$J$7:$J$289,SAÍDAS!$B$7:$B$289,"&lt;=" &amp; SAÍDAS!$B303,SAÍDAS!$C$7:$C$289,SAÍDAS!$C303)</f>
        <v>14</v>
      </c>
      <c r="L303" s="179">
        <f t="shared" si="4"/>
        <v>0</v>
      </c>
      <c r="M303" s="170"/>
    </row>
    <row r="304" spans="1:13" ht="15.75" customHeight="1">
      <c r="A304" s="165"/>
      <c r="B304" s="173">
        <v>46063</v>
      </c>
      <c r="C304" s="182" t="s">
        <v>151</v>
      </c>
      <c r="D304" s="182">
        <v>2</v>
      </c>
      <c r="E304" s="182"/>
      <c r="F304" s="185"/>
      <c r="G304" s="185"/>
      <c r="H304" s="186"/>
      <c r="I304" s="177"/>
      <c r="J304" s="178">
        <f>SAÍDAS!$D304-SAÍDAS!$G304</f>
        <v>2</v>
      </c>
      <c r="K304" s="178">
        <f>SUMIFS(ENTRADAS!$E$7:$E$1002,ENTRADAS!$B$7:$B$1002,"&lt;=" &amp; SAÍDAS!$B304,ENTRADAS!$C$7:$C$1002,SAÍDAS!$C304)-SUMIFS(SAÍDAS!$J$7:$J$289,SAÍDAS!$B$7:$B$289,"&lt;=" &amp; SAÍDAS!$B304,SAÍDAS!$C$7:$C$289,SAÍDAS!$C304)</f>
        <v>13</v>
      </c>
      <c r="L304" s="179">
        <f t="shared" si="4"/>
        <v>0</v>
      </c>
      <c r="M304" s="170"/>
    </row>
    <row r="305" spans="1:13" ht="15.75" customHeight="1">
      <c r="A305" s="165"/>
      <c r="B305" s="173">
        <v>46063</v>
      </c>
      <c r="C305" s="182" t="s">
        <v>94</v>
      </c>
      <c r="D305" s="182">
        <v>1</v>
      </c>
      <c r="E305" s="182"/>
      <c r="F305" s="185"/>
      <c r="G305" s="185"/>
      <c r="H305" s="186"/>
      <c r="I305" s="177"/>
      <c r="J305" s="178">
        <f>SAÍDAS!$D305-SAÍDAS!$G305</f>
        <v>1</v>
      </c>
      <c r="K305" s="178">
        <f>SUMIFS(ENTRADAS!$E$7:$E$1002,ENTRADAS!$B$7:$B$1002,"&lt;=" &amp; SAÍDAS!$B305,ENTRADAS!$C$7:$C$1002,SAÍDAS!$C305)-SUMIFS(SAÍDAS!$J$7:$J$289,SAÍDAS!$B$7:$B$289,"&lt;=" &amp; SAÍDAS!$B305,SAÍDAS!$C$7:$C$289,SAÍDAS!$C305)</f>
        <v>21</v>
      </c>
      <c r="L305" s="179">
        <f t="shared" si="4"/>
        <v>0</v>
      </c>
      <c r="M305" s="170"/>
    </row>
    <row r="306" spans="1:13" ht="15.75" customHeight="1">
      <c r="A306" s="165"/>
      <c r="B306" s="173">
        <v>46063</v>
      </c>
      <c r="C306" s="182" t="s">
        <v>92</v>
      </c>
      <c r="D306" s="182">
        <v>1</v>
      </c>
      <c r="E306" s="185"/>
      <c r="F306" s="185"/>
      <c r="G306" s="185"/>
      <c r="H306" s="186"/>
      <c r="I306" s="177"/>
      <c r="J306" s="178">
        <f>SAÍDAS!$D306-SAÍDAS!$G306</f>
        <v>1</v>
      </c>
      <c r="K306" s="178">
        <f>SUMIFS(ENTRADAS!$E$7:$E$1002,ENTRADAS!$B$7:$B$1002,"&lt;=" &amp; SAÍDAS!$B306,ENTRADAS!$C$7:$C$1002,SAÍDAS!$C306)-SUMIFS(SAÍDAS!$J$7:$J$289,SAÍDAS!$B$7:$B$289,"&lt;=" &amp; SAÍDAS!$B306,SAÍDAS!$C$7:$C$289,SAÍDAS!$C306)</f>
        <v>36</v>
      </c>
      <c r="L306" s="179">
        <f t="shared" si="4"/>
        <v>0</v>
      </c>
      <c r="M306" s="170"/>
    </row>
    <row r="307" spans="1:13" ht="15.75" customHeight="1">
      <c r="A307" s="165"/>
      <c r="B307" s="173">
        <v>46063</v>
      </c>
      <c r="C307" s="182" t="s">
        <v>118</v>
      </c>
      <c r="D307" s="182">
        <v>1</v>
      </c>
      <c r="E307" s="185"/>
      <c r="F307" s="185"/>
      <c r="G307" s="185"/>
      <c r="H307" s="186"/>
      <c r="I307" s="177"/>
      <c r="J307" s="178">
        <f>SAÍDAS!$D307-SAÍDAS!$G307</f>
        <v>1</v>
      </c>
      <c r="K307" s="178">
        <f>SUMIFS(ENTRADAS!$E$7:$E$1002,ENTRADAS!$B$7:$B$1002,"&lt;=" &amp; SAÍDAS!$B307,ENTRADAS!$C$7:$C$1002,SAÍDAS!$C307)-SUMIFS(SAÍDAS!$J$7:$J$289,SAÍDAS!$B$7:$B$289,"&lt;=" &amp; SAÍDAS!$B307,SAÍDAS!$C$7:$C$289,SAÍDAS!$C307)</f>
        <v>7</v>
      </c>
      <c r="L307" s="179">
        <f t="shared" si="4"/>
        <v>0</v>
      </c>
      <c r="M307" s="170"/>
    </row>
    <row r="308" spans="1:13" ht="15.75" customHeight="1">
      <c r="A308" s="165"/>
      <c r="B308" s="173">
        <v>46063</v>
      </c>
      <c r="C308" s="182" t="s">
        <v>168</v>
      </c>
      <c r="D308" s="182">
        <v>1</v>
      </c>
      <c r="E308" s="185"/>
      <c r="F308" s="185"/>
      <c r="G308" s="185"/>
      <c r="H308" s="186"/>
      <c r="I308" s="177"/>
      <c r="J308" s="178">
        <f>SAÍDAS!$D308-SAÍDAS!$G308</f>
        <v>1</v>
      </c>
      <c r="K308" s="178">
        <f>SUMIFS(ENTRADAS!$E$7:$E$1002,ENTRADAS!$B$7:$B$1002,"&lt;=" &amp; SAÍDAS!$B308,ENTRADAS!$C$7:$C$1002,SAÍDAS!$C308)-SUMIFS(SAÍDAS!$J$7:$J$289,SAÍDAS!$B$7:$B$289,"&lt;=" &amp; SAÍDAS!$B308,SAÍDAS!$C$7:$C$289,SAÍDAS!$C308)</f>
        <v>11</v>
      </c>
      <c r="L308" s="179">
        <f t="shared" si="4"/>
        <v>0</v>
      </c>
      <c r="M308" s="170"/>
    </row>
    <row r="309" spans="1:13" ht="15.75" customHeight="1">
      <c r="A309" s="165"/>
      <c r="B309" s="173">
        <v>46063</v>
      </c>
      <c r="C309" s="182" t="s">
        <v>209</v>
      </c>
      <c r="D309" s="182">
        <v>1</v>
      </c>
      <c r="E309" s="185"/>
      <c r="F309" s="185"/>
      <c r="G309" s="185"/>
      <c r="H309" s="186"/>
      <c r="I309" s="177"/>
      <c r="J309" s="178">
        <f>SAÍDAS!$D309-SAÍDAS!$G309</f>
        <v>1</v>
      </c>
      <c r="K309" s="178">
        <f>SUMIFS(ENTRADAS!$E$7:$E$1002,ENTRADAS!$B$7:$B$1002,"&lt;=" &amp; SAÍDAS!$B309,ENTRADAS!$C$7:$C$1002,SAÍDAS!$C309)-SUMIFS(SAÍDAS!$J$7:$J$289,SAÍDAS!$B$7:$B$289,"&lt;=" &amp; SAÍDAS!$B309,SAÍDAS!$C$7:$C$289,SAÍDAS!$C309)</f>
        <v>6</v>
      </c>
      <c r="L309" s="179">
        <f t="shared" si="4"/>
        <v>0</v>
      </c>
      <c r="M309" s="170"/>
    </row>
    <row r="310" spans="1:13" ht="15.75" customHeight="1">
      <c r="A310" s="165"/>
      <c r="B310" s="173">
        <v>46063</v>
      </c>
      <c r="C310" s="182" t="s">
        <v>102</v>
      </c>
      <c r="D310" s="182">
        <v>1</v>
      </c>
      <c r="E310" s="185"/>
      <c r="F310" s="185"/>
      <c r="G310" s="185"/>
      <c r="H310" s="186"/>
      <c r="I310" s="177"/>
      <c r="J310" s="178">
        <f>SAÍDAS!$D310-SAÍDAS!$G310</f>
        <v>1</v>
      </c>
      <c r="K310" s="178">
        <f>SUMIFS(ENTRADAS!$E$7:$E$1002,ENTRADAS!$B$7:$B$1002,"&lt;=" &amp; SAÍDAS!$B310,ENTRADAS!$C$7:$C$1002,SAÍDAS!$C310)-SUMIFS(SAÍDAS!$J$7:$J$289,SAÍDAS!$B$7:$B$289,"&lt;=" &amp; SAÍDAS!$B310,SAÍDAS!$C$7:$C$289,SAÍDAS!$C310)</f>
        <v>103</v>
      </c>
      <c r="L310" s="179">
        <f t="shared" si="4"/>
        <v>0</v>
      </c>
      <c r="M310" s="170"/>
    </row>
    <row r="311" spans="1:13" ht="15.75" customHeight="1">
      <c r="A311" s="165"/>
      <c r="B311" s="173">
        <v>46063</v>
      </c>
      <c r="C311" s="182" t="s">
        <v>105</v>
      </c>
      <c r="D311" s="182">
        <v>1</v>
      </c>
      <c r="E311" s="185"/>
      <c r="F311" s="185"/>
      <c r="G311" s="185"/>
      <c r="H311" s="186"/>
      <c r="I311" s="177"/>
      <c r="J311" s="178">
        <f>SAÍDAS!$D311-SAÍDAS!$G311</f>
        <v>1</v>
      </c>
      <c r="K311" s="178">
        <f>SUMIFS(ENTRADAS!$E$7:$E$1002,ENTRADAS!$B$7:$B$1002,"&lt;=" &amp; SAÍDAS!$B311,ENTRADAS!$C$7:$C$1002,SAÍDAS!$C311)-SUMIFS(SAÍDAS!$J$7:$J$289,SAÍDAS!$B$7:$B$289,"&lt;=" &amp; SAÍDAS!$B311,SAÍDAS!$C$7:$C$289,SAÍDAS!$C311)</f>
        <v>13</v>
      </c>
      <c r="L311" s="179">
        <f t="shared" si="4"/>
        <v>0</v>
      </c>
      <c r="M311" s="170"/>
    </row>
    <row r="312" spans="1:13" ht="15.75" customHeight="1">
      <c r="A312" s="165"/>
      <c r="B312" s="173">
        <v>46063</v>
      </c>
      <c r="C312" s="182" t="s">
        <v>103</v>
      </c>
      <c r="D312" s="182">
        <v>1</v>
      </c>
      <c r="E312" s="185"/>
      <c r="F312" s="185"/>
      <c r="G312" s="185"/>
      <c r="H312" s="186"/>
      <c r="I312" s="177"/>
      <c r="J312" s="178">
        <f>SAÍDAS!$D312-SAÍDAS!$G312</f>
        <v>1</v>
      </c>
      <c r="K312" s="178">
        <f>SUMIFS(ENTRADAS!$E$7:$E$1002,ENTRADAS!$B$7:$B$1002,"&lt;=" &amp; SAÍDAS!$B312,ENTRADAS!$C$7:$C$1002,SAÍDAS!$C312)-SUMIFS(SAÍDAS!$J$7:$J$289,SAÍDAS!$B$7:$B$289,"&lt;=" &amp; SAÍDAS!$B312,SAÍDAS!$C$7:$C$289,SAÍDAS!$C312)</f>
        <v>106</v>
      </c>
      <c r="L312" s="179">
        <f t="shared" si="4"/>
        <v>0</v>
      </c>
      <c r="M312" s="170"/>
    </row>
    <row r="313" spans="1:13" ht="15.75" customHeight="1">
      <c r="A313" s="165"/>
      <c r="B313" s="173">
        <v>46063</v>
      </c>
      <c r="C313" s="182" t="s">
        <v>104</v>
      </c>
      <c r="D313" s="182">
        <v>2</v>
      </c>
      <c r="E313" s="185"/>
      <c r="F313" s="185"/>
      <c r="G313" s="185"/>
      <c r="H313" s="186"/>
      <c r="I313" s="177"/>
      <c r="J313" s="178">
        <f>SAÍDAS!$D313-SAÍDAS!$G313</f>
        <v>2</v>
      </c>
      <c r="K313" s="178">
        <f>SUMIFS(ENTRADAS!$E$7:$E$1002,ENTRADAS!$B$7:$B$1002,"&lt;=" &amp; SAÍDAS!$B313,ENTRADAS!$C$7:$C$1002,SAÍDAS!$C313)-SUMIFS(SAÍDAS!$J$7:$J$289,SAÍDAS!$B$7:$B$289,"&lt;=" &amp; SAÍDAS!$B313,SAÍDAS!$C$7:$C$289,SAÍDAS!$C313)</f>
        <v>24</v>
      </c>
      <c r="L313" s="179">
        <f t="shared" si="4"/>
        <v>0</v>
      </c>
      <c r="M313" s="170"/>
    </row>
    <row r="314" spans="1:13" ht="15.75" customHeight="1">
      <c r="A314" s="165"/>
      <c r="B314" s="173">
        <v>46064</v>
      </c>
      <c r="C314" s="182" t="s">
        <v>254</v>
      </c>
      <c r="D314" s="182">
        <v>1</v>
      </c>
      <c r="E314" s="185"/>
      <c r="F314" s="185"/>
      <c r="G314" s="185"/>
      <c r="H314" s="186"/>
      <c r="I314" s="177"/>
      <c r="J314" s="178">
        <f>SAÍDAS!$D314-SAÍDAS!$G314</f>
        <v>1</v>
      </c>
      <c r="K314" s="178">
        <f>SUMIFS(ENTRADAS!$E$7:$E$1002,ENTRADAS!$B$7:$B$1002,"&lt;=" &amp; SAÍDAS!$B314,ENTRADAS!$C$7:$C$1002,SAÍDAS!$C314)-SUMIFS(SAÍDAS!$J$7:$J$289,SAÍDAS!$B$7:$B$289,"&lt;=" &amp; SAÍDAS!$B314,SAÍDAS!$C$7:$C$289,SAÍDAS!$C314)</f>
        <v>14</v>
      </c>
      <c r="L314" s="179">
        <f t="shared" si="4"/>
        <v>0</v>
      </c>
      <c r="M314" s="170"/>
    </row>
    <row r="315" spans="1:13" ht="15.75" customHeight="1">
      <c r="A315" s="165"/>
      <c r="B315" s="173">
        <v>46064</v>
      </c>
      <c r="C315" s="182" t="s">
        <v>101</v>
      </c>
      <c r="D315" s="182">
        <v>1</v>
      </c>
      <c r="E315" s="185"/>
      <c r="F315" s="185"/>
      <c r="G315" s="185"/>
      <c r="H315" s="186"/>
      <c r="I315" s="177"/>
      <c r="J315" s="178">
        <f>SAÍDAS!$D315-SAÍDAS!$G315</f>
        <v>1</v>
      </c>
      <c r="K315" s="178">
        <f>SUMIFS(ENTRADAS!$E$7:$E$1002,ENTRADAS!$B$7:$B$1002,"&lt;=" &amp; SAÍDAS!$B315,ENTRADAS!$C$7:$C$1002,SAÍDAS!$C315)-SUMIFS(SAÍDAS!$J$7:$J$289,SAÍDAS!$B$7:$B$289,"&lt;=" &amp; SAÍDAS!$B315,SAÍDAS!$C$7:$C$289,SAÍDAS!$C315)</f>
        <v>5</v>
      </c>
      <c r="L315" s="179">
        <f t="shared" si="4"/>
        <v>0</v>
      </c>
      <c r="M315" s="170"/>
    </row>
    <row r="316" spans="1:13" ht="15.75" customHeight="1">
      <c r="A316" s="165"/>
      <c r="B316" s="173">
        <v>46064</v>
      </c>
      <c r="C316" s="182" t="s">
        <v>102</v>
      </c>
      <c r="D316" s="182">
        <v>1</v>
      </c>
      <c r="E316" s="185"/>
      <c r="F316" s="185"/>
      <c r="G316" s="185"/>
      <c r="H316" s="186"/>
      <c r="I316" s="177"/>
      <c r="J316" s="178">
        <f>SAÍDAS!$D316-SAÍDAS!$G316</f>
        <v>1</v>
      </c>
      <c r="K316" s="178">
        <f>SUMIFS(ENTRADAS!$E$7:$E$1002,ENTRADAS!$B$7:$B$1002,"&lt;=" &amp; SAÍDAS!$B316,ENTRADAS!$C$7:$C$1002,SAÍDAS!$C316)-SUMIFS(SAÍDAS!$J$7:$J$289,SAÍDAS!$B$7:$B$289,"&lt;=" &amp; SAÍDAS!$B316,SAÍDAS!$C$7:$C$289,SAÍDAS!$C316)</f>
        <v>103</v>
      </c>
      <c r="L316" s="179">
        <f t="shared" si="4"/>
        <v>0</v>
      </c>
      <c r="M316" s="170"/>
    </row>
    <row r="317" spans="1:13" ht="15.75" customHeight="1">
      <c r="A317" s="165"/>
      <c r="B317" s="173">
        <v>46064</v>
      </c>
      <c r="C317" s="182" t="s">
        <v>170</v>
      </c>
      <c r="D317" s="182">
        <v>1</v>
      </c>
      <c r="E317" s="185"/>
      <c r="F317" s="185"/>
      <c r="G317" s="185"/>
      <c r="H317" s="186"/>
      <c r="I317" s="177"/>
      <c r="J317" s="178">
        <f>SAÍDAS!$D317-SAÍDAS!$G317</f>
        <v>1</v>
      </c>
      <c r="K317" s="178">
        <f>SUMIFS(ENTRADAS!$E$7:$E$1002,ENTRADAS!$B$7:$B$1002,"&lt;=" &amp; SAÍDAS!$B317,ENTRADAS!$C$7:$C$1002,SAÍDAS!$C317)-SUMIFS(SAÍDAS!$J$7:$J$289,SAÍDAS!$B$7:$B$289,"&lt;=" &amp; SAÍDAS!$B317,SAÍDAS!$C$7:$C$289,SAÍDAS!$C317)</f>
        <v>10</v>
      </c>
      <c r="L317" s="179">
        <f t="shared" si="4"/>
        <v>0</v>
      </c>
      <c r="M317" s="170"/>
    </row>
    <row r="318" spans="1:13" ht="15.75" customHeight="1">
      <c r="A318" s="165"/>
      <c r="B318" s="173">
        <v>46064</v>
      </c>
      <c r="C318" s="182" t="s">
        <v>172</v>
      </c>
      <c r="D318" s="182">
        <v>1</v>
      </c>
      <c r="E318" s="185"/>
      <c r="F318" s="185"/>
      <c r="G318" s="185"/>
      <c r="H318" s="186"/>
      <c r="I318" s="177"/>
      <c r="J318" s="178">
        <f>SAÍDAS!$D318-SAÍDAS!$G318</f>
        <v>1</v>
      </c>
      <c r="K318" s="178">
        <f>SUMIFS(ENTRADAS!$E$7:$E$1002,ENTRADAS!$B$7:$B$1002,"&lt;=" &amp; SAÍDAS!$B318,ENTRADAS!$C$7:$C$1002,SAÍDAS!$C318)-SUMIFS(SAÍDAS!$J$7:$J$289,SAÍDAS!$B$7:$B$289,"&lt;=" &amp; SAÍDAS!$B318,SAÍDAS!$C$7:$C$289,SAÍDAS!$C318)</f>
        <v>9</v>
      </c>
      <c r="L318" s="179">
        <f t="shared" si="4"/>
        <v>0</v>
      </c>
      <c r="M318" s="170"/>
    </row>
    <row r="319" spans="1:13" ht="15.75" customHeight="1">
      <c r="A319" s="165"/>
      <c r="B319" s="173">
        <v>46064</v>
      </c>
      <c r="C319" s="182" t="s">
        <v>175</v>
      </c>
      <c r="D319" s="182">
        <v>1</v>
      </c>
      <c r="E319" s="185"/>
      <c r="F319" s="185"/>
      <c r="G319" s="185"/>
      <c r="H319" s="186"/>
      <c r="I319" s="177"/>
      <c r="J319" s="178">
        <f>SAÍDAS!$D319-SAÍDAS!$G319</f>
        <v>1</v>
      </c>
      <c r="K319" s="178">
        <f>SUMIFS(ENTRADAS!$E$7:$E$1002,ENTRADAS!$B$7:$B$1002,"&lt;=" &amp; SAÍDAS!$B319,ENTRADAS!$C$7:$C$1002,SAÍDAS!$C319)-SUMIFS(SAÍDAS!$J$7:$J$289,SAÍDAS!$B$7:$B$289,"&lt;=" &amp; SAÍDAS!$B319,SAÍDAS!$C$7:$C$289,SAÍDAS!$C319)</f>
        <v>3</v>
      </c>
      <c r="L319" s="179">
        <f t="shared" si="4"/>
        <v>0</v>
      </c>
      <c r="M319" s="170"/>
    </row>
    <row r="320" spans="1:13" ht="15.75" customHeight="1">
      <c r="A320" s="165"/>
      <c r="B320" s="173">
        <v>46064</v>
      </c>
      <c r="C320" s="182" t="s">
        <v>201</v>
      </c>
      <c r="D320" s="182">
        <v>1</v>
      </c>
      <c r="E320" s="185"/>
      <c r="F320" s="185"/>
      <c r="G320" s="185"/>
      <c r="H320" s="186"/>
      <c r="I320" s="177"/>
      <c r="J320" s="178">
        <f>SAÍDAS!$D320-SAÍDAS!$G320</f>
        <v>1</v>
      </c>
      <c r="K320" s="178">
        <f>SUMIFS(ENTRADAS!$E$7:$E$1002,ENTRADAS!$B$7:$B$1002,"&lt;=" &amp; SAÍDAS!$B320,ENTRADAS!$C$7:$C$1002,SAÍDAS!$C320)-SUMIFS(SAÍDAS!$J$7:$J$289,SAÍDAS!$B$7:$B$289,"&lt;=" &amp; SAÍDAS!$B320,SAÍDAS!$C$7:$C$289,SAÍDAS!$C320)</f>
        <v>4</v>
      </c>
      <c r="L320" s="179">
        <f>I320*J320</f>
        <v>0</v>
      </c>
      <c r="M320" s="165"/>
    </row>
    <row r="321" spans="1:13" ht="15.75" customHeight="1">
      <c r="A321" s="165"/>
      <c r="B321" s="173">
        <v>46064</v>
      </c>
      <c r="C321" s="182" t="s">
        <v>188</v>
      </c>
      <c r="D321" s="182">
        <v>1</v>
      </c>
      <c r="E321" s="185"/>
      <c r="F321" s="185"/>
      <c r="G321" s="185"/>
      <c r="H321" s="186"/>
      <c r="I321" s="177"/>
      <c r="J321" s="178">
        <f>SAÍDAS!$D321-SAÍDAS!$G321</f>
        <v>1</v>
      </c>
      <c r="K321" s="178">
        <f>SUMIFS(ENTRADAS!$E$7:$E$1002,ENTRADAS!$B$7:$B$1002,"&lt;=" &amp; SAÍDAS!$B321,ENTRADAS!$C$7:$C$1002,SAÍDAS!$C321)-SUMIFS(SAÍDAS!$J$7:$J$289,SAÍDAS!$B$7:$B$289,"&lt;=" &amp; SAÍDAS!$B321,SAÍDAS!$C$7:$C$289,SAÍDAS!$C321)</f>
        <v>7</v>
      </c>
      <c r="L321" s="179">
        <f>I321*J321</f>
        <v>0</v>
      </c>
      <c r="M321" s="165"/>
    </row>
    <row r="322" spans="1:13" ht="15.75" customHeight="1">
      <c r="A322" s="165"/>
      <c r="B322" s="173">
        <v>46064</v>
      </c>
      <c r="C322" s="182" t="s">
        <v>126</v>
      </c>
      <c r="D322" s="182">
        <v>1</v>
      </c>
      <c r="E322" s="185"/>
      <c r="F322" s="185"/>
      <c r="G322" s="185"/>
      <c r="H322" s="186"/>
      <c r="I322" s="177"/>
      <c r="J322" s="178">
        <f>SAÍDAS!$D322-SAÍDAS!$G322</f>
        <v>1</v>
      </c>
      <c r="K322" s="178">
        <f>SUMIFS(ENTRADAS!$E$7:$E$1002,ENTRADAS!$B$7:$B$1002,"&lt;=" &amp; SAÍDAS!$B322,ENTRADAS!$C$7:$C$1002,SAÍDAS!$C322)-SUMIFS(SAÍDAS!$J$7:$J$289,SAÍDAS!$B$7:$B$289,"&lt;=" &amp; SAÍDAS!$B322,SAÍDAS!$C$7:$C$289,SAÍDAS!$C322)</f>
        <v>6</v>
      </c>
      <c r="L322" s="179">
        <f>I322*J322</f>
        <v>0</v>
      </c>
      <c r="M322" s="165"/>
    </row>
    <row r="323" spans="1:13" ht="15.75" customHeight="1">
      <c r="A323" s="165"/>
      <c r="B323" s="173">
        <v>46064</v>
      </c>
      <c r="C323" s="182" t="s">
        <v>216</v>
      </c>
      <c r="D323" s="182">
        <v>1</v>
      </c>
      <c r="E323" s="185"/>
      <c r="F323" s="185"/>
      <c r="G323" s="185"/>
      <c r="H323" s="186"/>
      <c r="I323" s="177"/>
      <c r="J323" s="178">
        <f>SAÍDAS!$D323-SAÍDAS!$G323</f>
        <v>1</v>
      </c>
      <c r="K323" s="178">
        <f>SUMIFS(ENTRADAS!$E$7:$E$1002,ENTRADAS!$B$7:$B$1002,"&lt;=" &amp; SAÍDAS!$B323,ENTRADAS!$C$7:$C$1002,SAÍDAS!$C323)-SUMIFS(SAÍDAS!$J$7:$J$289,SAÍDAS!$B$7:$B$289,"&lt;=" &amp; SAÍDAS!$B323,SAÍDAS!$C$7:$C$289,SAÍDAS!$C323)</f>
        <v>5</v>
      </c>
      <c r="L323" s="179">
        <f>I323*J323</f>
        <v>0</v>
      </c>
      <c r="M323" s="165"/>
    </row>
    <row r="324" spans="1:13" ht="15.75" customHeight="1">
      <c r="A324" s="165"/>
      <c r="B324" s="173">
        <v>46064</v>
      </c>
      <c r="C324" s="182" t="s">
        <v>107</v>
      </c>
      <c r="D324" s="182">
        <v>4</v>
      </c>
      <c r="E324" s="185"/>
      <c r="F324" s="185"/>
      <c r="G324" s="185"/>
      <c r="H324" s="186"/>
      <c r="I324" s="177"/>
      <c r="J324" s="178">
        <f>SAÍDAS!$D324-SAÍDAS!$G324</f>
        <v>4</v>
      </c>
      <c r="K324" s="178">
        <f>SUMIFS(ENTRADAS!$E$7:$E$1002,ENTRADAS!$B$7:$B$1002,"&lt;=" &amp; SAÍDAS!$B324,ENTRADAS!$C$7:$C$1002,SAÍDAS!$C324)-SUMIFS(SAÍDAS!$J$7:$J$289,SAÍDAS!$B$7:$B$289,"&lt;=" &amp; SAÍDAS!$B324,SAÍDAS!$C$7:$C$289,SAÍDAS!$C324)</f>
        <v>19</v>
      </c>
      <c r="L324" s="179">
        <f>I324*J324</f>
        <v>0</v>
      </c>
      <c r="M324" s="165"/>
    </row>
    <row r="325" spans="1:13" ht="15.75" customHeight="1">
      <c r="A325" s="165"/>
      <c r="B325" s="173">
        <v>46064</v>
      </c>
      <c r="C325" s="182" t="s">
        <v>111</v>
      </c>
      <c r="D325" s="182">
        <v>1</v>
      </c>
      <c r="E325" s="185"/>
      <c r="F325" s="185"/>
      <c r="G325" s="185"/>
      <c r="H325" s="186"/>
      <c r="I325" s="177"/>
      <c r="J325" s="178">
        <f>SAÍDAS!$D325-SAÍDAS!$G325</f>
        <v>1</v>
      </c>
      <c r="K325" s="178">
        <f>SUMIFS(ENTRADAS!$E$7:$E$1002,ENTRADAS!$B$7:$B$1002,"&lt;=" &amp; SAÍDAS!$B325,ENTRADAS!$C$7:$C$1002,SAÍDAS!$C325)-SUMIFS(SAÍDAS!$J$7:$J$289,SAÍDAS!$B$7:$B$289,"&lt;=" &amp; SAÍDAS!$B325,SAÍDAS!$C$7:$C$289,SAÍDAS!$C325)</f>
        <v>9</v>
      </c>
      <c r="L325" s="179">
        <f t="shared" ref="L325:L336" si="5">I325*J325</f>
        <v>0</v>
      </c>
      <c r="M325" s="165"/>
    </row>
    <row r="326" spans="1:13" ht="15.75" customHeight="1">
      <c r="A326" s="165"/>
      <c r="B326" s="173">
        <v>46064</v>
      </c>
      <c r="C326" s="182" t="s">
        <v>264</v>
      </c>
      <c r="D326" s="182">
        <v>1</v>
      </c>
      <c r="E326" s="185"/>
      <c r="F326" s="185"/>
      <c r="G326" s="185"/>
      <c r="H326" s="186"/>
      <c r="I326" s="177"/>
      <c r="J326" s="178">
        <f>SAÍDAS!$D326-SAÍDAS!$G326</f>
        <v>1</v>
      </c>
      <c r="K326" s="178">
        <f>SUMIFS(ENTRADAS!$E$7:$E$1002,ENTRADAS!$B$7:$B$1002,"&lt;=" &amp; SAÍDAS!$B326,ENTRADAS!$C$7:$C$1002,SAÍDAS!$C326)-SUMIFS(SAÍDAS!$J$7:$J$289,SAÍDAS!$B$7:$B$289,"&lt;=" &amp; SAÍDAS!$B326,SAÍDAS!$C$7:$C$289,SAÍDAS!$C326)</f>
        <v>3</v>
      </c>
      <c r="L326" s="179">
        <f t="shared" si="5"/>
        <v>0</v>
      </c>
      <c r="M326" s="165"/>
    </row>
    <row r="327" spans="1:13" ht="15.75" customHeight="1">
      <c r="A327" s="165"/>
      <c r="B327" s="173">
        <v>46064</v>
      </c>
      <c r="C327" s="182" t="s">
        <v>157</v>
      </c>
      <c r="D327" s="182">
        <v>1</v>
      </c>
      <c r="E327" s="185"/>
      <c r="F327" s="185"/>
      <c r="G327" s="185"/>
      <c r="H327" s="186"/>
      <c r="I327" s="177"/>
      <c r="J327" s="178">
        <f>SAÍDAS!$D327-SAÍDAS!$G327</f>
        <v>1</v>
      </c>
      <c r="K327" s="178">
        <f>SUMIFS(ENTRADAS!$E$7:$E$1002,ENTRADAS!$B$7:$B$1002,"&lt;=" &amp; SAÍDAS!$B327,ENTRADAS!$C$7:$C$1002,SAÍDAS!$C327)-SUMIFS(SAÍDAS!$J$7:$J$289,SAÍDAS!$B$7:$B$289,"&lt;=" &amp; SAÍDAS!$B327,SAÍDAS!$C$7:$C$289,SAÍDAS!$C327)</f>
        <v>16</v>
      </c>
      <c r="L327" s="179">
        <f t="shared" si="5"/>
        <v>0</v>
      </c>
      <c r="M327" s="165"/>
    </row>
    <row r="328" spans="1:13" ht="15.75" customHeight="1">
      <c r="A328" s="165"/>
      <c r="B328" s="173">
        <v>46064</v>
      </c>
      <c r="C328" s="182" t="s">
        <v>156</v>
      </c>
      <c r="D328" s="182">
        <v>1</v>
      </c>
      <c r="E328" s="185"/>
      <c r="F328" s="185"/>
      <c r="G328" s="185"/>
      <c r="H328" s="186"/>
      <c r="I328" s="177"/>
      <c r="J328" s="178">
        <f>SAÍDAS!$D328-SAÍDAS!$G328</f>
        <v>1</v>
      </c>
      <c r="K328" s="178">
        <f>SUMIFS(ENTRADAS!$E$7:$E$1002,ENTRADAS!$B$7:$B$1002,"&lt;=" &amp; SAÍDAS!$B328,ENTRADAS!$C$7:$C$1002,SAÍDAS!$C328)-SUMIFS(SAÍDAS!$J$7:$J$289,SAÍDAS!$B$7:$B$289,"&lt;=" &amp; SAÍDAS!$B328,SAÍDAS!$C$7:$C$289,SAÍDAS!$C328)</f>
        <v>4</v>
      </c>
      <c r="L328" s="179">
        <f t="shared" si="5"/>
        <v>0</v>
      </c>
      <c r="M328" s="165"/>
    </row>
    <row r="329" spans="1:13" ht="15.75" customHeight="1">
      <c r="A329" s="165"/>
      <c r="B329" s="173">
        <v>46064</v>
      </c>
      <c r="C329" s="182" t="s">
        <v>193</v>
      </c>
      <c r="D329" s="182">
        <v>1</v>
      </c>
      <c r="E329" s="185"/>
      <c r="F329" s="185"/>
      <c r="G329" s="185"/>
      <c r="H329" s="186"/>
      <c r="I329" s="177"/>
      <c r="J329" s="178">
        <f>SAÍDAS!$D329-SAÍDAS!$G329</f>
        <v>1</v>
      </c>
      <c r="K329" s="178">
        <f>SUMIFS(ENTRADAS!$E$7:$E$1002,ENTRADAS!$B$7:$B$1002,"&lt;=" &amp; SAÍDAS!$B329,ENTRADAS!$C$7:$C$1002,SAÍDAS!$C329)-SUMIFS(SAÍDAS!$J$7:$J$289,SAÍDAS!$B$7:$B$289,"&lt;=" &amp; SAÍDAS!$B329,SAÍDAS!$C$7:$C$289,SAÍDAS!$C329)</f>
        <v>23</v>
      </c>
      <c r="L329" s="179">
        <f t="shared" si="5"/>
        <v>0</v>
      </c>
      <c r="M329" s="165"/>
    </row>
    <row r="330" spans="1:13" ht="15.75" customHeight="1">
      <c r="A330" s="165"/>
      <c r="B330" s="173">
        <v>46064</v>
      </c>
      <c r="C330" s="182" t="s">
        <v>128</v>
      </c>
      <c r="D330" s="182">
        <v>1</v>
      </c>
      <c r="E330" s="185"/>
      <c r="F330" s="185"/>
      <c r="G330" s="185"/>
      <c r="H330" s="186"/>
      <c r="I330" s="177"/>
      <c r="J330" s="178">
        <f>SAÍDAS!$D330-SAÍDAS!$G330</f>
        <v>1</v>
      </c>
      <c r="K330" s="178">
        <f>SUMIFS(ENTRADAS!$E$7:$E$1002,ENTRADAS!$B$7:$B$1002,"&lt;=" &amp; SAÍDAS!$B330,ENTRADAS!$C$7:$C$1002,SAÍDAS!$C330)-SUMIFS(SAÍDAS!$J$7:$J$289,SAÍDAS!$B$7:$B$289,"&lt;=" &amp; SAÍDAS!$B330,SAÍDAS!$C$7:$C$289,SAÍDAS!$C330)</f>
        <v>8</v>
      </c>
      <c r="L330" s="179">
        <f t="shared" si="5"/>
        <v>0</v>
      </c>
      <c r="M330" s="165"/>
    </row>
    <row r="331" spans="1:13" ht="15.75" customHeight="1">
      <c r="A331" s="165"/>
      <c r="B331" s="173">
        <v>46064</v>
      </c>
      <c r="C331" s="182" t="s">
        <v>92</v>
      </c>
      <c r="D331" s="182">
        <v>1</v>
      </c>
      <c r="E331" s="185"/>
      <c r="F331" s="185"/>
      <c r="G331" s="185"/>
      <c r="H331" s="186"/>
      <c r="I331" s="177"/>
      <c r="J331" s="178">
        <f>SAÍDAS!$D331-SAÍDAS!$G331</f>
        <v>1</v>
      </c>
      <c r="K331" s="178">
        <f>SUMIFS(ENTRADAS!$E$7:$E$1002,ENTRADAS!$B$7:$B$1002,"&lt;=" &amp; SAÍDAS!$B331,ENTRADAS!$C$7:$C$1002,SAÍDAS!$C331)-SUMIFS(SAÍDAS!$J$7:$J$289,SAÍDAS!$B$7:$B$289,"&lt;=" &amp; SAÍDAS!$B331,SAÍDAS!$C$7:$C$289,SAÍDAS!$C331)</f>
        <v>36</v>
      </c>
      <c r="L331" s="179">
        <f t="shared" si="5"/>
        <v>0</v>
      </c>
      <c r="M331" s="165"/>
    </row>
    <row r="332" spans="1:13" ht="15.75" customHeight="1">
      <c r="A332" s="165"/>
      <c r="B332" s="173">
        <v>46064</v>
      </c>
      <c r="C332" s="182" t="s">
        <v>94</v>
      </c>
      <c r="D332" s="182">
        <v>1</v>
      </c>
      <c r="E332" s="185"/>
      <c r="F332" s="185"/>
      <c r="G332" s="185"/>
      <c r="H332" s="186"/>
      <c r="I332" s="177"/>
      <c r="J332" s="178">
        <f>SAÍDAS!$D332-SAÍDAS!$G332</f>
        <v>1</v>
      </c>
      <c r="K332" s="178">
        <f>SUMIFS(ENTRADAS!$E$7:$E$1002,ENTRADAS!$B$7:$B$1002,"&lt;=" &amp; SAÍDAS!$B332,ENTRADAS!$C$7:$C$1002,SAÍDAS!$C332)-SUMIFS(SAÍDAS!$J$7:$J$289,SAÍDAS!$B$7:$B$289,"&lt;=" &amp; SAÍDAS!$B332,SAÍDAS!$C$7:$C$289,SAÍDAS!$C332)</f>
        <v>21</v>
      </c>
      <c r="L332" s="179">
        <f t="shared" si="5"/>
        <v>0</v>
      </c>
      <c r="M332" s="165"/>
    </row>
    <row r="333" spans="1:13" ht="15.75" customHeight="1">
      <c r="A333" s="165"/>
      <c r="B333" s="173">
        <v>46064</v>
      </c>
      <c r="C333" s="182" t="s">
        <v>170</v>
      </c>
      <c r="D333" s="182">
        <v>1</v>
      </c>
      <c r="E333" s="185"/>
      <c r="F333" s="185"/>
      <c r="G333" s="185"/>
      <c r="H333" s="186"/>
      <c r="I333" s="177"/>
      <c r="J333" s="178">
        <f>SAÍDAS!$D333-SAÍDAS!$G333</f>
        <v>1</v>
      </c>
      <c r="K333" s="178">
        <f>SUMIFS(ENTRADAS!$E$7:$E$1002,ENTRADAS!$B$7:$B$1002,"&lt;=" &amp; SAÍDAS!$B333,ENTRADAS!$C$7:$C$1002,SAÍDAS!$C333)-SUMIFS(SAÍDAS!$J$7:$J$289,SAÍDAS!$B$7:$B$289,"&lt;=" &amp; SAÍDAS!$B333,SAÍDAS!$C$7:$C$289,SAÍDAS!$C333)</f>
        <v>10</v>
      </c>
      <c r="L333" s="179">
        <f t="shared" si="5"/>
        <v>0</v>
      </c>
      <c r="M333" s="165"/>
    </row>
    <row r="334" spans="1:13" ht="15.75" customHeight="1">
      <c r="A334" s="165"/>
      <c r="B334" s="173">
        <v>46064</v>
      </c>
      <c r="C334" s="182" t="s">
        <v>102</v>
      </c>
      <c r="D334" s="182">
        <v>1</v>
      </c>
      <c r="E334" s="185"/>
      <c r="F334" s="185"/>
      <c r="G334" s="185"/>
      <c r="H334" s="186"/>
      <c r="I334" s="177"/>
      <c r="J334" s="178">
        <f>SAÍDAS!$D334-SAÍDAS!$G334</f>
        <v>1</v>
      </c>
      <c r="K334" s="178">
        <f>SUMIFS(ENTRADAS!$E$7:$E$1002,ENTRADAS!$B$7:$B$1002,"&lt;=" &amp; SAÍDAS!$B334,ENTRADAS!$C$7:$C$1002,SAÍDAS!$C334)-SUMIFS(SAÍDAS!$J$7:$J$289,SAÍDAS!$B$7:$B$289,"&lt;=" &amp; SAÍDAS!$B334,SAÍDAS!$C$7:$C$289,SAÍDAS!$C334)</f>
        <v>103</v>
      </c>
      <c r="L334" s="179">
        <f t="shared" si="5"/>
        <v>0</v>
      </c>
      <c r="M334" s="165"/>
    </row>
    <row r="335" spans="1:13" ht="15.75" customHeight="1">
      <c r="A335" s="165"/>
      <c r="B335" s="173">
        <v>46064</v>
      </c>
      <c r="C335" s="182" t="s">
        <v>103</v>
      </c>
      <c r="D335" s="182">
        <v>2</v>
      </c>
      <c r="E335" s="185"/>
      <c r="F335" s="185"/>
      <c r="G335" s="185"/>
      <c r="H335" s="186"/>
      <c r="I335" s="177"/>
      <c r="J335" s="178">
        <f>SAÍDAS!$D335-SAÍDAS!$G335</f>
        <v>2</v>
      </c>
      <c r="K335" s="178">
        <f>SUMIFS(ENTRADAS!$E$7:$E$1002,ENTRADAS!$B$7:$B$1002,"&lt;=" &amp; SAÍDAS!$B335,ENTRADAS!$C$7:$C$1002,SAÍDAS!$C335)-SUMIFS(SAÍDAS!$J$7:$J$289,SAÍDAS!$B$7:$B$289,"&lt;=" &amp; SAÍDAS!$B335,SAÍDAS!$C$7:$C$289,SAÍDAS!$C335)</f>
        <v>106</v>
      </c>
      <c r="L335" s="179">
        <f t="shared" si="5"/>
        <v>0</v>
      </c>
      <c r="M335" s="165"/>
    </row>
    <row r="336" spans="1:13" ht="15.75" customHeight="1">
      <c r="A336" s="165"/>
      <c r="B336" s="173">
        <v>46064</v>
      </c>
      <c r="C336" s="182" t="s">
        <v>105</v>
      </c>
      <c r="D336" s="182">
        <v>2</v>
      </c>
      <c r="E336" s="185"/>
      <c r="F336" s="185"/>
      <c r="G336" s="185"/>
      <c r="H336" s="186"/>
      <c r="I336" s="177"/>
      <c r="J336" s="178">
        <f>SAÍDAS!$D336-SAÍDAS!$G336</f>
        <v>2</v>
      </c>
      <c r="K336" s="178">
        <f>SUMIFS(ENTRADAS!$E$7:$E$1002,ENTRADAS!$B$7:$B$1002,"&lt;=" &amp; SAÍDAS!$B336,ENTRADAS!$C$7:$C$1002,SAÍDAS!$C336)-SUMIFS(SAÍDAS!$J$7:$J$289,SAÍDAS!$B$7:$B$289,"&lt;=" &amp; SAÍDAS!$B336,SAÍDAS!$C$7:$C$289,SAÍDAS!$C336)</f>
        <v>13</v>
      </c>
      <c r="L336" s="179">
        <f t="shared" si="5"/>
        <v>0</v>
      </c>
      <c r="M336" s="165"/>
    </row>
    <row r="337" spans="2:12" ht="15.75" customHeight="1">
      <c r="B337" s="173">
        <v>46065</v>
      </c>
      <c r="C337" s="182" t="s">
        <v>233</v>
      </c>
      <c r="D337" s="182">
        <v>2</v>
      </c>
      <c r="E337" s="185"/>
      <c r="F337" s="185"/>
      <c r="G337" s="185"/>
      <c r="H337" s="186"/>
      <c r="I337" s="177"/>
      <c r="J337" s="178">
        <f>SAÍDAS!$D337-SAÍDAS!$G337</f>
        <v>2</v>
      </c>
      <c r="K337" s="178">
        <f>SUMIFS(ENTRADAS!$E$7:$E$1002,ENTRADAS!$B$7:$B$1002,"&lt;=" &amp; SAÍDAS!$B337,ENTRADAS!$C$7:$C$1002,SAÍDAS!$C337)-SUMIFS(SAÍDAS!$J$7:$J$289,SAÍDAS!$B$7:$B$289,"&lt;=" &amp; SAÍDAS!$B337,SAÍDAS!$C$7:$C$289,SAÍDAS!$C337)</f>
        <v>64</v>
      </c>
      <c r="L337" s="179">
        <f t="shared" ref="L337:L390" si="6">I337*J337</f>
        <v>0</v>
      </c>
    </row>
    <row r="338" spans="2:12" ht="15.75" customHeight="1">
      <c r="B338" s="173">
        <v>46065</v>
      </c>
      <c r="C338" s="182" t="s">
        <v>237</v>
      </c>
      <c r="D338" s="182">
        <v>1</v>
      </c>
      <c r="E338" s="185"/>
      <c r="F338" s="185"/>
      <c r="G338" s="185"/>
      <c r="H338" s="186"/>
      <c r="I338" s="177"/>
      <c r="J338" s="178">
        <f>SAÍDAS!$D338-SAÍDAS!$G338</f>
        <v>1</v>
      </c>
      <c r="K338" s="178">
        <f>SUMIFS(ENTRADAS!$E$7:$E$1002,ENTRADAS!$B$7:$B$1002,"&lt;=" &amp; SAÍDAS!$B338,ENTRADAS!$C$7:$C$1002,SAÍDAS!$C338)-SUMIFS(SAÍDAS!$J$7:$J$289,SAÍDAS!$B$7:$B$289,"&lt;=" &amp; SAÍDAS!$B338,SAÍDAS!$C$7:$C$289,SAÍDAS!$C338)</f>
        <v>47</v>
      </c>
      <c r="L338" s="179">
        <f t="shared" si="6"/>
        <v>0</v>
      </c>
    </row>
    <row r="339" spans="2:12" ht="15.75" customHeight="1">
      <c r="B339" s="173">
        <v>46065</v>
      </c>
      <c r="C339" s="182" t="s">
        <v>234</v>
      </c>
      <c r="D339" s="182">
        <v>4</v>
      </c>
      <c r="E339" s="185"/>
      <c r="F339" s="185"/>
      <c r="G339" s="185"/>
      <c r="H339" s="186"/>
      <c r="I339" s="177"/>
      <c r="J339" s="178">
        <f>SAÍDAS!$D339-SAÍDAS!$G339</f>
        <v>4</v>
      </c>
      <c r="K339" s="178">
        <f>SUMIFS(ENTRADAS!$E$7:$E$1002,ENTRADAS!$B$7:$B$1002,"&lt;=" &amp; SAÍDAS!$B339,ENTRADAS!$C$7:$C$1002,SAÍDAS!$C339)-SUMIFS(SAÍDAS!$J$7:$J$289,SAÍDAS!$B$7:$B$289,"&lt;=" &amp; SAÍDAS!$B339,SAÍDAS!$C$7:$C$289,SAÍDAS!$C339)</f>
        <v>35</v>
      </c>
      <c r="L339" s="179">
        <f t="shared" si="6"/>
        <v>0</v>
      </c>
    </row>
    <row r="340" spans="2:12" ht="15.75" customHeight="1">
      <c r="B340" s="173">
        <v>46065</v>
      </c>
      <c r="C340" s="182" t="s">
        <v>255</v>
      </c>
      <c r="D340" s="182">
        <v>2</v>
      </c>
      <c r="E340" s="185"/>
      <c r="F340" s="185"/>
      <c r="G340" s="185"/>
      <c r="H340" s="186"/>
      <c r="I340" s="177"/>
      <c r="J340" s="178">
        <f>SAÍDAS!$D340-SAÍDAS!$G340</f>
        <v>2</v>
      </c>
      <c r="K340" s="178">
        <f>SUMIFS(ENTRADAS!$E$7:$E$1002,ENTRADAS!$B$7:$B$1002,"&lt;=" &amp; SAÍDAS!$B340,ENTRADAS!$C$7:$C$1002,SAÍDAS!$C340)-SUMIFS(SAÍDAS!$J$7:$J$289,SAÍDAS!$B$7:$B$289,"&lt;=" &amp; SAÍDAS!$B340,SAÍDAS!$C$7:$C$289,SAÍDAS!$C340)</f>
        <v>13</v>
      </c>
      <c r="L340" s="179">
        <f t="shared" si="6"/>
        <v>0</v>
      </c>
    </row>
    <row r="341" spans="2:12" ht="15.75" customHeight="1">
      <c r="B341" s="173">
        <v>46065</v>
      </c>
      <c r="C341" s="182" t="s">
        <v>241</v>
      </c>
      <c r="D341" s="182">
        <v>1</v>
      </c>
      <c r="E341" s="185"/>
      <c r="F341" s="185"/>
      <c r="G341" s="185"/>
      <c r="H341" s="186"/>
      <c r="I341" s="177"/>
      <c r="J341" s="178">
        <f>SAÍDAS!$D341-SAÍDAS!$G341</f>
        <v>1</v>
      </c>
      <c r="K341" s="178">
        <f>SUMIFS(ENTRADAS!$E$7:$E$1002,ENTRADAS!$B$7:$B$1002,"&lt;=" &amp; SAÍDAS!$B341,ENTRADAS!$C$7:$C$1002,SAÍDAS!$C341)-SUMIFS(SAÍDAS!$J$7:$J$289,SAÍDAS!$B$7:$B$289,"&lt;=" &amp; SAÍDAS!$B341,SAÍDAS!$C$7:$C$289,SAÍDAS!$C341)</f>
        <v>12</v>
      </c>
      <c r="L341" s="179">
        <f t="shared" si="6"/>
        <v>0</v>
      </c>
    </row>
    <row r="342" spans="2:12" ht="15.75" customHeight="1">
      <c r="B342" s="173">
        <v>46065</v>
      </c>
      <c r="C342" s="182" t="s">
        <v>105</v>
      </c>
      <c r="D342" s="182">
        <v>1</v>
      </c>
      <c r="E342" s="185"/>
      <c r="F342" s="185"/>
      <c r="G342" s="185"/>
      <c r="H342" s="186"/>
      <c r="I342" s="177"/>
      <c r="J342" s="178">
        <f>SAÍDAS!$D342-SAÍDAS!$G342</f>
        <v>1</v>
      </c>
      <c r="K342" s="178">
        <f>SUMIFS(ENTRADAS!$E$7:$E$1002,ENTRADAS!$B$7:$B$1002,"&lt;=" &amp; SAÍDAS!$B342,ENTRADAS!$C$7:$C$1002,SAÍDAS!$C342)-SUMIFS(SAÍDAS!$J$7:$J$289,SAÍDAS!$B$7:$B$289,"&lt;=" &amp; SAÍDAS!$B342,SAÍDAS!$C$7:$C$289,SAÍDAS!$C342)</f>
        <v>13</v>
      </c>
      <c r="L342" s="179">
        <f t="shared" si="6"/>
        <v>0</v>
      </c>
    </row>
    <row r="343" spans="2:12" ht="15.75" customHeight="1">
      <c r="B343" s="173">
        <v>46065</v>
      </c>
      <c r="C343" s="182" t="s">
        <v>104</v>
      </c>
      <c r="D343" s="182">
        <v>1</v>
      </c>
      <c r="E343" s="185"/>
      <c r="F343" s="185"/>
      <c r="G343" s="185"/>
      <c r="H343" s="186"/>
      <c r="I343" s="177"/>
      <c r="J343" s="178">
        <f>SAÍDAS!$D343-SAÍDAS!$G343</f>
        <v>1</v>
      </c>
      <c r="K343" s="178">
        <f>SUMIFS(ENTRADAS!$E$7:$E$1002,ENTRADAS!$B$7:$B$1002,"&lt;=" &amp; SAÍDAS!$B343,ENTRADAS!$C$7:$C$1002,SAÍDAS!$C343)-SUMIFS(SAÍDAS!$J$7:$J$289,SAÍDAS!$B$7:$B$289,"&lt;=" &amp; SAÍDAS!$B343,SAÍDAS!$C$7:$C$289,SAÍDAS!$C343)</f>
        <v>24</v>
      </c>
      <c r="L343" s="179">
        <f t="shared" si="6"/>
        <v>0</v>
      </c>
    </row>
    <row r="344" spans="2:12" ht="15.75" customHeight="1">
      <c r="B344" s="173">
        <v>46065</v>
      </c>
      <c r="C344" s="182" t="s">
        <v>103</v>
      </c>
      <c r="D344" s="182">
        <v>2</v>
      </c>
      <c r="E344" s="185"/>
      <c r="F344" s="185"/>
      <c r="G344" s="185"/>
      <c r="H344" s="186"/>
      <c r="I344" s="177"/>
      <c r="J344" s="178">
        <f>SAÍDAS!$D344-SAÍDAS!$G344</f>
        <v>2</v>
      </c>
      <c r="K344" s="178">
        <f>SUMIFS(ENTRADAS!$E$7:$E$1002,ENTRADAS!$B$7:$B$1002,"&lt;=" &amp; SAÍDAS!$B344,ENTRADAS!$C$7:$C$1002,SAÍDAS!$C344)-SUMIFS(SAÍDAS!$J$7:$J$289,SAÍDAS!$B$7:$B$289,"&lt;=" &amp; SAÍDAS!$B344,SAÍDAS!$C$7:$C$289,SAÍDAS!$C344)</f>
        <v>106</v>
      </c>
      <c r="L344" s="179">
        <f t="shared" si="6"/>
        <v>0</v>
      </c>
    </row>
    <row r="345" spans="2:12" ht="15.75" customHeight="1">
      <c r="B345" s="173">
        <v>46065</v>
      </c>
      <c r="C345" s="182" t="s">
        <v>102</v>
      </c>
      <c r="D345" s="182">
        <v>3</v>
      </c>
      <c r="E345" s="185"/>
      <c r="F345" s="185"/>
      <c r="G345" s="185"/>
      <c r="H345" s="186"/>
      <c r="I345" s="177"/>
      <c r="J345" s="178">
        <f>SAÍDAS!$D345-SAÍDAS!$G345</f>
        <v>3</v>
      </c>
      <c r="K345" s="178">
        <f>SUMIFS(ENTRADAS!$E$7:$E$1002,ENTRADAS!$B$7:$B$1002,"&lt;=" &amp; SAÍDAS!$B345,ENTRADAS!$C$7:$C$1002,SAÍDAS!$C345)-SUMIFS(SAÍDAS!$J$7:$J$289,SAÍDAS!$B$7:$B$289,"&lt;=" &amp; SAÍDAS!$B345,SAÍDAS!$C$7:$C$289,SAÍDAS!$C345)</f>
        <v>103</v>
      </c>
      <c r="L345" s="179">
        <f t="shared" si="6"/>
        <v>0</v>
      </c>
    </row>
    <row r="346" spans="2:12" ht="15.75" customHeight="1">
      <c r="B346" s="173">
        <v>46065</v>
      </c>
      <c r="C346" s="182" t="s">
        <v>263</v>
      </c>
      <c r="D346" s="182">
        <v>1</v>
      </c>
      <c r="E346" s="185"/>
      <c r="F346" s="185"/>
      <c r="G346" s="185"/>
      <c r="H346" s="186"/>
      <c r="I346" s="177"/>
      <c r="J346" s="178">
        <f>SAÍDAS!$D346-SAÍDAS!$G346</f>
        <v>1</v>
      </c>
      <c r="K346" s="178">
        <f>SUMIFS(ENTRADAS!$E$7:$E$1002,ENTRADAS!$B$7:$B$1002,"&lt;=" &amp; SAÍDAS!$B346,ENTRADAS!$C$7:$C$1002,SAÍDAS!$C346)-SUMIFS(SAÍDAS!$J$7:$J$289,SAÍDAS!$B$7:$B$289,"&lt;=" &amp; SAÍDAS!$B346,SAÍDAS!$C$7:$C$289,SAÍDAS!$C346)</f>
        <v>5</v>
      </c>
      <c r="L346" s="179">
        <f t="shared" si="6"/>
        <v>0</v>
      </c>
    </row>
    <row r="347" spans="2:12" ht="15.75" customHeight="1">
      <c r="B347" s="173">
        <v>46065</v>
      </c>
      <c r="C347" s="182" t="s">
        <v>168</v>
      </c>
      <c r="D347" s="182">
        <v>1</v>
      </c>
      <c r="E347" s="185"/>
      <c r="F347" s="185"/>
      <c r="G347" s="185"/>
      <c r="H347" s="186"/>
      <c r="I347" s="177"/>
      <c r="J347" s="178">
        <f>SAÍDAS!$D347-SAÍDAS!$G347</f>
        <v>1</v>
      </c>
      <c r="K347" s="178">
        <f>SUMIFS(ENTRADAS!$E$7:$E$1002,ENTRADAS!$B$7:$B$1002,"&lt;=" &amp; SAÍDAS!$B347,ENTRADAS!$C$7:$C$1002,SAÍDAS!$C347)-SUMIFS(SAÍDAS!$J$7:$J$289,SAÍDAS!$B$7:$B$289,"&lt;=" &amp; SAÍDAS!$B347,SAÍDAS!$C$7:$C$289,SAÍDAS!$C347)</f>
        <v>11</v>
      </c>
      <c r="L347" s="179">
        <f t="shared" si="6"/>
        <v>0</v>
      </c>
    </row>
    <row r="348" spans="2:12" ht="15.75" customHeight="1">
      <c r="B348" s="173">
        <v>46065</v>
      </c>
      <c r="C348" s="182" t="s">
        <v>116</v>
      </c>
      <c r="D348" s="182">
        <v>1</v>
      </c>
      <c r="E348" s="185"/>
      <c r="F348" s="185"/>
      <c r="G348" s="185"/>
      <c r="H348" s="186"/>
      <c r="I348" s="177"/>
      <c r="J348" s="178">
        <f>SAÍDAS!$D348-SAÍDAS!$G348</f>
        <v>1</v>
      </c>
      <c r="K348" s="178">
        <f>SUMIFS(ENTRADAS!$E$7:$E$1002,ENTRADAS!$B$7:$B$1002,"&lt;=" &amp; SAÍDAS!$B348,ENTRADAS!$C$7:$C$1002,SAÍDAS!$C348)-SUMIFS(SAÍDAS!$J$7:$J$289,SAÍDAS!$B$7:$B$289,"&lt;=" &amp; SAÍDAS!$B348,SAÍDAS!$C$7:$C$289,SAÍDAS!$C348)</f>
        <v>5</v>
      </c>
      <c r="L348" s="179">
        <f t="shared" si="6"/>
        <v>0</v>
      </c>
    </row>
    <row r="349" spans="2:12" ht="15.75" customHeight="1">
      <c r="B349" s="173">
        <v>46065</v>
      </c>
      <c r="C349" s="182" t="s">
        <v>109</v>
      </c>
      <c r="D349" s="182">
        <v>1</v>
      </c>
      <c r="E349" s="185"/>
      <c r="F349" s="185"/>
      <c r="G349" s="185"/>
      <c r="H349" s="186"/>
      <c r="I349" s="177"/>
      <c r="J349" s="178">
        <f>SAÍDAS!$D349-SAÍDAS!$G349</f>
        <v>1</v>
      </c>
      <c r="K349" s="178">
        <f>SUMIFS(ENTRADAS!$E$7:$E$1002,ENTRADAS!$B$7:$B$1002,"&lt;=" &amp; SAÍDAS!$B349,ENTRADAS!$C$7:$C$1002,SAÍDAS!$C349)-SUMIFS(SAÍDAS!$J$7:$J$289,SAÍDAS!$B$7:$B$289,"&lt;=" &amp; SAÍDAS!$B349,SAÍDAS!$C$7:$C$289,SAÍDAS!$C349)</f>
        <v>36</v>
      </c>
      <c r="L349" s="179">
        <f t="shared" si="6"/>
        <v>0</v>
      </c>
    </row>
    <row r="350" spans="2:12" ht="15.75" customHeight="1">
      <c r="B350" s="173">
        <v>46065</v>
      </c>
      <c r="C350" s="182" t="s">
        <v>110</v>
      </c>
      <c r="D350" s="182">
        <v>1</v>
      </c>
      <c r="E350" s="185"/>
      <c r="F350" s="185"/>
      <c r="G350" s="185"/>
      <c r="H350" s="186"/>
      <c r="I350" s="177"/>
      <c r="J350" s="178">
        <f>SAÍDAS!$D350-SAÍDAS!$G350</f>
        <v>1</v>
      </c>
      <c r="K350" s="178">
        <f>SUMIFS(ENTRADAS!$E$7:$E$1002,ENTRADAS!$B$7:$B$1002,"&lt;=" &amp; SAÍDAS!$B350,ENTRADAS!$C$7:$C$1002,SAÍDAS!$C350)-SUMIFS(SAÍDAS!$J$7:$J$289,SAÍDAS!$B$7:$B$289,"&lt;=" &amp; SAÍDAS!$B350,SAÍDAS!$C$7:$C$289,SAÍDAS!$C350)</f>
        <v>24</v>
      </c>
      <c r="L350" s="179">
        <f t="shared" si="6"/>
        <v>0</v>
      </c>
    </row>
    <row r="351" spans="2:12" ht="15.75" customHeight="1">
      <c r="B351" s="173">
        <v>46065</v>
      </c>
      <c r="C351" s="182" t="s">
        <v>256</v>
      </c>
      <c r="D351" s="182">
        <v>1</v>
      </c>
      <c r="E351" s="185"/>
      <c r="F351" s="185"/>
      <c r="G351" s="185"/>
      <c r="H351" s="186"/>
      <c r="I351" s="177"/>
      <c r="J351" s="178">
        <f>SAÍDAS!$D351-SAÍDAS!$G351</f>
        <v>1</v>
      </c>
      <c r="K351" s="178">
        <f>SUMIFS(ENTRADAS!$E$7:$E$1002,ENTRADAS!$B$7:$B$1002,"&lt;=" &amp; SAÍDAS!$B351,ENTRADAS!$C$7:$C$1002,SAÍDAS!$C351)-SUMIFS(SAÍDAS!$J$7:$J$289,SAÍDAS!$B$7:$B$289,"&lt;=" &amp; SAÍDAS!$B351,SAÍDAS!$C$7:$C$289,SAÍDAS!$C351)</f>
        <v>10</v>
      </c>
      <c r="L351" s="179">
        <f t="shared" si="6"/>
        <v>0</v>
      </c>
    </row>
    <row r="352" spans="2:12" ht="15.75" customHeight="1">
      <c r="B352" s="173">
        <v>46065</v>
      </c>
      <c r="C352" s="182" t="s">
        <v>151</v>
      </c>
      <c r="D352" s="182">
        <v>2</v>
      </c>
      <c r="E352" s="185"/>
      <c r="F352" s="185"/>
      <c r="G352" s="185"/>
      <c r="H352" s="186"/>
      <c r="I352" s="177"/>
      <c r="J352" s="178">
        <f>SAÍDAS!$D352-SAÍDAS!$G352</f>
        <v>2</v>
      </c>
      <c r="K352" s="178">
        <f>SUMIFS(ENTRADAS!$E$7:$E$1002,ENTRADAS!$B$7:$B$1002,"&lt;=" &amp; SAÍDAS!$B352,ENTRADAS!$C$7:$C$1002,SAÍDAS!$C352)-SUMIFS(SAÍDAS!$J$7:$J$289,SAÍDAS!$B$7:$B$289,"&lt;=" &amp; SAÍDAS!$B352,SAÍDAS!$C$7:$C$289,SAÍDAS!$C352)</f>
        <v>13</v>
      </c>
      <c r="L352" s="179">
        <f t="shared" si="6"/>
        <v>0</v>
      </c>
    </row>
    <row r="353" spans="2:12" ht="15.75" customHeight="1">
      <c r="B353" s="173">
        <v>46065</v>
      </c>
      <c r="C353" s="182" t="s">
        <v>152</v>
      </c>
      <c r="D353" s="182">
        <v>1</v>
      </c>
      <c r="E353" s="185"/>
      <c r="F353" s="185"/>
      <c r="G353" s="185"/>
      <c r="H353" s="186"/>
      <c r="I353" s="177"/>
      <c r="J353" s="178">
        <f>SAÍDAS!$D353-SAÍDAS!$G353</f>
        <v>1</v>
      </c>
      <c r="K353" s="178">
        <f>SUMIFS(ENTRADAS!$E$7:$E$1002,ENTRADAS!$B$7:$B$1002,"&lt;=" &amp; SAÍDAS!$B353,ENTRADAS!$C$7:$C$1002,SAÍDAS!$C353)-SUMIFS(SAÍDAS!$J$7:$J$289,SAÍDAS!$B$7:$B$289,"&lt;=" &amp; SAÍDAS!$B353,SAÍDAS!$C$7:$C$289,SAÍDAS!$C353)</f>
        <v>10</v>
      </c>
      <c r="L353" s="179">
        <f t="shared" si="6"/>
        <v>0</v>
      </c>
    </row>
    <row r="354" spans="2:12" ht="15.75" customHeight="1">
      <c r="B354" s="173">
        <v>46065</v>
      </c>
      <c r="C354" s="182" t="s">
        <v>150</v>
      </c>
      <c r="D354" s="182">
        <v>1</v>
      </c>
      <c r="E354" s="185"/>
      <c r="F354" s="185"/>
      <c r="G354" s="185"/>
      <c r="H354" s="186"/>
      <c r="I354" s="177"/>
      <c r="J354" s="178">
        <f>SAÍDAS!$D354-SAÍDAS!$G354</f>
        <v>1</v>
      </c>
      <c r="K354" s="178">
        <f>SUMIFS(ENTRADAS!$E$7:$E$1002,ENTRADAS!$B$7:$B$1002,"&lt;=" &amp; SAÍDAS!$B354,ENTRADAS!$C$7:$C$1002,SAÍDAS!$C354)-SUMIFS(SAÍDAS!$J$7:$J$289,SAÍDAS!$B$7:$B$289,"&lt;=" &amp; SAÍDAS!$B354,SAÍDAS!$C$7:$C$289,SAÍDAS!$C354)</f>
        <v>0</v>
      </c>
      <c r="L354" s="179">
        <f t="shared" si="6"/>
        <v>0</v>
      </c>
    </row>
    <row r="355" spans="2:12" ht="15.75" customHeight="1">
      <c r="B355" s="173">
        <v>46065</v>
      </c>
      <c r="C355" s="182" t="s">
        <v>93</v>
      </c>
      <c r="D355" s="182">
        <v>1</v>
      </c>
      <c r="E355" s="185"/>
      <c r="F355" s="185"/>
      <c r="G355" s="185"/>
      <c r="H355" s="186"/>
      <c r="I355" s="177"/>
      <c r="J355" s="178">
        <f>SAÍDAS!$D355-SAÍDAS!$G355</f>
        <v>1</v>
      </c>
      <c r="K355" s="178">
        <f>SUMIFS(ENTRADAS!$E$7:$E$1002,ENTRADAS!$B$7:$B$1002,"&lt;=" &amp; SAÍDAS!$B355,ENTRADAS!$C$7:$C$1002,SAÍDAS!$C355)-SUMIFS(SAÍDAS!$J$7:$J$289,SAÍDAS!$B$7:$B$289,"&lt;=" &amp; SAÍDAS!$B355,SAÍDAS!$C$7:$C$289,SAÍDAS!$C355)</f>
        <v>22</v>
      </c>
      <c r="L355" s="179">
        <f t="shared" si="6"/>
        <v>0</v>
      </c>
    </row>
    <row r="356" spans="2:12" ht="15.75" customHeight="1">
      <c r="B356" s="173">
        <v>46065</v>
      </c>
      <c r="C356" s="182" t="s">
        <v>163</v>
      </c>
      <c r="D356" s="182">
        <v>1</v>
      </c>
      <c r="E356" s="185"/>
      <c r="F356" s="185"/>
      <c r="G356" s="185"/>
      <c r="H356" s="186"/>
      <c r="I356" s="177"/>
      <c r="J356" s="178">
        <f>SAÍDAS!$D356-SAÍDAS!$G356</f>
        <v>1</v>
      </c>
      <c r="K356" s="178">
        <f>SUMIFS(ENTRADAS!$E$7:$E$1002,ENTRADAS!$B$7:$B$1002,"&lt;=" &amp; SAÍDAS!$B356,ENTRADAS!$C$7:$C$1002,SAÍDAS!$C356)-SUMIFS(SAÍDAS!$J$7:$J$289,SAÍDAS!$B$7:$B$289,"&lt;=" &amp; SAÍDAS!$B356,SAÍDAS!$C$7:$C$289,SAÍDAS!$C356)</f>
        <v>5</v>
      </c>
      <c r="L356" s="179">
        <f t="shared" si="6"/>
        <v>0</v>
      </c>
    </row>
    <row r="357" spans="2:12" ht="15.75" customHeight="1">
      <c r="B357" s="173">
        <v>46065</v>
      </c>
      <c r="C357" s="182" t="s">
        <v>164</v>
      </c>
      <c r="D357" s="182">
        <v>1</v>
      </c>
      <c r="E357" s="185"/>
      <c r="F357" s="185"/>
      <c r="G357" s="185"/>
      <c r="H357" s="186"/>
      <c r="I357" s="177"/>
      <c r="J357" s="178">
        <f>SAÍDAS!$D357-SAÍDAS!$G357</f>
        <v>1</v>
      </c>
      <c r="K357" s="178">
        <f>SUMIFS(ENTRADAS!$E$7:$E$1002,ENTRADAS!$B$7:$B$1002,"&lt;=" &amp; SAÍDAS!$B357,ENTRADAS!$C$7:$C$1002,SAÍDAS!$C357)-SUMIFS(SAÍDAS!$J$7:$J$289,SAÍDAS!$B$7:$B$289,"&lt;=" &amp; SAÍDAS!$B357,SAÍDAS!$C$7:$C$289,SAÍDAS!$C357)</f>
        <v>5</v>
      </c>
      <c r="L357" s="179">
        <f t="shared" si="6"/>
        <v>0</v>
      </c>
    </row>
    <row r="358" spans="2:12" ht="15.75" customHeight="1">
      <c r="B358" s="173">
        <v>46065</v>
      </c>
      <c r="C358" s="182" t="s">
        <v>193</v>
      </c>
      <c r="D358" s="182">
        <v>1</v>
      </c>
      <c r="E358" s="185"/>
      <c r="F358" s="185"/>
      <c r="G358" s="185"/>
      <c r="H358" s="186"/>
      <c r="I358" s="177"/>
      <c r="J358" s="178">
        <f>SAÍDAS!$D358-SAÍDAS!$G358</f>
        <v>1</v>
      </c>
      <c r="K358" s="178">
        <f>SUMIFS(ENTRADAS!$E$7:$E$1002,ENTRADAS!$B$7:$B$1002,"&lt;=" &amp; SAÍDAS!$B358,ENTRADAS!$C$7:$C$1002,SAÍDAS!$C358)-SUMIFS(SAÍDAS!$J$7:$J$289,SAÍDAS!$B$7:$B$289,"&lt;=" &amp; SAÍDAS!$B358,SAÍDAS!$C$7:$C$289,SAÍDAS!$C358)</f>
        <v>23</v>
      </c>
      <c r="L358" s="179">
        <f t="shared" si="6"/>
        <v>0</v>
      </c>
    </row>
    <row r="359" spans="2:12" ht="15.75" customHeight="1">
      <c r="B359" s="173">
        <v>46065</v>
      </c>
      <c r="C359" s="182" t="s">
        <v>239</v>
      </c>
      <c r="D359" s="182">
        <v>1</v>
      </c>
      <c r="E359" s="185"/>
      <c r="F359" s="185"/>
      <c r="G359" s="185"/>
      <c r="H359" s="186"/>
      <c r="I359" s="177"/>
      <c r="J359" s="178">
        <f>SAÍDAS!$D359-SAÍDAS!$G359</f>
        <v>1</v>
      </c>
      <c r="K359" s="178">
        <f>SUMIFS(ENTRADAS!$E$7:$E$1002,ENTRADAS!$B$7:$B$1002,"&lt;=" &amp; SAÍDAS!$B359,ENTRADAS!$C$7:$C$1002,SAÍDAS!$C359)-SUMIFS(SAÍDAS!$J$7:$J$289,SAÍDAS!$B$7:$B$289,"&lt;=" &amp; SAÍDAS!$B359,SAÍDAS!$C$7:$C$289,SAÍDAS!$C359)</f>
        <v>6</v>
      </c>
      <c r="L359" s="179">
        <f t="shared" si="6"/>
        <v>0</v>
      </c>
    </row>
    <row r="360" spans="2:12" ht="15.75" customHeight="1">
      <c r="B360" s="173">
        <v>46066</v>
      </c>
      <c r="C360" s="182" t="s">
        <v>169</v>
      </c>
      <c r="D360" s="182">
        <v>1</v>
      </c>
      <c r="E360" s="185"/>
      <c r="F360" s="185"/>
      <c r="G360" s="185"/>
      <c r="H360" s="186"/>
      <c r="I360" s="177"/>
      <c r="J360" s="178">
        <f>SAÍDAS!$D360-SAÍDAS!$G360</f>
        <v>1</v>
      </c>
      <c r="K360" s="178">
        <f>SUMIFS(ENTRADAS!$E$7:$E$1002,ENTRADAS!$B$7:$B$1002,"&lt;=" &amp; SAÍDAS!$B360,ENTRADAS!$C$7:$C$1002,SAÍDAS!$C360)-SUMIFS(SAÍDAS!$J$7:$J$289,SAÍDAS!$B$7:$B$289,"&lt;=" &amp; SAÍDAS!$B360,SAÍDAS!$C$7:$C$289,SAÍDAS!$C360)</f>
        <v>13</v>
      </c>
      <c r="L360" s="179">
        <f t="shared" si="6"/>
        <v>0</v>
      </c>
    </row>
    <row r="361" spans="2:12" ht="15.75" customHeight="1">
      <c r="B361" s="173">
        <v>46066</v>
      </c>
      <c r="C361" s="182" t="s">
        <v>218</v>
      </c>
      <c r="D361" s="182">
        <v>1</v>
      </c>
      <c r="E361" s="185"/>
      <c r="F361" s="185"/>
      <c r="G361" s="185"/>
      <c r="H361" s="186"/>
      <c r="I361" s="177"/>
      <c r="J361" s="178">
        <f>SAÍDAS!$D361-SAÍDAS!$G361</f>
        <v>1</v>
      </c>
      <c r="K361" s="178">
        <f>SUMIFS(ENTRADAS!$E$7:$E$1002,ENTRADAS!$B$7:$B$1002,"&lt;=" &amp; SAÍDAS!$B361,ENTRADAS!$C$7:$C$1002,SAÍDAS!$C361)-SUMIFS(SAÍDAS!$J$7:$J$289,SAÍDAS!$B$7:$B$289,"&lt;=" &amp; SAÍDAS!$B361,SAÍDAS!$C$7:$C$289,SAÍDAS!$C361)</f>
        <v>3</v>
      </c>
      <c r="L361" s="179">
        <f t="shared" si="6"/>
        <v>0</v>
      </c>
    </row>
    <row r="362" spans="2:12" ht="15.75" customHeight="1">
      <c r="B362" s="173">
        <v>46066</v>
      </c>
      <c r="C362" s="182" t="s">
        <v>341</v>
      </c>
      <c r="D362" s="182">
        <v>1</v>
      </c>
      <c r="E362" s="185"/>
      <c r="F362" s="185"/>
      <c r="G362" s="185"/>
      <c r="H362" s="186"/>
      <c r="I362" s="177"/>
      <c r="J362" s="178">
        <f>SAÍDAS!$D362-SAÍDAS!$G362</f>
        <v>1</v>
      </c>
      <c r="K362" s="178">
        <f>SUMIFS(ENTRADAS!$E$7:$E$1002,ENTRADAS!$B$7:$B$1002,"&lt;=" &amp; SAÍDAS!$B362,ENTRADAS!$C$7:$C$1002,SAÍDAS!$C362)-SUMIFS(SAÍDAS!$J$7:$J$289,SAÍDAS!$B$7:$B$289,"&lt;=" &amp; SAÍDAS!$B362,SAÍDAS!$C$7:$C$289,SAÍDAS!$C362)</f>
        <v>0</v>
      </c>
      <c r="L362" s="179">
        <f t="shared" si="6"/>
        <v>0</v>
      </c>
    </row>
    <row r="363" spans="2:12" ht="15.75" customHeight="1">
      <c r="B363" s="173">
        <v>46066</v>
      </c>
      <c r="C363" s="182" t="s">
        <v>209</v>
      </c>
      <c r="D363" s="182">
        <v>2</v>
      </c>
      <c r="E363" s="185"/>
      <c r="F363" s="185"/>
      <c r="G363" s="185"/>
      <c r="H363" s="186"/>
      <c r="I363" s="177"/>
      <c r="J363" s="178">
        <f>SAÍDAS!$D363-SAÍDAS!$G363</f>
        <v>2</v>
      </c>
      <c r="K363" s="178">
        <f>SUMIFS(ENTRADAS!$E$7:$E$1002,ENTRADAS!$B$7:$B$1002,"&lt;=" &amp; SAÍDAS!$B363,ENTRADAS!$C$7:$C$1002,SAÍDAS!$C363)-SUMIFS(SAÍDAS!$J$7:$J$289,SAÍDAS!$B$7:$B$289,"&lt;=" &amp; SAÍDAS!$B363,SAÍDAS!$C$7:$C$289,SAÍDAS!$C363)</f>
        <v>6</v>
      </c>
      <c r="L363" s="179">
        <f t="shared" si="6"/>
        <v>0</v>
      </c>
    </row>
    <row r="364" spans="2:12" ht="15.75" customHeight="1">
      <c r="B364" s="173">
        <v>46066</v>
      </c>
      <c r="C364" s="182" t="s">
        <v>207</v>
      </c>
      <c r="D364" s="182">
        <v>1</v>
      </c>
      <c r="E364" s="185"/>
      <c r="F364" s="185"/>
      <c r="G364" s="185"/>
      <c r="H364" s="186"/>
      <c r="I364" s="177"/>
      <c r="J364" s="178">
        <f>SAÍDAS!$D364-SAÍDAS!$G364</f>
        <v>1</v>
      </c>
      <c r="K364" s="178">
        <f>SUMIFS(ENTRADAS!$E$7:$E$1002,ENTRADAS!$B$7:$B$1002,"&lt;=" &amp; SAÍDAS!$B364,ENTRADAS!$C$7:$C$1002,SAÍDAS!$C364)-SUMIFS(SAÍDAS!$J$7:$J$289,SAÍDAS!$B$7:$B$289,"&lt;=" &amp; SAÍDAS!$B364,SAÍDAS!$C$7:$C$289,SAÍDAS!$C364)</f>
        <v>7</v>
      </c>
      <c r="L364" s="179">
        <f t="shared" si="6"/>
        <v>0</v>
      </c>
    </row>
    <row r="365" spans="2:12" ht="15.75" customHeight="1">
      <c r="B365" s="173">
        <v>46066</v>
      </c>
      <c r="C365" s="182" t="s">
        <v>194</v>
      </c>
      <c r="D365" s="182">
        <v>1</v>
      </c>
      <c r="E365" s="185"/>
      <c r="F365" s="185"/>
      <c r="G365" s="185"/>
      <c r="H365" s="186"/>
      <c r="I365" s="177"/>
      <c r="J365" s="178">
        <f>SAÍDAS!$D365-SAÍDAS!$G365</f>
        <v>1</v>
      </c>
      <c r="K365" s="178">
        <f>SUMIFS(ENTRADAS!$E$7:$E$1002,ENTRADAS!$B$7:$B$1002,"&lt;=" &amp; SAÍDAS!$B365,ENTRADAS!$C$7:$C$1002,SAÍDAS!$C365)-SUMIFS(SAÍDAS!$J$7:$J$289,SAÍDAS!$B$7:$B$289,"&lt;=" &amp; SAÍDAS!$B365,SAÍDAS!$C$7:$C$289,SAÍDAS!$C365)</f>
        <v>13</v>
      </c>
      <c r="L365" s="179">
        <f t="shared" si="6"/>
        <v>0</v>
      </c>
    </row>
    <row r="366" spans="2:12" ht="15.75" customHeight="1">
      <c r="B366" s="173">
        <v>46066</v>
      </c>
      <c r="C366" s="182" t="s">
        <v>192</v>
      </c>
      <c r="D366" s="182">
        <v>1</v>
      </c>
      <c r="E366" s="185"/>
      <c r="F366" s="185"/>
      <c r="G366" s="185"/>
      <c r="H366" s="186"/>
      <c r="I366" s="177"/>
      <c r="J366" s="178">
        <f>SAÍDAS!$D366-SAÍDAS!$G366</f>
        <v>1</v>
      </c>
      <c r="K366" s="178">
        <f>SUMIFS(ENTRADAS!$E$7:$E$1002,ENTRADAS!$B$7:$B$1002,"&lt;=" &amp; SAÍDAS!$B366,ENTRADAS!$C$7:$C$1002,SAÍDAS!$C366)-SUMIFS(SAÍDAS!$J$7:$J$289,SAÍDAS!$B$7:$B$289,"&lt;=" &amp; SAÍDAS!$B366,SAÍDAS!$C$7:$C$289,SAÍDAS!$C366)</f>
        <v>5</v>
      </c>
      <c r="L366" s="179">
        <f t="shared" si="6"/>
        <v>0</v>
      </c>
    </row>
    <row r="367" spans="2:12" ht="15.75" customHeight="1">
      <c r="B367" s="173">
        <v>46066</v>
      </c>
      <c r="C367" s="182" t="s">
        <v>107</v>
      </c>
      <c r="D367" s="182">
        <v>1</v>
      </c>
      <c r="E367" s="185"/>
      <c r="F367" s="185"/>
      <c r="G367" s="185"/>
      <c r="H367" s="186"/>
      <c r="I367" s="177"/>
      <c r="J367" s="178">
        <f>SAÍDAS!$D367-SAÍDAS!$G367</f>
        <v>1</v>
      </c>
      <c r="K367" s="178">
        <f>SUMIFS(ENTRADAS!$E$7:$E$1002,ENTRADAS!$B$7:$B$1002,"&lt;=" &amp; SAÍDAS!$B367,ENTRADAS!$C$7:$C$1002,SAÍDAS!$C367)-SUMIFS(SAÍDAS!$J$7:$J$289,SAÍDAS!$B$7:$B$289,"&lt;=" &amp; SAÍDAS!$B367,SAÍDAS!$C$7:$C$289,SAÍDAS!$C367)</f>
        <v>19</v>
      </c>
      <c r="L367" s="179">
        <f t="shared" si="6"/>
        <v>0</v>
      </c>
    </row>
    <row r="368" spans="2:12" ht="15.75" customHeight="1">
      <c r="B368" s="173">
        <v>46066</v>
      </c>
      <c r="C368" s="182" t="s">
        <v>102</v>
      </c>
      <c r="D368" s="182">
        <v>2</v>
      </c>
      <c r="E368" s="185"/>
      <c r="F368" s="185"/>
      <c r="G368" s="185"/>
      <c r="H368" s="186"/>
      <c r="I368" s="177"/>
      <c r="J368" s="178">
        <f>SAÍDAS!$D368-SAÍDAS!$G368</f>
        <v>2</v>
      </c>
      <c r="K368" s="178">
        <f>SUMIFS(ENTRADAS!$E$7:$E$1002,ENTRADAS!$B$7:$B$1002,"&lt;=" &amp; SAÍDAS!$B368,ENTRADAS!$C$7:$C$1002,SAÍDAS!$C368)-SUMIFS(SAÍDAS!$J$7:$J$289,SAÍDAS!$B$7:$B$289,"&lt;=" &amp; SAÍDAS!$B368,SAÍDAS!$C$7:$C$289,SAÍDAS!$C368)</f>
        <v>103</v>
      </c>
      <c r="L368" s="179">
        <f t="shared" si="6"/>
        <v>0</v>
      </c>
    </row>
    <row r="369" spans="2:12" ht="15.75" customHeight="1">
      <c r="B369" s="173">
        <v>46066</v>
      </c>
      <c r="C369" s="182" t="s">
        <v>101</v>
      </c>
      <c r="D369" s="182">
        <v>1</v>
      </c>
      <c r="E369" s="185"/>
      <c r="F369" s="185"/>
      <c r="G369" s="185"/>
      <c r="H369" s="186"/>
      <c r="I369" s="177"/>
      <c r="J369" s="178">
        <f>SAÍDAS!$D369-SAÍDAS!$G369</f>
        <v>1</v>
      </c>
      <c r="K369" s="178">
        <f>SUMIFS(ENTRADAS!$E$7:$E$1002,ENTRADAS!$B$7:$B$1002,"&lt;=" &amp; SAÍDAS!$B369,ENTRADAS!$C$7:$C$1002,SAÍDAS!$C369)-SUMIFS(SAÍDAS!$J$7:$J$289,SAÍDAS!$B$7:$B$289,"&lt;=" &amp; SAÍDAS!$B369,SAÍDAS!$C$7:$C$289,SAÍDAS!$C369)</f>
        <v>5</v>
      </c>
      <c r="L369" s="179">
        <f t="shared" si="6"/>
        <v>0</v>
      </c>
    </row>
    <row r="370" spans="2:12" ht="15.75" customHeight="1">
      <c r="B370" s="173">
        <v>46066</v>
      </c>
      <c r="C370" s="182" t="s">
        <v>103</v>
      </c>
      <c r="D370" s="182">
        <v>2</v>
      </c>
      <c r="E370" s="185"/>
      <c r="F370" s="185"/>
      <c r="G370" s="185"/>
      <c r="H370" s="186"/>
      <c r="I370" s="177"/>
      <c r="J370" s="178">
        <f>SAÍDAS!$D370-SAÍDAS!$G370</f>
        <v>2</v>
      </c>
      <c r="K370" s="178">
        <f>SUMIFS(ENTRADAS!$E$7:$E$1002,ENTRADAS!$B$7:$B$1002,"&lt;=" &amp; SAÍDAS!$B370,ENTRADAS!$C$7:$C$1002,SAÍDAS!$C370)-SUMIFS(SAÍDAS!$J$7:$J$289,SAÍDAS!$B$7:$B$289,"&lt;=" &amp; SAÍDAS!$B370,SAÍDAS!$C$7:$C$289,SAÍDAS!$C370)</f>
        <v>106</v>
      </c>
      <c r="L370" s="179">
        <f t="shared" si="6"/>
        <v>0</v>
      </c>
    </row>
    <row r="371" spans="2:12" ht="15.75" customHeight="1">
      <c r="B371" s="173">
        <v>46066</v>
      </c>
      <c r="C371" s="182" t="s">
        <v>177</v>
      </c>
      <c r="D371" s="182">
        <v>2</v>
      </c>
      <c r="E371" s="185"/>
      <c r="F371" s="185"/>
      <c r="G371" s="185"/>
      <c r="H371" s="186"/>
      <c r="I371" s="177"/>
      <c r="J371" s="178">
        <f>SAÍDAS!$D371-SAÍDAS!$G371</f>
        <v>2</v>
      </c>
      <c r="K371" s="178">
        <f>SUMIFS(ENTRADAS!$E$7:$E$1002,ENTRADAS!$B$7:$B$1002,"&lt;=" &amp; SAÍDAS!$B371,ENTRADAS!$C$7:$C$1002,SAÍDAS!$C371)-SUMIFS(SAÍDAS!$J$7:$J$289,SAÍDAS!$B$7:$B$289,"&lt;=" &amp; SAÍDAS!$B371,SAÍDAS!$C$7:$C$289,SAÍDAS!$C371)</f>
        <v>14</v>
      </c>
      <c r="L371" s="179">
        <f t="shared" si="6"/>
        <v>0</v>
      </c>
    </row>
    <row r="372" spans="2:12" ht="15.75" customHeight="1">
      <c r="B372" s="173">
        <v>46066</v>
      </c>
      <c r="C372" s="182" t="s">
        <v>151</v>
      </c>
      <c r="D372" s="182">
        <v>1</v>
      </c>
      <c r="E372" s="185"/>
      <c r="F372" s="185"/>
      <c r="G372" s="185"/>
      <c r="H372" s="186"/>
      <c r="I372" s="177"/>
      <c r="J372" s="178">
        <f>SAÍDAS!$D372-SAÍDAS!$G372</f>
        <v>1</v>
      </c>
      <c r="K372" s="178">
        <f>SUMIFS(ENTRADAS!$E$7:$E$1002,ENTRADAS!$B$7:$B$1002,"&lt;=" &amp; SAÍDAS!$B372,ENTRADAS!$C$7:$C$1002,SAÍDAS!$C372)-SUMIFS(SAÍDAS!$J$7:$J$289,SAÍDAS!$B$7:$B$289,"&lt;=" &amp; SAÍDAS!$B372,SAÍDAS!$C$7:$C$289,SAÍDAS!$C372)</f>
        <v>13</v>
      </c>
      <c r="L372" s="179">
        <f t="shared" si="6"/>
        <v>0</v>
      </c>
    </row>
    <row r="373" spans="2:12" ht="15.75" customHeight="1">
      <c r="B373" s="173">
        <v>46066</v>
      </c>
      <c r="C373" s="182" t="s">
        <v>236</v>
      </c>
      <c r="D373" s="182">
        <v>2</v>
      </c>
      <c r="E373" s="185"/>
      <c r="F373" s="185"/>
      <c r="G373" s="185"/>
      <c r="H373" s="186"/>
      <c r="I373" s="177"/>
      <c r="J373" s="178">
        <f>SAÍDAS!$D373-SAÍDAS!$G373</f>
        <v>2</v>
      </c>
      <c r="K373" s="178">
        <f>SUMIFS(ENTRADAS!$E$7:$E$1002,ENTRADAS!$B$7:$B$1002,"&lt;=" &amp; SAÍDAS!$B373,ENTRADAS!$C$7:$C$1002,SAÍDAS!$C373)-SUMIFS(SAÍDAS!$J$7:$J$289,SAÍDAS!$B$7:$B$289,"&lt;=" &amp; SAÍDAS!$B373,SAÍDAS!$C$7:$C$289,SAÍDAS!$C373)</f>
        <v>1</v>
      </c>
      <c r="L373" s="179">
        <f t="shared" si="6"/>
        <v>0</v>
      </c>
    </row>
    <row r="374" spans="2:12" ht="15.75" customHeight="1">
      <c r="B374" s="173">
        <v>46066</v>
      </c>
      <c r="C374" s="182" t="s">
        <v>254</v>
      </c>
      <c r="D374" s="182">
        <v>1</v>
      </c>
      <c r="E374" s="185"/>
      <c r="F374" s="185"/>
      <c r="G374" s="185"/>
      <c r="H374" s="186"/>
      <c r="I374" s="177"/>
      <c r="J374" s="178">
        <f>SAÍDAS!$D374-SAÍDAS!$G374</f>
        <v>1</v>
      </c>
      <c r="K374" s="178">
        <f>SUMIFS(ENTRADAS!$E$7:$E$1002,ENTRADAS!$B$7:$B$1002,"&lt;=" &amp; SAÍDAS!$B374,ENTRADAS!$C$7:$C$1002,SAÍDAS!$C374)-SUMIFS(SAÍDAS!$J$7:$J$289,SAÍDAS!$B$7:$B$289,"&lt;=" &amp; SAÍDAS!$B374,SAÍDAS!$C$7:$C$289,SAÍDAS!$C374)</f>
        <v>14</v>
      </c>
      <c r="L374" s="179">
        <f t="shared" si="6"/>
        <v>0</v>
      </c>
    </row>
    <row r="375" spans="2:12" ht="15.75" customHeight="1">
      <c r="B375" s="173">
        <v>46066</v>
      </c>
      <c r="C375" s="182" t="s">
        <v>341</v>
      </c>
      <c r="D375" s="182">
        <v>2</v>
      </c>
      <c r="E375" s="185"/>
      <c r="F375" s="185"/>
      <c r="G375" s="185"/>
      <c r="H375" s="186"/>
      <c r="I375" s="177"/>
      <c r="J375" s="178">
        <f>SAÍDAS!$D375-SAÍDAS!$G375</f>
        <v>2</v>
      </c>
      <c r="K375" s="178">
        <f>SUMIFS(ENTRADAS!$E$7:$E$1002,ENTRADAS!$B$7:$B$1002,"&lt;=" &amp; SAÍDAS!$B375,ENTRADAS!$C$7:$C$1002,SAÍDAS!$C375)-SUMIFS(SAÍDAS!$J$7:$J$289,SAÍDAS!$B$7:$B$289,"&lt;=" &amp; SAÍDAS!$B375,SAÍDAS!$C$7:$C$289,SAÍDAS!$C375)</f>
        <v>0</v>
      </c>
      <c r="L375" s="179">
        <f t="shared" si="6"/>
        <v>0</v>
      </c>
    </row>
    <row r="376" spans="2:12" ht="15.75" customHeight="1">
      <c r="B376" s="173">
        <v>46066</v>
      </c>
      <c r="C376" s="182" t="s">
        <v>209</v>
      </c>
      <c r="D376" s="182">
        <v>1</v>
      </c>
      <c r="E376" s="185"/>
      <c r="F376" s="185"/>
      <c r="G376" s="185"/>
      <c r="H376" s="186"/>
      <c r="I376" s="177"/>
      <c r="J376" s="178">
        <f>SAÍDAS!$D376-SAÍDAS!$G376</f>
        <v>1</v>
      </c>
      <c r="K376" s="178">
        <f>SUMIFS(ENTRADAS!$E$7:$E$1002,ENTRADAS!$B$7:$B$1002,"&lt;=" &amp; SAÍDAS!$B376,ENTRADAS!$C$7:$C$1002,SAÍDAS!$C376)-SUMIFS(SAÍDAS!$J$7:$J$289,SAÍDAS!$B$7:$B$289,"&lt;=" &amp; SAÍDAS!$B376,SAÍDAS!$C$7:$C$289,SAÍDAS!$C376)</f>
        <v>6</v>
      </c>
      <c r="L376" s="179">
        <f t="shared" si="6"/>
        <v>0</v>
      </c>
    </row>
    <row r="377" spans="2:12" ht="15.75" customHeight="1">
      <c r="B377" s="173">
        <v>46066</v>
      </c>
      <c r="C377" s="182" t="s">
        <v>103</v>
      </c>
      <c r="D377" s="182">
        <v>3</v>
      </c>
      <c r="E377" s="185"/>
      <c r="F377" s="185"/>
      <c r="G377" s="185"/>
      <c r="H377" s="186"/>
      <c r="I377" s="177"/>
      <c r="J377" s="178">
        <f>SAÍDAS!$D377-SAÍDAS!$G377</f>
        <v>3</v>
      </c>
      <c r="K377" s="178">
        <f>SUMIFS(ENTRADAS!$E$7:$E$1002,ENTRADAS!$B$7:$B$1002,"&lt;=" &amp; SAÍDAS!$B377,ENTRADAS!$C$7:$C$1002,SAÍDAS!$C377)-SUMIFS(SAÍDAS!$J$7:$J$289,SAÍDAS!$B$7:$B$289,"&lt;=" &amp; SAÍDAS!$B377,SAÍDAS!$C$7:$C$289,SAÍDAS!$C377)</f>
        <v>106</v>
      </c>
      <c r="L377" s="179">
        <f t="shared" si="6"/>
        <v>0</v>
      </c>
    </row>
    <row r="378" spans="2:12" ht="15.75" customHeight="1">
      <c r="B378" s="173">
        <v>46066</v>
      </c>
      <c r="C378" s="182" t="s">
        <v>102</v>
      </c>
      <c r="D378" s="182">
        <v>3</v>
      </c>
      <c r="E378" s="185"/>
      <c r="F378" s="185"/>
      <c r="G378" s="185"/>
      <c r="H378" s="186"/>
      <c r="I378" s="177"/>
      <c r="J378" s="178">
        <f>SAÍDAS!$D378-SAÍDAS!$G378</f>
        <v>3</v>
      </c>
      <c r="K378" s="178">
        <f>SUMIFS(ENTRADAS!$E$7:$E$1002,ENTRADAS!$B$7:$B$1002,"&lt;=" &amp; SAÍDAS!$B378,ENTRADAS!$C$7:$C$1002,SAÍDAS!$C378)-SUMIFS(SAÍDAS!$J$7:$J$289,SAÍDAS!$B$7:$B$289,"&lt;=" &amp; SAÍDAS!$B378,SAÍDAS!$C$7:$C$289,SAÍDAS!$C378)</f>
        <v>103</v>
      </c>
      <c r="L378" s="179">
        <f t="shared" si="6"/>
        <v>0</v>
      </c>
    </row>
    <row r="379" spans="2:12" ht="15.75" customHeight="1">
      <c r="B379" s="173">
        <v>46066</v>
      </c>
      <c r="C379" s="182" t="s">
        <v>104</v>
      </c>
      <c r="D379" s="182">
        <v>2</v>
      </c>
      <c r="E379" s="185"/>
      <c r="F379" s="185"/>
      <c r="G379" s="185"/>
      <c r="H379" s="186"/>
      <c r="I379" s="177"/>
      <c r="J379" s="178">
        <f>SAÍDAS!$D379-SAÍDAS!$G379</f>
        <v>2</v>
      </c>
      <c r="K379" s="178">
        <f>SUMIFS(ENTRADAS!$E$7:$E$1002,ENTRADAS!$B$7:$B$1002,"&lt;=" &amp; SAÍDAS!$B379,ENTRADAS!$C$7:$C$1002,SAÍDAS!$C379)-SUMIFS(SAÍDAS!$J$7:$J$289,SAÍDAS!$B$7:$B$289,"&lt;=" &amp; SAÍDAS!$B379,SAÍDAS!$C$7:$C$289,SAÍDAS!$C379)</f>
        <v>24</v>
      </c>
      <c r="L379" s="179">
        <f t="shared" si="6"/>
        <v>0</v>
      </c>
    </row>
    <row r="380" spans="2:12" ht="15.75" customHeight="1">
      <c r="B380" s="173">
        <v>46069</v>
      </c>
      <c r="C380" s="182" t="s">
        <v>233</v>
      </c>
      <c r="D380" s="182">
        <v>3</v>
      </c>
      <c r="E380" s="185"/>
      <c r="F380" s="185"/>
      <c r="G380" s="185"/>
      <c r="H380" s="186"/>
      <c r="I380" s="177"/>
      <c r="J380" s="178">
        <f>SAÍDAS!$D380-SAÍDAS!$G380</f>
        <v>3</v>
      </c>
      <c r="K380" s="178">
        <f>SUMIFS(ENTRADAS!$E$7:$E$1002,ENTRADAS!$B$7:$B$1002,"&lt;=" &amp; SAÍDAS!$B380,ENTRADAS!$C$7:$C$1002,SAÍDAS!$C380)-SUMIFS(SAÍDAS!$J$7:$J$289,SAÍDAS!$B$7:$B$289,"&lt;=" &amp; SAÍDAS!$B380,SAÍDAS!$C$7:$C$289,SAÍDAS!$C380)</f>
        <v>64</v>
      </c>
      <c r="L380" s="179">
        <f t="shared" si="6"/>
        <v>0</v>
      </c>
    </row>
    <row r="381" spans="2:12" ht="15.75" customHeight="1">
      <c r="B381" s="173">
        <v>46069</v>
      </c>
      <c r="C381" s="182" t="s">
        <v>237</v>
      </c>
      <c r="D381" s="182">
        <v>3</v>
      </c>
      <c r="E381" s="185"/>
      <c r="F381" s="185"/>
      <c r="G381" s="185"/>
      <c r="H381" s="186"/>
      <c r="I381" s="177"/>
      <c r="J381" s="178">
        <f>SAÍDAS!$D381-SAÍDAS!$G381</f>
        <v>3</v>
      </c>
      <c r="K381" s="178">
        <f>SUMIFS(ENTRADAS!$E$7:$E$1002,ENTRADAS!$B$7:$B$1002,"&lt;=" &amp; SAÍDAS!$B381,ENTRADAS!$C$7:$C$1002,SAÍDAS!$C381)-SUMIFS(SAÍDAS!$J$7:$J$289,SAÍDAS!$B$7:$B$289,"&lt;=" &amp; SAÍDAS!$B381,SAÍDAS!$C$7:$C$289,SAÍDAS!$C381)</f>
        <v>47</v>
      </c>
      <c r="L381" s="179">
        <f t="shared" si="6"/>
        <v>0</v>
      </c>
    </row>
    <row r="382" spans="2:12" ht="15.75" customHeight="1">
      <c r="B382" s="173">
        <v>46069</v>
      </c>
      <c r="C382" s="182" t="s">
        <v>235</v>
      </c>
      <c r="D382" s="182">
        <v>1</v>
      </c>
      <c r="E382" s="185"/>
      <c r="F382" s="185"/>
      <c r="G382" s="185"/>
      <c r="H382" s="186"/>
      <c r="I382" s="177"/>
      <c r="J382" s="178">
        <f>SAÍDAS!$D382-SAÍDAS!$G382</f>
        <v>1</v>
      </c>
      <c r="K382" s="178">
        <f>SUMIFS(ENTRADAS!$E$7:$E$1002,ENTRADAS!$B$7:$B$1002,"&lt;=" &amp; SAÍDAS!$B382,ENTRADAS!$C$7:$C$1002,SAÍDAS!$C382)-SUMIFS(SAÍDAS!$J$7:$J$289,SAÍDAS!$B$7:$B$289,"&lt;=" &amp; SAÍDAS!$B382,SAÍDAS!$C$7:$C$289,SAÍDAS!$C382)</f>
        <v>25</v>
      </c>
      <c r="L382" s="179">
        <f t="shared" si="6"/>
        <v>0</v>
      </c>
    </row>
    <row r="383" spans="2:12" ht="15.75" customHeight="1">
      <c r="B383" s="173">
        <v>46069</v>
      </c>
      <c r="C383" s="182" t="s">
        <v>234</v>
      </c>
      <c r="D383" s="182">
        <v>4</v>
      </c>
      <c r="E383" s="185"/>
      <c r="F383" s="185"/>
      <c r="G383" s="185"/>
      <c r="H383" s="186"/>
      <c r="I383" s="177"/>
      <c r="J383" s="178">
        <f>SAÍDAS!$D383-SAÍDAS!$G383</f>
        <v>4</v>
      </c>
      <c r="K383" s="178">
        <f>SUMIFS(ENTRADAS!$E$7:$E$1002,ENTRADAS!$B$7:$B$1002,"&lt;=" &amp; SAÍDAS!$B383,ENTRADAS!$C$7:$C$1002,SAÍDAS!$C383)-SUMIFS(SAÍDAS!$J$7:$J$289,SAÍDAS!$B$7:$B$289,"&lt;=" &amp; SAÍDAS!$B383,SAÍDAS!$C$7:$C$289,SAÍDAS!$C383)</f>
        <v>35</v>
      </c>
      <c r="L383" s="179">
        <f t="shared" si="6"/>
        <v>0</v>
      </c>
    </row>
    <row r="384" spans="2:12" ht="15.75" customHeight="1">
      <c r="B384" s="173">
        <v>46069</v>
      </c>
      <c r="C384" s="182" t="s">
        <v>103</v>
      </c>
      <c r="D384" s="182">
        <v>2</v>
      </c>
      <c r="E384" s="185"/>
      <c r="F384" s="185"/>
      <c r="G384" s="185"/>
      <c r="H384" s="186"/>
      <c r="I384" s="177"/>
      <c r="J384" s="178">
        <f>SAÍDAS!$D384-SAÍDAS!$G384</f>
        <v>2</v>
      </c>
      <c r="K384" s="178">
        <f>SUMIFS(ENTRADAS!$E$7:$E$1002,ENTRADAS!$B$7:$B$1002,"&lt;=" &amp; SAÍDAS!$B384,ENTRADAS!$C$7:$C$1002,SAÍDAS!$C384)-SUMIFS(SAÍDAS!$J$7:$J$289,SAÍDAS!$B$7:$B$289,"&lt;=" &amp; SAÍDAS!$B384,SAÍDAS!$C$7:$C$289,SAÍDAS!$C384)</f>
        <v>106</v>
      </c>
      <c r="L384" s="179">
        <f t="shared" si="6"/>
        <v>0</v>
      </c>
    </row>
    <row r="385" spans="2:12" ht="15.75" customHeight="1">
      <c r="B385" s="173">
        <v>46069</v>
      </c>
      <c r="C385" s="182" t="s">
        <v>105</v>
      </c>
      <c r="D385" s="182">
        <v>1</v>
      </c>
      <c r="E385" s="185"/>
      <c r="F385" s="185"/>
      <c r="G385" s="185"/>
      <c r="H385" s="186"/>
      <c r="I385" s="177"/>
      <c r="J385" s="178">
        <f>SAÍDAS!$D385-SAÍDAS!$G385</f>
        <v>1</v>
      </c>
      <c r="K385" s="178">
        <f>SUMIFS(ENTRADAS!$E$7:$E$1002,ENTRADAS!$B$7:$B$1002,"&lt;=" &amp; SAÍDAS!$B385,ENTRADAS!$C$7:$C$1002,SAÍDAS!$C385)-SUMIFS(SAÍDAS!$J$7:$J$289,SAÍDAS!$B$7:$B$289,"&lt;=" &amp; SAÍDAS!$B385,SAÍDAS!$C$7:$C$289,SAÍDAS!$C385)</f>
        <v>13</v>
      </c>
      <c r="L385" s="179">
        <f t="shared" si="6"/>
        <v>0</v>
      </c>
    </row>
    <row r="386" spans="2:12" ht="15.75" customHeight="1">
      <c r="B386" s="173">
        <v>46069</v>
      </c>
      <c r="C386" s="182" t="s">
        <v>177</v>
      </c>
      <c r="D386" s="182">
        <v>1</v>
      </c>
      <c r="E386" s="185"/>
      <c r="F386" s="185"/>
      <c r="G386" s="185"/>
      <c r="H386" s="186"/>
      <c r="I386" s="177"/>
      <c r="J386" s="178">
        <f>SAÍDAS!$D386-SAÍDAS!$G386</f>
        <v>1</v>
      </c>
      <c r="K386" s="178">
        <f>SUMIFS(ENTRADAS!$E$7:$E$1002,ENTRADAS!$B$7:$B$1002,"&lt;=" &amp; SAÍDAS!$B386,ENTRADAS!$C$7:$C$1002,SAÍDAS!$C386)-SUMIFS(SAÍDAS!$J$7:$J$289,SAÍDAS!$B$7:$B$289,"&lt;=" &amp; SAÍDAS!$B386,SAÍDAS!$C$7:$C$289,SAÍDAS!$C386)</f>
        <v>14</v>
      </c>
      <c r="L386" s="179">
        <f t="shared" si="6"/>
        <v>0</v>
      </c>
    </row>
    <row r="387" spans="2:12" ht="15.75" customHeight="1">
      <c r="B387" s="173">
        <v>46069</v>
      </c>
      <c r="C387" s="182" t="s">
        <v>169</v>
      </c>
      <c r="D387" s="182">
        <v>1</v>
      </c>
      <c r="E387" s="185"/>
      <c r="F387" s="185"/>
      <c r="G387" s="185"/>
      <c r="H387" s="186"/>
      <c r="I387" s="177"/>
      <c r="J387" s="178">
        <f>SAÍDAS!$D387-SAÍDAS!$G387</f>
        <v>1</v>
      </c>
      <c r="K387" s="178">
        <f>SUMIFS(ENTRADAS!$E$7:$E$1002,ENTRADAS!$B$7:$B$1002,"&lt;=" &amp; SAÍDAS!$B387,ENTRADAS!$C$7:$C$1002,SAÍDAS!$C387)-SUMIFS(SAÍDAS!$J$7:$J$289,SAÍDAS!$B$7:$B$289,"&lt;=" &amp; SAÍDAS!$B387,SAÍDAS!$C$7:$C$289,SAÍDAS!$C387)</f>
        <v>13</v>
      </c>
      <c r="L387" s="179">
        <f t="shared" si="6"/>
        <v>0</v>
      </c>
    </row>
    <row r="388" spans="2:12" ht="15.75" customHeight="1">
      <c r="B388" s="173">
        <v>46069</v>
      </c>
      <c r="C388" s="182" t="s">
        <v>168</v>
      </c>
      <c r="D388" s="182">
        <v>2</v>
      </c>
      <c r="E388" s="185"/>
      <c r="F388" s="185"/>
      <c r="G388" s="185"/>
      <c r="H388" s="186"/>
      <c r="I388" s="177"/>
      <c r="J388" s="178">
        <f>SAÍDAS!$D388-SAÍDAS!$G388</f>
        <v>2</v>
      </c>
      <c r="K388" s="178">
        <f>SUMIFS(ENTRADAS!$E$7:$E$1002,ENTRADAS!$B$7:$B$1002,"&lt;=" &amp; SAÍDAS!$B388,ENTRADAS!$C$7:$C$1002,SAÍDAS!$C388)-SUMIFS(SAÍDAS!$J$7:$J$289,SAÍDAS!$B$7:$B$289,"&lt;=" &amp; SAÍDAS!$B388,SAÍDAS!$C$7:$C$289,SAÍDAS!$C388)</f>
        <v>11</v>
      </c>
      <c r="L388" s="179">
        <f t="shared" si="6"/>
        <v>0</v>
      </c>
    </row>
    <row r="389" spans="2:12" ht="15.75" customHeight="1">
      <c r="B389" s="173">
        <v>46069</v>
      </c>
      <c r="C389" s="182" t="s">
        <v>92</v>
      </c>
      <c r="D389" s="182">
        <v>1</v>
      </c>
      <c r="E389" s="185"/>
      <c r="F389" s="185"/>
      <c r="G389" s="185"/>
      <c r="H389" s="186"/>
      <c r="I389" s="177"/>
      <c r="J389" s="178">
        <f>SAÍDAS!$D389-SAÍDAS!$G389</f>
        <v>1</v>
      </c>
      <c r="K389" s="178">
        <f>SUMIFS(ENTRADAS!$E$7:$E$1002,ENTRADAS!$B$7:$B$1002,"&lt;=" &amp; SAÍDAS!$B389,ENTRADAS!$C$7:$C$1002,SAÍDAS!$C389)-SUMIFS(SAÍDAS!$J$7:$J$289,SAÍDAS!$B$7:$B$289,"&lt;=" &amp; SAÍDAS!$B389,SAÍDAS!$C$7:$C$289,SAÍDAS!$C389)</f>
        <v>36</v>
      </c>
      <c r="L389" s="179">
        <f t="shared" si="6"/>
        <v>0</v>
      </c>
    </row>
    <row r="390" spans="2:12" ht="15.75" customHeight="1">
      <c r="B390" s="173">
        <v>46069</v>
      </c>
      <c r="C390" s="182" t="s">
        <v>108</v>
      </c>
      <c r="D390" s="182">
        <v>1</v>
      </c>
      <c r="E390" s="185"/>
      <c r="F390" s="185"/>
      <c r="G390" s="185"/>
      <c r="H390" s="186"/>
      <c r="I390" s="177"/>
      <c r="J390" s="178">
        <f>SAÍDAS!$D390-SAÍDAS!$G390</f>
        <v>1</v>
      </c>
      <c r="K390" s="178">
        <f>SUMIFS(ENTRADAS!$E$7:$E$1002,ENTRADAS!$B$7:$B$1002,"&lt;=" &amp; SAÍDAS!$B390,ENTRADAS!$C$7:$C$1002,SAÍDAS!$C390)-SUMIFS(SAÍDAS!$J$7:$J$289,SAÍDAS!$B$7:$B$289,"&lt;=" &amp; SAÍDAS!$B390,SAÍDAS!$C$7:$C$289,SAÍDAS!$C390)</f>
        <v>35</v>
      </c>
      <c r="L390" s="179">
        <f t="shared" si="6"/>
        <v>0</v>
      </c>
    </row>
    <row r="391" spans="2:12" ht="15.75" customHeight="1">
      <c r="B391" s="173">
        <v>46069</v>
      </c>
      <c r="C391" s="182" t="s">
        <v>341</v>
      </c>
      <c r="D391" s="182">
        <v>2</v>
      </c>
      <c r="E391" s="185"/>
      <c r="F391" s="185"/>
      <c r="G391" s="185"/>
      <c r="H391" s="186"/>
      <c r="I391" s="177"/>
      <c r="J391" s="178">
        <f>SAÍDAS!$D391-SAÍDAS!$G391</f>
        <v>2</v>
      </c>
      <c r="K391" s="178">
        <f>SUMIFS(ENTRADAS!$E$7:$E$1002,ENTRADAS!$B$7:$B$1002,"&lt;=" &amp; SAÍDAS!$B391,ENTRADAS!$C$7:$C$1002,SAÍDAS!$C391)-SUMIFS(SAÍDAS!$J$7:$J$289,SAÍDAS!$B$7:$B$289,"&lt;=" &amp; SAÍDAS!$B391,SAÍDAS!$C$7:$C$289,SAÍDAS!$C391)</f>
        <v>0</v>
      </c>
      <c r="L391" s="179">
        <f t="shared" ref="L391:L420" si="7">I391*J391</f>
        <v>0</v>
      </c>
    </row>
    <row r="392" spans="2:12" ht="15.75" customHeight="1">
      <c r="B392" s="173">
        <v>46069</v>
      </c>
      <c r="C392" s="182" t="s">
        <v>105</v>
      </c>
      <c r="D392" s="182">
        <v>1</v>
      </c>
      <c r="E392" s="185"/>
      <c r="F392" s="185"/>
      <c r="G392" s="185"/>
      <c r="H392" s="186"/>
      <c r="I392" s="177"/>
      <c r="J392" s="178">
        <f>SAÍDAS!$D392-SAÍDAS!$G392</f>
        <v>1</v>
      </c>
      <c r="K392" s="178">
        <f>SUMIFS(ENTRADAS!$E$7:$E$1002,ENTRADAS!$B$7:$B$1002,"&lt;=" &amp; SAÍDAS!$B392,ENTRADAS!$C$7:$C$1002,SAÍDAS!$C392)-SUMIFS(SAÍDAS!$J$7:$J$289,SAÍDAS!$B$7:$B$289,"&lt;=" &amp; SAÍDAS!$B392,SAÍDAS!$C$7:$C$289,SAÍDAS!$C392)</f>
        <v>13</v>
      </c>
      <c r="L392" s="179">
        <f t="shared" si="7"/>
        <v>0</v>
      </c>
    </row>
    <row r="393" spans="2:12" ht="15.75" customHeight="1">
      <c r="B393" s="173">
        <v>46069</v>
      </c>
      <c r="C393" s="182" t="s">
        <v>102</v>
      </c>
      <c r="D393" s="182">
        <v>1</v>
      </c>
      <c r="E393" s="185"/>
      <c r="F393" s="185"/>
      <c r="G393" s="185"/>
      <c r="H393" s="186"/>
      <c r="I393" s="177"/>
      <c r="J393" s="178">
        <f>SAÍDAS!$D393-SAÍDAS!$G393</f>
        <v>1</v>
      </c>
      <c r="K393" s="178">
        <f>SUMIFS(ENTRADAS!$E$7:$E$1002,ENTRADAS!$B$7:$B$1002,"&lt;=" &amp; SAÍDAS!$B393,ENTRADAS!$C$7:$C$1002,SAÍDAS!$C393)-SUMIFS(SAÍDAS!$J$7:$J$289,SAÍDAS!$B$7:$B$289,"&lt;=" &amp; SAÍDAS!$B393,SAÍDAS!$C$7:$C$289,SAÍDAS!$C393)</f>
        <v>103</v>
      </c>
      <c r="L393" s="179">
        <f t="shared" si="7"/>
        <v>0</v>
      </c>
    </row>
    <row r="394" spans="2:12" ht="15.75" customHeight="1">
      <c r="B394" s="173">
        <v>46069</v>
      </c>
      <c r="C394" s="182" t="s">
        <v>127</v>
      </c>
      <c r="D394" s="182">
        <v>1</v>
      </c>
      <c r="E394" s="185"/>
      <c r="F394" s="185"/>
      <c r="G394" s="185"/>
      <c r="H394" s="186"/>
      <c r="I394" s="177"/>
      <c r="J394" s="178">
        <f>SAÍDAS!$D394-SAÍDAS!$G394</f>
        <v>1</v>
      </c>
      <c r="K394" s="178">
        <f>SUMIFS(ENTRADAS!$E$7:$E$1002,ENTRADAS!$B$7:$B$1002,"&lt;=" &amp; SAÍDAS!$B394,ENTRADAS!$C$7:$C$1002,SAÍDAS!$C394)-SUMIFS(SAÍDAS!$J$7:$J$289,SAÍDAS!$B$7:$B$289,"&lt;=" &amp; SAÍDAS!$B394,SAÍDAS!$C$7:$C$289,SAÍDAS!$C394)</f>
        <v>6</v>
      </c>
      <c r="L394" s="179">
        <f t="shared" si="7"/>
        <v>0</v>
      </c>
    </row>
    <row r="395" spans="2:12" ht="15.75" customHeight="1">
      <c r="B395" s="173">
        <v>46069</v>
      </c>
      <c r="C395" s="182" t="s">
        <v>218</v>
      </c>
      <c r="D395" s="182">
        <v>1</v>
      </c>
      <c r="E395" s="185"/>
      <c r="F395" s="185"/>
      <c r="G395" s="185"/>
      <c r="H395" s="186"/>
      <c r="I395" s="177"/>
      <c r="J395" s="178">
        <f>SAÍDAS!$D395-SAÍDAS!$G395</f>
        <v>1</v>
      </c>
      <c r="K395" s="178">
        <f>SUMIFS(ENTRADAS!$E$7:$E$1002,ENTRADAS!$B$7:$B$1002,"&lt;=" &amp; SAÍDAS!$B395,ENTRADAS!$C$7:$C$1002,SAÍDAS!$C395)-SUMIFS(SAÍDAS!$J$7:$J$289,SAÍDAS!$B$7:$B$289,"&lt;=" &amp; SAÍDAS!$B395,SAÍDAS!$C$7:$C$289,SAÍDAS!$C395)</f>
        <v>3</v>
      </c>
      <c r="L395" s="179">
        <f t="shared" si="7"/>
        <v>0</v>
      </c>
    </row>
    <row r="396" spans="2:12" ht="15.75" customHeight="1">
      <c r="B396" s="173">
        <v>46069</v>
      </c>
      <c r="C396" s="182" t="s">
        <v>107</v>
      </c>
      <c r="D396" s="182">
        <v>1</v>
      </c>
      <c r="E396" s="185"/>
      <c r="F396" s="185"/>
      <c r="G396" s="185"/>
      <c r="H396" s="186"/>
      <c r="I396" s="177"/>
      <c r="J396" s="178">
        <f>SAÍDAS!$D396-SAÍDAS!$G396</f>
        <v>1</v>
      </c>
      <c r="K396" s="178">
        <f>SUMIFS(ENTRADAS!$E$7:$E$1002,ENTRADAS!$B$7:$B$1002,"&lt;=" &amp; SAÍDAS!$B396,ENTRADAS!$C$7:$C$1002,SAÍDAS!$C396)-SUMIFS(SAÍDAS!$J$7:$J$289,SAÍDAS!$B$7:$B$289,"&lt;=" &amp; SAÍDAS!$B396,SAÍDAS!$C$7:$C$289,SAÍDAS!$C396)</f>
        <v>19</v>
      </c>
      <c r="L396" s="179">
        <f t="shared" si="7"/>
        <v>0</v>
      </c>
    </row>
    <row r="397" spans="2:12" ht="15.75" customHeight="1">
      <c r="B397" s="173">
        <v>46069</v>
      </c>
      <c r="C397" s="182" t="s">
        <v>94</v>
      </c>
      <c r="D397" s="182">
        <v>1</v>
      </c>
      <c r="E397" s="185"/>
      <c r="F397" s="185"/>
      <c r="G397" s="185"/>
      <c r="H397" s="186"/>
      <c r="I397" s="177"/>
      <c r="J397" s="178">
        <f>SAÍDAS!$D397-SAÍDAS!$G397</f>
        <v>1</v>
      </c>
      <c r="K397" s="178">
        <f>SUMIFS(ENTRADAS!$E$7:$E$1002,ENTRADAS!$B$7:$B$1002,"&lt;=" &amp; SAÍDAS!$B397,ENTRADAS!$C$7:$C$1002,SAÍDAS!$C397)-SUMIFS(SAÍDAS!$J$7:$J$289,SAÍDAS!$B$7:$B$289,"&lt;=" &amp; SAÍDAS!$B397,SAÍDAS!$C$7:$C$289,SAÍDAS!$C397)</f>
        <v>21</v>
      </c>
      <c r="L397" s="179">
        <f t="shared" si="7"/>
        <v>0</v>
      </c>
    </row>
    <row r="398" spans="2:12" ht="15.75" customHeight="1">
      <c r="B398" s="173">
        <v>46069</v>
      </c>
      <c r="C398" s="182" t="s">
        <v>134</v>
      </c>
      <c r="D398" s="182">
        <v>1</v>
      </c>
      <c r="E398" s="185"/>
      <c r="F398" s="185"/>
      <c r="G398" s="185"/>
      <c r="H398" s="186"/>
      <c r="I398" s="177"/>
      <c r="J398" s="178">
        <f>SAÍDAS!$D398-SAÍDAS!$G398</f>
        <v>1</v>
      </c>
      <c r="K398" s="178">
        <f>SUMIFS(ENTRADAS!$E$7:$E$1002,ENTRADAS!$B$7:$B$1002,"&lt;=" &amp; SAÍDAS!$B398,ENTRADAS!$C$7:$C$1002,SAÍDAS!$C398)-SUMIFS(SAÍDAS!$J$7:$J$289,SAÍDAS!$B$7:$B$289,"&lt;=" &amp; SAÍDAS!$B398,SAÍDAS!$C$7:$C$289,SAÍDAS!$C398)</f>
        <v>3</v>
      </c>
      <c r="L398" s="179">
        <f t="shared" si="7"/>
        <v>0</v>
      </c>
    </row>
    <row r="399" spans="2:12" ht="15.75" customHeight="1">
      <c r="B399" s="173">
        <v>46069</v>
      </c>
      <c r="C399" s="182" t="s">
        <v>193</v>
      </c>
      <c r="D399" s="182">
        <v>1</v>
      </c>
      <c r="E399" s="185"/>
      <c r="F399" s="185"/>
      <c r="G399" s="185"/>
      <c r="H399" s="186"/>
      <c r="I399" s="177"/>
      <c r="J399" s="178">
        <f>SAÍDAS!$D399-SAÍDAS!$G399</f>
        <v>1</v>
      </c>
      <c r="K399" s="178">
        <f>SUMIFS(ENTRADAS!$E$7:$E$1002,ENTRADAS!$B$7:$B$1002,"&lt;=" &amp; SAÍDAS!$B399,ENTRADAS!$C$7:$C$1002,SAÍDAS!$C399)-SUMIFS(SAÍDAS!$J$7:$J$289,SAÍDAS!$B$7:$B$289,"&lt;=" &amp; SAÍDAS!$B399,SAÍDAS!$C$7:$C$289,SAÍDAS!$C399)</f>
        <v>23</v>
      </c>
      <c r="L399" s="179">
        <f t="shared" si="7"/>
        <v>0</v>
      </c>
    </row>
    <row r="400" spans="2:12" ht="15.75" customHeight="1">
      <c r="B400" s="173">
        <v>46069</v>
      </c>
      <c r="C400" s="182" t="s">
        <v>196</v>
      </c>
      <c r="D400" s="182">
        <v>1</v>
      </c>
      <c r="E400" s="185"/>
      <c r="F400" s="185"/>
      <c r="G400" s="185"/>
      <c r="H400" s="186"/>
      <c r="I400" s="177"/>
      <c r="J400" s="178">
        <f>SAÍDAS!$D400-SAÍDAS!$G400</f>
        <v>1</v>
      </c>
      <c r="K400" s="178">
        <f>SUMIFS(ENTRADAS!$E$7:$E$1002,ENTRADAS!$B$7:$B$1002,"&lt;=" &amp; SAÍDAS!$B400,ENTRADAS!$C$7:$C$1002,SAÍDAS!$C400)-SUMIFS(SAÍDAS!$J$7:$J$289,SAÍDAS!$B$7:$B$289,"&lt;=" &amp; SAÍDAS!$B400,SAÍDAS!$C$7:$C$289,SAÍDAS!$C400)</f>
        <v>3</v>
      </c>
      <c r="L400" s="179">
        <f t="shared" si="7"/>
        <v>0</v>
      </c>
    </row>
    <row r="401" spans="2:12" ht="15.75" customHeight="1">
      <c r="B401" s="173">
        <v>46070</v>
      </c>
      <c r="C401" s="182" t="s">
        <v>233</v>
      </c>
      <c r="D401" s="182">
        <v>4</v>
      </c>
      <c r="E401" s="185"/>
      <c r="F401" s="185"/>
      <c r="G401" s="185"/>
      <c r="H401" s="186"/>
      <c r="I401" s="177"/>
      <c r="J401" s="178">
        <f>SAÍDAS!$D401-SAÍDAS!$G401</f>
        <v>4</v>
      </c>
      <c r="K401" s="178">
        <f>SUMIFS(ENTRADAS!$E$7:$E$1002,ENTRADAS!$B$7:$B$1002,"&lt;=" &amp; SAÍDAS!$B401,ENTRADAS!$C$7:$C$1002,SAÍDAS!$C401)-SUMIFS(SAÍDAS!$J$7:$J$289,SAÍDAS!$B$7:$B$289,"&lt;=" &amp; SAÍDAS!$B401,SAÍDAS!$C$7:$C$289,SAÍDAS!$C401)</f>
        <v>64</v>
      </c>
      <c r="L401" s="179">
        <f t="shared" si="7"/>
        <v>0</v>
      </c>
    </row>
    <row r="402" spans="2:12" ht="15.75" customHeight="1">
      <c r="B402" s="173">
        <v>46070</v>
      </c>
      <c r="C402" s="182" t="s">
        <v>255</v>
      </c>
      <c r="D402" s="182">
        <v>3</v>
      </c>
      <c r="E402" s="185"/>
      <c r="F402" s="185"/>
      <c r="G402" s="185"/>
      <c r="H402" s="186"/>
      <c r="I402" s="177"/>
      <c r="J402" s="178">
        <f>SAÍDAS!$D402-SAÍDAS!$G402</f>
        <v>3</v>
      </c>
      <c r="K402" s="178">
        <f>SUMIFS(ENTRADAS!$E$7:$E$1002,ENTRADAS!$B$7:$B$1002,"&lt;=" &amp; SAÍDAS!$B402,ENTRADAS!$C$7:$C$1002,SAÍDAS!$C402)-SUMIFS(SAÍDAS!$J$7:$J$289,SAÍDAS!$B$7:$B$289,"&lt;=" &amp; SAÍDAS!$B402,SAÍDAS!$C$7:$C$289,SAÍDAS!$C402)</f>
        <v>13</v>
      </c>
      <c r="L402" s="179">
        <f t="shared" si="7"/>
        <v>0</v>
      </c>
    </row>
    <row r="403" spans="2:12" ht="15.75" customHeight="1">
      <c r="B403" s="173">
        <v>46070</v>
      </c>
      <c r="C403" s="182" t="s">
        <v>103</v>
      </c>
      <c r="D403" s="182">
        <v>1</v>
      </c>
      <c r="E403" s="185"/>
      <c r="F403" s="185"/>
      <c r="G403" s="185"/>
      <c r="H403" s="186"/>
      <c r="I403" s="177"/>
      <c r="J403" s="178">
        <f>SAÍDAS!$D403-SAÍDAS!$G403</f>
        <v>1</v>
      </c>
      <c r="K403" s="178">
        <f>SUMIFS(ENTRADAS!$E$7:$E$1002,ENTRADAS!$B$7:$B$1002,"&lt;=" &amp; SAÍDAS!$B403,ENTRADAS!$C$7:$C$1002,SAÍDAS!$C403)-SUMIFS(SAÍDAS!$J$7:$J$289,SAÍDAS!$B$7:$B$289,"&lt;=" &amp; SAÍDAS!$B403,SAÍDAS!$C$7:$C$289,SAÍDAS!$C403)</f>
        <v>106</v>
      </c>
      <c r="L403" s="179">
        <f t="shared" si="7"/>
        <v>0</v>
      </c>
    </row>
    <row r="404" spans="2:12" ht="15.75" customHeight="1">
      <c r="B404" s="173">
        <v>46070</v>
      </c>
      <c r="C404" s="182" t="s">
        <v>101</v>
      </c>
      <c r="D404" s="182">
        <v>1</v>
      </c>
      <c r="E404" s="185"/>
      <c r="F404" s="185"/>
      <c r="G404" s="185"/>
      <c r="H404" s="186"/>
      <c r="I404" s="177"/>
      <c r="J404" s="178">
        <f>SAÍDAS!$D404-SAÍDAS!$G404</f>
        <v>1</v>
      </c>
      <c r="K404" s="178">
        <f>SUMIFS(ENTRADAS!$E$7:$E$1002,ENTRADAS!$B$7:$B$1002,"&lt;=" &amp; SAÍDAS!$B404,ENTRADAS!$C$7:$C$1002,SAÍDAS!$C404)-SUMIFS(SAÍDAS!$J$7:$J$289,SAÍDAS!$B$7:$B$289,"&lt;=" &amp; SAÍDAS!$B404,SAÍDAS!$C$7:$C$289,SAÍDAS!$C404)</f>
        <v>5</v>
      </c>
      <c r="L404" s="179">
        <f t="shared" si="7"/>
        <v>0</v>
      </c>
    </row>
    <row r="405" spans="2:12" ht="15.75" customHeight="1">
      <c r="B405" s="173">
        <v>46070</v>
      </c>
      <c r="C405" s="182" t="s">
        <v>168</v>
      </c>
      <c r="D405" s="182">
        <v>1</v>
      </c>
      <c r="E405" s="185"/>
      <c r="F405" s="185"/>
      <c r="G405" s="185"/>
      <c r="H405" s="186"/>
      <c r="I405" s="177"/>
      <c r="J405" s="178">
        <f>SAÍDAS!$D405-SAÍDAS!$G405</f>
        <v>1</v>
      </c>
      <c r="K405" s="178">
        <f>SUMIFS(ENTRADAS!$E$7:$E$1002,ENTRADAS!$B$7:$B$1002,"&lt;=" &amp; SAÍDAS!$B405,ENTRADAS!$C$7:$C$1002,SAÍDAS!$C405)-SUMIFS(SAÍDAS!$J$7:$J$289,SAÍDAS!$B$7:$B$289,"&lt;=" &amp; SAÍDAS!$B405,SAÍDAS!$C$7:$C$289,SAÍDAS!$C405)</f>
        <v>11</v>
      </c>
      <c r="L405" s="179">
        <f t="shared" si="7"/>
        <v>0</v>
      </c>
    </row>
    <row r="406" spans="2:12" ht="15.75" customHeight="1">
      <c r="B406" s="173">
        <v>46070</v>
      </c>
      <c r="C406" s="182" t="s">
        <v>169</v>
      </c>
      <c r="D406" s="182">
        <v>1</v>
      </c>
      <c r="E406" s="185"/>
      <c r="F406" s="185"/>
      <c r="G406" s="185"/>
      <c r="H406" s="186"/>
      <c r="I406" s="177"/>
      <c r="J406" s="178">
        <f>SAÍDAS!$D406-SAÍDAS!$G406</f>
        <v>1</v>
      </c>
      <c r="K406" s="178">
        <f>SUMIFS(ENTRADAS!$E$7:$E$1002,ENTRADAS!$B$7:$B$1002,"&lt;=" &amp; SAÍDAS!$B406,ENTRADAS!$C$7:$C$1002,SAÍDAS!$C406)-SUMIFS(SAÍDAS!$J$7:$J$289,SAÍDAS!$B$7:$B$289,"&lt;=" &amp; SAÍDAS!$B406,SAÍDAS!$C$7:$C$289,SAÍDAS!$C406)</f>
        <v>13</v>
      </c>
      <c r="L406" s="179">
        <f t="shared" si="7"/>
        <v>0</v>
      </c>
    </row>
    <row r="407" spans="2:12" ht="15.75" customHeight="1">
      <c r="B407" s="173">
        <v>46070</v>
      </c>
      <c r="C407" s="182" t="s">
        <v>172</v>
      </c>
      <c r="D407" s="182">
        <v>1</v>
      </c>
      <c r="E407" s="185"/>
      <c r="F407" s="185"/>
      <c r="G407" s="185"/>
      <c r="H407" s="186"/>
      <c r="I407" s="177"/>
      <c r="J407" s="178">
        <f>SAÍDAS!$D407-SAÍDAS!$G407</f>
        <v>1</v>
      </c>
      <c r="K407" s="178">
        <f>SUMIFS(ENTRADAS!$E$7:$E$1002,ENTRADAS!$B$7:$B$1002,"&lt;=" &amp; SAÍDAS!$B407,ENTRADAS!$C$7:$C$1002,SAÍDAS!$C407)-SUMIFS(SAÍDAS!$J$7:$J$289,SAÍDAS!$B$7:$B$289,"&lt;=" &amp; SAÍDAS!$B407,SAÍDAS!$C$7:$C$289,SAÍDAS!$C407)</f>
        <v>9</v>
      </c>
      <c r="L407" s="179">
        <f t="shared" si="7"/>
        <v>0</v>
      </c>
    </row>
    <row r="408" spans="2:12" ht="15.75" customHeight="1">
      <c r="B408" s="173">
        <v>46070</v>
      </c>
      <c r="C408" s="182" t="s">
        <v>113</v>
      </c>
      <c r="D408" s="182">
        <v>1</v>
      </c>
      <c r="E408" s="185"/>
      <c r="F408" s="185"/>
      <c r="G408" s="185"/>
      <c r="H408" s="186"/>
      <c r="I408" s="177"/>
      <c r="J408" s="178">
        <f>SAÍDAS!$D408-SAÍDAS!$G408</f>
        <v>1</v>
      </c>
      <c r="K408" s="178">
        <f>SUMIFS(ENTRADAS!$E$7:$E$1002,ENTRADAS!$B$7:$B$1002,"&lt;=" &amp; SAÍDAS!$B408,ENTRADAS!$C$7:$C$1002,SAÍDAS!$C408)-SUMIFS(SAÍDAS!$J$7:$J$289,SAÍDAS!$B$7:$B$289,"&lt;=" &amp; SAÍDAS!$B408,SAÍDAS!$C$7:$C$289,SAÍDAS!$C408)</f>
        <v>2</v>
      </c>
      <c r="L408" s="179">
        <f t="shared" si="7"/>
        <v>0</v>
      </c>
    </row>
    <row r="409" spans="2:12" ht="15.75" customHeight="1">
      <c r="B409" s="173">
        <v>46070</v>
      </c>
      <c r="C409" s="182" t="s">
        <v>115</v>
      </c>
      <c r="D409" s="182">
        <v>1</v>
      </c>
      <c r="E409" s="185"/>
      <c r="F409" s="185"/>
      <c r="G409" s="185"/>
      <c r="H409" s="186"/>
      <c r="I409" s="177"/>
      <c r="J409" s="178">
        <f>SAÍDAS!$D409-SAÍDAS!$G409</f>
        <v>1</v>
      </c>
      <c r="K409" s="178">
        <f>SUMIFS(ENTRADAS!$E$7:$E$1002,ENTRADAS!$B$7:$B$1002,"&lt;=" &amp; SAÍDAS!$B409,ENTRADAS!$C$7:$C$1002,SAÍDAS!$C409)-SUMIFS(SAÍDAS!$J$7:$J$289,SAÍDAS!$B$7:$B$289,"&lt;=" &amp; SAÍDAS!$B409,SAÍDAS!$C$7:$C$289,SAÍDAS!$C409)</f>
        <v>3</v>
      </c>
      <c r="L409" s="179">
        <f t="shared" si="7"/>
        <v>0</v>
      </c>
    </row>
    <row r="410" spans="2:12" ht="15.75" customHeight="1">
      <c r="B410" s="173">
        <v>46070</v>
      </c>
      <c r="C410" s="182" t="s">
        <v>92</v>
      </c>
      <c r="D410" s="182">
        <v>1</v>
      </c>
      <c r="E410" s="185"/>
      <c r="F410" s="185"/>
      <c r="G410" s="185"/>
      <c r="H410" s="186"/>
      <c r="I410" s="177"/>
      <c r="J410" s="178">
        <f>SAÍDAS!$D410-SAÍDAS!$G410</f>
        <v>1</v>
      </c>
      <c r="K410" s="178">
        <f>SUMIFS(ENTRADAS!$E$7:$E$1002,ENTRADAS!$B$7:$B$1002,"&lt;=" &amp; SAÍDAS!$B410,ENTRADAS!$C$7:$C$1002,SAÍDAS!$C410)-SUMIFS(SAÍDAS!$J$7:$J$289,SAÍDAS!$B$7:$B$289,"&lt;=" &amp; SAÍDAS!$B410,SAÍDAS!$C$7:$C$289,SAÍDAS!$C410)</f>
        <v>36</v>
      </c>
      <c r="L410" s="179">
        <f t="shared" si="7"/>
        <v>0</v>
      </c>
    </row>
    <row r="411" spans="2:12" ht="15.75" customHeight="1">
      <c r="B411" s="173">
        <v>46070</v>
      </c>
      <c r="C411" s="182" t="s">
        <v>218</v>
      </c>
      <c r="D411" s="182">
        <v>4</v>
      </c>
      <c r="E411" s="185"/>
      <c r="F411" s="185"/>
      <c r="G411" s="185"/>
      <c r="H411" s="186"/>
      <c r="I411" s="177"/>
      <c r="J411" s="178">
        <f>SAÍDAS!$D411-SAÍDAS!$G411</f>
        <v>4</v>
      </c>
      <c r="K411" s="178">
        <f>SUMIFS(ENTRADAS!$E$7:$E$1002,ENTRADAS!$B$7:$B$1002,"&lt;=" &amp; SAÍDAS!$B411,ENTRADAS!$C$7:$C$1002,SAÍDAS!$C411)-SUMIFS(SAÍDAS!$J$7:$J$289,SAÍDAS!$B$7:$B$289,"&lt;=" &amp; SAÍDAS!$B411,SAÍDAS!$C$7:$C$289,SAÍDAS!$C411)</f>
        <v>3</v>
      </c>
      <c r="L411" s="179">
        <f t="shared" si="7"/>
        <v>0</v>
      </c>
    </row>
    <row r="412" spans="2:12" ht="15.75" customHeight="1">
      <c r="B412" s="173">
        <v>46070</v>
      </c>
      <c r="C412" s="182" t="s">
        <v>107</v>
      </c>
      <c r="D412" s="182">
        <v>2</v>
      </c>
      <c r="E412" s="185"/>
      <c r="F412" s="185"/>
      <c r="G412" s="185"/>
      <c r="H412" s="186"/>
      <c r="I412" s="177"/>
      <c r="J412" s="178">
        <f>SAÍDAS!$D412-SAÍDAS!$G412</f>
        <v>2</v>
      </c>
      <c r="K412" s="178">
        <f>SUMIFS(ENTRADAS!$E$7:$E$1002,ENTRADAS!$B$7:$B$1002,"&lt;=" &amp; SAÍDAS!$B412,ENTRADAS!$C$7:$C$1002,SAÍDAS!$C412)-SUMIFS(SAÍDAS!$J$7:$J$289,SAÍDAS!$B$7:$B$289,"&lt;=" &amp; SAÍDAS!$B412,SAÍDAS!$C$7:$C$289,SAÍDAS!$C412)</f>
        <v>19</v>
      </c>
      <c r="L412" s="179">
        <f t="shared" si="7"/>
        <v>0</v>
      </c>
    </row>
    <row r="413" spans="2:12" ht="15.75" customHeight="1">
      <c r="B413" s="173">
        <v>46070</v>
      </c>
      <c r="C413" s="182" t="s">
        <v>262</v>
      </c>
      <c r="D413" s="182">
        <v>1</v>
      </c>
      <c r="E413" s="185"/>
      <c r="F413" s="185"/>
      <c r="G413" s="185"/>
      <c r="H413" s="186"/>
      <c r="I413" s="177"/>
      <c r="J413" s="178">
        <f>SAÍDAS!$D413-SAÍDAS!$G413</f>
        <v>1</v>
      </c>
      <c r="K413" s="178">
        <f>SUMIFS(ENTRADAS!$E$7:$E$1002,ENTRADAS!$B$7:$B$1002,"&lt;=" &amp; SAÍDAS!$B413,ENTRADAS!$C$7:$C$1002,SAÍDAS!$C413)-SUMIFS(SAÍDAS!$J$7:$J$289,SAÍDAS!$B$7:$B$289,"&lt;=" &amp; SAÍDAS!$B413,SAÍDAS!$C$7:$C$289,SAÍDAS!$C413)</f>
        <v>6</v>
      </c>
      <c r="L413" s="179">
        <f t="shared" si="7"/>
        <v>0</v>
      </c>
    </row>
    <row r="414" spans="2:12" ht="15.75" customHeight="1">
      <c r="B414" s="173">
        <v>46070</v>
      </c>
      <c r="C414" s="182" t="s">
        <v>110</v>
      </c>
      <c r="D414" s="182">
        <v>1</v>
      </c>
      <c r="E414" s="185"/>
      <c r="F414" s="185"/>
      <c r="G414" s="185"/>
      <c r="H414" s="186"/>
      <c r="I414" s="177"/>
      <c r="J414" s="178">
        <f>SAÍDAS!$D414-SAÍDAS!$G414</f>
        <v>1</v>
      </c>
      <c r="K414" s="178">
        <f>SUMIFS(ENTRADAS!$E$7:$E$1002,ENTRADAS!$B$7:$B$1002,"&lt;=" &amp; SAÍDAS!$B414,ENTRADAS!$C$7:$C$1002,SAÍDAS!$C414)-SUMIFS(SAÍDAS!$J$7:$J$289,SAÍDAS!$B$7:$B$289,"&lt;=" &amp; SAÍDAS!$B414,SAÍDAS!$C$7:$C$289,SAÍDAS!$C414)</f>
        <v>24</v>
      </c>
      <c r="L414" s="179">
        <f t="shared" si="7"/>
        <v>0</v>
      </c>
    </row>
    <row r="415" spans="2:12" ht="15.75" customHeight="1">
      <c r="B415" s="173">
        <v>46070</v>
      </c>
      <c r="C415" s="182" t="s">
        <v>177</v>
      </c>
      <c r="D415" s="182">
        <v>2</v>
      </c>
      <c r="E415" s="185"/>
      <c r="F415" s="185"/>
      <c r="G415" s="185"/>
      <c r="H415" s="186"/>
      <c r="I415" s="177"/>
      <c r="J415" s="178">
        <f>SAÍDAS!$D415-SAÍDAS!$G415</f>
        <v>2</v>
      </c>
      <c r="K415" s="178">
        <f>SUMIFS(ENTRADAS!$E$7:$E$1002,ENTRADAS!$B$7:$B$1002,"&lt;=" &amp; SAÍDAS!$B415,ENTRADAS!$C$7:$C$1002,SAÍDAS!$C415)-SUMIFS(SAÍDAS!$J$7:$J$289,SAÍDAS!$B$7:$B$289,"&lt;=" &amp; SAÍDAS!$B415,SAÍDAS!$C$7:$C$289,SAÍDAS!$C415)</f>
        <v>14</v>
      </c>
      <c r="L415" s="179">
        <f t="shared" si="7"/>
        <v>0</v>
      </c>
    </row>
    <row r="416" spans="2:12" ht="15.75" customHeight="1">
      <c r="B416" s="173">
        <v>46070</v>
      </c>
      <c r="C416" s="182" t="s">
        <v>134</v>
      </c>
      <c r="D416" s="182">
        <v>1</v>
      </c>
      <c r="E416" s="185"/>
      <c r="F416" s="185"/>
      <c r="G416" s="185"/>
      <c r="H416" s="186"/>
      <c r="I416" s="177"/>
      <c r="J416" s="178">
        <f>SAÍDAS!$D416-SAÍDAS!$G416</f>
        <v>1</v>
      </c>
      <c r="K416" s="178">
        <f>SUMIFS(ENTRADAS!$E$7:$E$1002,ENTRADAS!$B$7:$B$1002,"&lt;=" &amp; SAÍDAS!$B416,ENTRADAS!$C$7:$C$1002,SAÍDAS!$C416)-SUMIFS(SAÍDAS!$J$7:$J$289,SAÍDAS!$B$7:$B$289,"&lt;=" &amp; SAÍDAS!$B416,SAÍDAS!$C$7:$C$289,SAÍDAS!$C416)</f>
        <v>3</v>
      </c>
      <c r="L416" s="179">
        <f t="shared" si="7"/>
        <v>0</v>
      </c>
    </row>
    <row r="417" spans="2:12" ht="15.75" customHeight="1">
      <c r="B417" s="173">
        <v>46070</v>
      </c>
      <c r="C417" s="182" t="s">
        <v>254</v>
      </c>
      <c r="D417" s="182">
        <v>1</v>
      </c>
      <c r="E417" s="185"/>
      <c r="F417" s="185"/>
      <c r="G417" s="185"/>
      <c r="H417" s="186"/>
      <c r="I417" s="177"/>
      <c r="J417" s="178">
        <f>SAÍDAS!$D417-SAÍDAS!$G417</f>
        <v>1</v>
      </c>
      <c r="K417" s="178">
        <f>SUMIFS(ENTRADAS!$E$7:$E$1002,ENTRADAS!$B$7:$B$1002,"&lt;=" &amp; SAÍDAS!$B417,ENTRADAS!$C$7:$C$1002,SAÍDAS!$C417)-SUMIFS(SAÍDAS!$J$7:$J$289,SAÍDAS!$B$7:$B$289,"&lt;=" &amp; SAÍDAS!$B417,SAÍDAS!$C$7:$C$289,SAÍDAS!$C417)</f>
        <v>14</v>
      </c>
      <c r="L417" s="179">
        <f t="shared" si="7"/>
        <v>0</v>
      </c>
    </row>
    <row r="418" spans="2:12" ht="15.75" customHeight="1">
      <c r="B418" s="173">
        <v>46070</v>
      </c>
      <c r="C418" s="182" t="s">
        <v>131</v>
      </c>
      <c r="D418" s="182">
        <v>1</v>
      </c>
      <c r="E418" s="185"/>
      <c r="F418" s="185"/>
      <c r="G418" s="185"/>
      <c r="H418" s="186"/>
      <c r="I418" s="177"/>
      <c r="J418" s="178">
        <f>SAÍDAS!$D418-SAÍDAS!$G418</f>
        <v>1</v>
      </c>
      <c r="K418" s="178">
        <f>SUMIFS(ENTRADAS!$E$7:$E$1002,ENTRADAS!$B$7:$B$1002,"&lt;=" &amp; SAÍDAS!$B418,ENTRADAS!$C$7:$C$1002,SAÍDAS!$C418)-SUMIFS(SAÍDAS!$J$7:$J$289,SAÍDAS!$B$7:$B$289,"&lt;=" &amp; SAÍDAS!$B418,SAÍDAS!$C$7:$C$289,SAÍDAS!$C418)</f>
        <v>3</v>
      </c>
      <c r="L418" s="179">
        <f t="shared" si="7"/>
        <v>0</v>
      </c>
    </row>
    <row r="419" spans="2:12" ht="15.75" customHeight="1">
      <c r="B419" s="173">
        <v>46070</v>
      </c>
      <c r="C419" s="182" t="s">
        <v>125</v>
      </c>
      <c r="D419" s="182">
        <v>4</v>
      </c>
      <c r="E419" s="185"/>
      <c r="F419" s="185"/>
      <c r="G419" s="185"/>
      <c r="H419" s="186"/>
      <c r="I419" s="177"/>
      <c r="J419" s="178">
        <f>SAÍDAS!$D419-SAÍDAS!$G419</f>
        <v>4</v>
      </c>
      <c r="K419" s="178">
        <f>SUMIFS(ENTRADAS!$E$7:$E$1002,ENTRADAS!$B$7:$B$1002,"&lt;=" &amp; SAÍDAS!$B419,ENTRADAS!$C$7:$C$1002,SAÍDAS!$C419)-SUMIFS(SAÍDAS!$J$7:$J$289,SAÍDAS!$B$7:$B$289,"&lt;=" &amp; SAÍDAS!$B419,SAÍDAS!$C$7:$C$289,SAÍDAS!$C419)</f>
        <v>2</v>
      </c>
      <c r="L419" s="179">
        <f t="shared" si="7"/>
        <v>0</v>
      </c>
    </row>
    <row r="420" spans="2:12" ht="15.75" customHeight="1">
      <c r="B420" s="173">
        <v>46070</v>
      </c>
      <c r="C420" s="182" t="s">
        <v>193</v>
      </c>
      <c r="D420" s="182">
        <v>1</v>
      </c>
      <c r="E420" s="185"/>
      <c r="F420" s="185"/>
      <c r="G420" s="185"/>
      <c r="H420" s="186"/>
      <c r="I420" s="177"/>
      <c r="J420" s="178">
        <f>SAÍDAS!$D420-SAÍDAS!$G420</f>
        <v>1</v>
      </c>
      <c r="K420" s="178">
        <f>SUMIFS(ENTRADAS!$E$7:$E$1002,ENTRADAS!$B$7:$B$1002,"&lt;=" &amp; SAÍDAS!$B420,ENTRADAS!$C$7:$C$1002,SAÍDAS!$C420)-SUMIFS(SAÍDAS!$J$7:$J$289,SAÍDAS!$B$7:$B$289,"&lt;=" &amp; SAÍDAS!$B420,SAÍDAS!$C$7:$C$289,SAÍDAS!$C420)</f>
        <v>23</v>
      </c>
      <c r="L420" s="179">
        <f t="shared" si="7"/>
        <v>0</v>
      </c>
    </row>
    <row r="421" spans="2:12" ht="15.75" customHeight="1">
      <c r="B421" s="173">
        <v>46070</v>
      </c>
      <c r="C421" s="182" t="s">
        <v>341</v>
      </c>
      <c r="D421" s="182">
        <v>1</v>
      </c>
      <c r="E421" s="185"/>
      <c r="F421" s="185"/>
      <c r="G421" s="185"/>
      <c r="H421" s="186"/>
      <c r="I421" s="177"/>
      <c r="J421" s="178">
        <f>SAÍDAS!$D421-SAÍDAS!$G421</f>
        <v>1</v>
      </c>
      <c r="K421" s="178">
        <f>SUMIFS(ENTRADAS!$E$7:$E$1002,ENTRADAS!$B$7:$B$1002,"&lt;=" &amp; SAÍDAS!$B421,ENTRADAS!$C$7:$C$1002,SAÍDAS!$C421)-SUMIFS(SAÍDAS!$J$7:$J$289,SAÍDAS!$B$7:$B$289,"&lt;=" &amp; SAÍDAS!$B421,SAÍDAS!$C$7:$C$289,SAÍDAS!$C421)</f>
        <v>0</v>
      </c>
      <c r="L421" s="179">
        <f t="shared" ref="L421:L484" si="8">I421*J421</f>
        <v>0</v>
      </c>
    </row>
    <row r="422" spans="2:12" ht="15.75" customHeight="1">
      <c r="B422" s="173">
        <v>46070</v>
      </c>
      <c r="C422" s="182" t="s">
        <v>219</v>
      </c>
      <c r="D422" s="182">
        <v>1</v>
      </c>
      <c r="E422" s="185"/>
      <c r="F422" s="185"/>
      <c r="G422" s="185"/>
      <c r="H422" s="186"/>
      <c r="I422" s="177"/>
      <c r="J422" s="178">
        <f>SAÍDAS!$D422-SAÍDAS!$G422</f>
        <v>1</v>
      </c>
      <c r="K422" s="178">
        <f>SUMIFS(ENTRADAS!$E$7:$E$1002,ENTRADAS!$B$7:$B$1002,"&lt;=" &amp; SAÍDAS!$B422,ENTRADAS!$C$7:$C$1002,SAÍDAS!$C422)-SUMIFS(SAÍDAS!$J$7:$J$289,SAÍDAS!$B$7:$B$289,"&lt;=" &amp; SAÍDAS!$B422,SAÍDAS!$C$7:$C$289,SAÍDAS!$C422)</f>
        <v>5</v>
      </c>
      <c r="L422" s="179">
        <f t="shared" si="8"/>
        <v>0</v>
      </c>
    </row>
    <row r="423" spans="2:12" ht="15.75" customHeight="1">
      <c r="B423" s="173">
        <v>46070</v>
      </c>
      <c r="C423" s="182" t="s">
        <v>220</v>
      </c>
      <c r="D423" s="182">
        <v>1</v>
      </c>
      <c r="E423" s="185"/>
      <c r="F423" s="185"/>
      <c r="G423" s="185"/>
      <c r="H423" s="186"/>
      <c r="I423" s="177"/>
      <c r="J423" s="178">
        <f>SAÍDAS!$D423-SAÍDAS!$G423</f>
        <v>1</v>
      </c>
      <c r="K423" s="178">
        <f>SUMIFS(ENTRADAS!$E$7:$E$1002,ENTRADAS!$B$7:$B$1002,"&lt;=" &amp; SAÍDAS!$B423,ENTRADAS!$C$7:$C$1002,SAÍDAS!$C423)-SUMIFS(SAÍDAS!$J$7:$J$289,SAÍDAS!$B$7:$B$289,"&lt;=" &amp; SAÍDAS!$B423,SAÍDAS!$C$7:$C$289,SAÍDAS!$C423)</f>
        <v>-1</v>
      </c>
      <c r="L423" s="179">
        <f t="shared" si="8"/>
        <v>0</v>
      </c>
    </row>
    <row r="424" spans="2:12" ht="15.75" customHeight="1">
      <c r="B424" s="173">
        <v>46070</v>
      </c>
      <c r="C424" s="182" t="s">
        <v>218</v>
      </c>
      <c r="D424" s="182">
        <v>5</v>
      </c>
      <c r="E424" s="185"/>
      <c r="F424" s="185"/>
      <c r="G424" s="185"/>
      <c r="H424" s="186"/>
      <c r="I424" s="177"/>
      <c r="J424" s="178">
        <f>SAÍDAS!$D424-SAÍDAS!$G424</f>
        <v>5</v>
      </c>
      <c r="K424" s="178">
        <f>SUMIFS(ENTRADAS!$E$7:$E$1002,ENTRADAS!$B$7:$B$1002,"&lt;=" &amp; SAÍDAS!$B424,ENTRADAS!$C$7:$C$1002,SAÍDAS!$C424)-SUMIFS(SAÍDAS!$J$7:$J$289,SAÍDAS!$B$7:$B$289,"&lt;=" &amp; SAÍDAS!$B424,SAÍDAS!$C$7:$C$289,SAÍDAS!$C424)</f>
        <v>3</v>
      </c>
      <c r="L424" s="179">
        <f t="shared" si="8"/>
        <v>0</v>
      </c>
    </row>
    <row r="425" spans="2:12" ht="15.75" customHeight="1">
      <c r="B425" s="173">
        <v>46071</v>
      </c>
      <c r="C425" s="182" t="s">
        <v>255</v>
      </c>
      <c r="D425" s="182">
        <v>1</v>
      </c>
      <c r="E425" s="185" t="s">
        <v>342</v>
      </c>
      <c r="F425" s="185"/>
      <c r="G425" s="185"/>
      <c r="H425" s="186"/>
      <c r="I425" s="177"/>
      <c r="J425" s="178">
        <f>SAÍDAS!$D425-SAÍDAS!$G425</f>
        <v>1</v>
      </c>
      <c r="K425" s="178">
        <f>SUMIFS(ENTRADAS!$E$7:$E$1002,ENTRADAS!$B$7:$B$1002,"&lt;=" &amp; SAÍDAS!$B425,ENTRADAS!$C$7:$C$1002,SAÍDAS!$C425)-SUMIFS(SAÍDAS!$J$7:$J$289,SAÍDAS!$B$7:$B$289,"&lt;=" &amp; SAÍDAS!$B425,SAÍDAS!$C$7:$C$289,SAÍDAS!$C425)</f>
        <v>13</v>
      </c>
      <c r="L425" s="179">
        <f t="shared" si="8"/>
        <v>0</v>
      </c>
    </row>
    <row r="426" spans="2:12" ht="15.75" customHeight="1">
      <c r="B426" s="173">
        <v>46071</v>
      </c>
      <c r="C426" s="182" t="s">
        <v>234</v>
      </c>
      <c r="D426" s="182">
        <v>4</v>
      </c>
      <c r="E426" s="185"/>
      <c r="F426" s="185"/>
      <c r="G426" s="185"/>
      <c r="H426" s="186"/>
      <c r="I426" s="177"/>
      <c r="J426" s="178">
        <f>SAÍDAS!$D426-SAÍDAS!$G426</f>
        <v>4</v>
      </c>
      <c r="K426" s="178">
        <f>SUMIFS(ENTRADAS!$E$7:$E$1002,ENTRADAS!$B$7:$B$1002,"&lt;=" &amp; SAÍDAS!$B426,ENTRADAS!$C$7:$C$1002,SAÍDAS!$C426)-SUMIFS(SAÍDAS!$J$7:$J$289,SAÍDAS!$B$7:$B$289,"&lt;=" &amp; SAÍDAS!$B426,SAÍDAS!$C$7:$C$289,SAÍDAS!$C426)</f>
        <v>35</v>
      </c>
      <c r="L426" s="179">
        <f t="shared" si="8"/>
        <v>0</v>
      </c>
    </row>
    <row r="427" spans="2:12" ht="15.75" customHeight="1">
      <c r="B427" s="173">
        <v>46071</v>
      </c>
      <c r="C427" s="182" t="s">
        <v>236</v>
      </c>
      <c r="D427" s="182">
        <v>4</v>
      </c>
      <c r="E427" s="185"/>
      <c r="F427" s="185"/>
      <c r="G427" s="185"/>
      <c r="H427" s="186"/>
      <c r="I427" s="177"/>
      <c r="J427" s="178">
        <f>SAÍDAS!$D427-SAÍDAS!$G427</f>
        <v>4</v>
      </c>
      <c r="K427" s="178">
        <f>SUMIFS(ENTRADAS!$E$7:$E$1002,ENTRADAS!$B$7:$B$1002,"&lt;=" &amp; SAÍDAS!$B427,ENTRADAS!$C$7:$C$1002,SAÍDAS!$C427)-SUMIFS(SAÍDAS!$J$7:$J$289,SAÍDAS!$B$7:$B$289,"&lt;=" &amp; SAÍDAS!$B427,SAÍDAS!$C$7:$C$289,SAÍDAS!$C427)</f>
        <v>1</v>
      </c>
      <c r="L427" s="179">
        <f t="shared" si="8"/>
        <v>0</v>
      </c>
    </row>
    <row r="428" spans="2:12" ht="15.75" customHeight="1">
      <c r="B428" s="173">
        <v>46071</v>
      </c>
      <c r="C428" s="182" t="s">
        <v>164</v>
      </c>
      <c r="D428" s="182">
        <v>1</v>
      </c>
      <c r="E428" s="185"/>
      <c r="F428" s="185"/>
      <c r="G428" s="185"/>
      <c r="H428" s="186"/>
      <c r="I428" s="177"/>
      <c r="J428" s="178">
        <f>SAÍDAS!$D428-SAÍDAS!$G428</f>
        <v>1</v>
      </c>
      <c r="K428" s="178">
        <f>SUMIFS(ENTRADAS!$E$7:$E$1002,ENTRADAS!$B$7:$B$1002,"&lt;=" &amp; SAÍDAS!$B428,ENTRADAS!$C$7:$C$1002,SAÍDAS!$C428)-SUMIFS(SAÍDAS!$J$7:$J$289,SAÍDAS!$B$7:$B$289,"&lt;=" &amp; SAÍDAS!$B428,SAÍDAS!$C$7:$C$289,SAÍDAS!$C428)</f>
        <v>5</v>
      </c>
      <c r="L428" s="179">
        <f t="shared" si="8"/>
        <v>0</v>
      </c>
    </row>
    <row r="429" spans="2:12" ht="15.75" customHeight="1">
      <c r="B429" s="173">
        <v>46071</v>
      </c>
      <c r="C429" s="182" t="s">
        <v>157</v>
      </c>
      <c r="D429" s="182">
        <v>1</v>
      </c>
      <c r="E429" s="185"/>
      <c r="F429" s="185"/>
      <c r="G429" s="185"/>
      <c r="H429" s="186"/>
      <c r="I429" s="177"/>
      <c r="J429" s="178">
        <f>SAÍDAS!$D429-SAÍDAS!$G429</f>
        <v>1</v>
      </c>
      <c r="K429" s="178">
        <f>SUMIFS(ENTRADAS!$E$7:$E$1002,ENTRADAS!$B$7:$B$1002,"&lt;=" &amp; SAÍDAS!$B429,ENTRADAS!$C$7:$C$1002,SAÍDAS!$C429)-SUMIFS(SAÍDAS!$J$7:$J$289,SAÍDAS!$B$7:$B$289,"&lt;=" &amp; SAÍDAS!$B429,SAÍDAS!$C$7:$C$289,SAÍDAS!$C429)</f>
        <v>16</v>
      </c>
      <c r="L429" s="179">
        <f t="shared" si="8"/>
        <v>0</v>
      </c>
    </row>
    <row r="430" spans="2:12" ht="15.75" customHeight="1">
      <c r="B430" s="173">
        <v>46071</v>
      </c>
      <c r="C430" s="182" t="s">
        <v>107</v>
      </c>
      <c r="D430" s="182">
        <v>1</v>
      </c>
      <c r="E430" s="185"/>
      <c r="F430" s="185"/>
      <c r="G430" s="185"/>
      <c r="H430" s="186"/>
      <c r="I430" s="177"/>
      <c r="J430" s="178">
        <f>SAÍDAS!$D430-SAÍDAS!$G430</f>
        <v>1</v>
      </c>
      <c r="K430" s="178">
        <f>SUMIFS(ENTRADAS!$E$7:$E$1002,ENTRADAS!$B$7:$B$1002,"&lt;=" &amp; SAÍDAS!$B430,ENTRADAS!$C$7:$C$1002,SAÍDAS!$C430)-SUMIFS(SAÍDAS!$J$7:$J$289,SAÍDAS!$B$7:$B$289,"&lt;=" &amp; SAÍDAS!$B430,SAÍDAS!$C$7:$C$289,SAÍDAS!$C430)</f>
        <v>19</v>
      </c>
      <c r="L430" s="179">
        <f t="shared" si="8"/>
        <v>0</v>
      </c>
    </row>
    <row r="431" spans="2:12" ht="15.75" customHeight="1">
      <c r="B431" s="173">
        <v>46071</v>
      </c>
      <c r="C431" s="182" t="s">
        <v>151</v>
      </c>
      <c r="D431" s="182">
        <v>2</v>
      </c>
      <c r="E431" s="185"/>
      <c r="F431" s="185"/>
      <c r="G431" s="185"/>
      <c r="H431" s="186"/>
      <c r="I431" s="177"/>
      <c r="J431" s="178">
        <f>SAÍDAS!$D431-SAÍDAS!$G431</f>
        <v>2</v>
      </c>
      <c r="K431" s="178">
        <f>SUMIFS(ENTRADAS!$E$7:$E$1002,ENTRADAS!$B$7:$B$1002,"&lt;=" &amp; SAÍDAS!$B431,ENTRADAS!$C$7:$C$1002,SAÍDAS!$C431)-SUMIFS(SAÍDAS!$J$7:$J$289,SAÍDAS!$B$7:$B$289,"&lt;=" &amp; SAÍDAS!$B431,SAÍDAS!$C$7:$C$289,SAÍDAS!$C431)</f>
        <v>13</v>
      </c>
      <c r="L431" s="179">
        <f t="shared" si="8"/>
        <v>0</v>
      </c>
    </row>
    <row r="432" spans="2:12" ht="15.75" customHeight="1">
      <c r="B432" s="173">
        <v>46071</v>
      </c>
      <c r="C432" s="182" t="s">
        <v>152</v>
      </c>
      <c r="D432" s="182">
        <v>1</v>
      </c>
      <c r="E432" s="185"/>
      <c r="F432" s="185"/>
      <c r="G432" s="185"/>
      <c r="H432" s="186"/>
      <c r="I432" s="177"/>
      <c r="J432" s="178">
        <f>SAÍDAS!$D432-SAÍDAS!$G432</f>
        <v>1</v>
      </c>
      <c r="K432" s="178">
        <f>SUMIFS(ENTRADAS!$E$7:$E$1002,ENTRADAS!$B$7:$B$1002,"&lt;=" &amp; SAÍDAS!$B432,ENTRADAS!$C$7:$C$1002,SAÍDAS!$C432)-SUMIFS(SAÍDAS!$J$7:$J$289,SAÍDAS!$B$7:$B$289,"&lt;=" &amp; SAÍDAS!$B432,SAÍDAS!$C$7:$C$289,SAÍDAS!$C432)</f>
        <v>10</v>
      </c>
      <c r="L432" s="179">
        <f t="shared" si="8"/>
        <v>0</v>
      </c>
    </row>
    <row r="433" spans="2:12" ht="15.75" customHeight="1">
      <c r="B433" s="173">
        <v>46071</v>
      </c>
      <c r="C433" s="182" t="s">
        <v>170</v>
      </c>
      <c r="D433" s="182">
        <v>1</v>
      </c>
      <c r="E433" s="185"/>
      <c r="F433" s="185"/>
      <c r="G433" s="185"/>
      <c r="H433" s="186"/>
      <c r="I433" s="177"/>
      <c r="J433" s="178">
        <f>SAÍDAS!$D433-SAÍDAS!$G433</f>
        <v>1</v>
      </c>
      <c r="K433" s="178">
        <f>SUMIFS(ENTRADAS!$E$7:$E$1002,ENTRADAS!$B$7:$B$1002,"&lt;=" &amp; SAÍDAS!$B433,ENTRADAS!$C$7:$C$1002,SAÍDAS!$C433)-SUMIFS(SAÍDAS!$J$7:$J$289,SAÍDAS!$B$7:$B$289,"&lt;=" &amp; SAÍDAS!$B433,SAÍDAS!$C$7:$C$289,SAÍDAS!$C433)</f>
        <v>10</v>
      </c>
      <c r="L433" s="179">
        <f t="shared" si="8"/>
        <v>0</v>
      </c>
    </row>
    <row r="434" spans="2:12" ht="15.75" customHeight="1">
      <c r="B434" s="173">
        <v>46071</v>
      </c>
      <c r="C434" s="182" t="s">
        <v>105</v>
      </c>
      <c r="D434" s="182">
        <v>1</v>
      </c>
      <c r="E434" s="185"/>
      <c r="F434" s="185"/>
      <c r="G434" s="185"/>
      <c r="H434" s="186"/>
      <c r="I434" s="177"/>
      <c r="J434" s="178">
        <f>SAÍDAS!$D434-SAÍDAS!$G434</f>
        <v>1</v>
      </c>
      <c r="K434" s="178">
        <f>SUMIFS(ENTRADAS!$E$7:$E$1002,ENTRADAS!$B$7:$B$1002,"&lt;=" &amp; SAÍDAS!$B434,ENTRADAS!$C$7:$C$1002,SAÍDAS!$C434)-SUMIFS(SAÍDAS!$J$7:$J$289,SAÍDAS!$B$7:$B$289,"&lt;=" &amp; SAÍDAS!$B434,SAÍDAS!$C$7:$C$289,SAÍDAS!$C434)</f>
        <v>13</v>
      </c>
      <c r="L434" s="179">
        <f t="shared" si="8"/>
        <v>0</v>
      </c>
    </row>
    <row r="435" spans="2:12" ht="15.75" customHeight="1">
      <c r="B435" s="173">
        <v>46071</v>
      </c>
      <c r="C435" s="182" t="s">
        <v>104</v>
      </c>
      <c r="D435" s="182">
        <v>1</v>
      </c>
      <c r="E435" s="185"/>
      <c r="F435" s="185"/>
      <c r="G435" s="185"/>
      <c r="H435" s="186"/>
      <c r="I435" s="177"/>
      <c r="J435" s="178">
        <f>SAÍDAS!$D435-SAÍDAS!$G435</f>
        <v>1</v>
      </c>
      <c r="K435" s="178">
        <f>SUMIFS(ENTRADAS!$E$7:$E$1002,ENTRADAS!$B$7:$B$1002,"&lt;=" &amp; SAÍDAS!$B435,ENTRADAS!$C$7:$C$1002,SAÍDAS!$C435)-SUMIFS(SAÍDAS!$J$7:$J$289,SAÍDAS!$B$7:$B$289,"&lt;=" &amp; SAÍDAS!$B435,SAÍDAS!$C$7:$C$289,SAÍDAS!$C435)</f>
        <v>24</v>
      </c>
      <c r="L435" s="179">
        <f t="shared" si="8"/>
        <v>0</v>
      </c>
    </row>
    <row r="436" spans="2:12" ht="15.75" customHeight="1">
      <c r="B436" s="173">
        <v>46071</v>
      </c>
      <c r="C436" s="182" t="s">
        <v>102</v>
      </c>
      <c r="D436" s="182">
        <v>1</v>
      </c>
      <c r="E436" s="185"/>
      <c r="F436" s="185"/>
      <c r="G436" s="185"/>
      <c r="H436" s="186"/>
      <c r="I436" s="177"/>
      <c r="J436" s="178">
        <f>SAÍDAS!$D436-SAÍDAS!$G436</f>
        <v>1</v>
      </c>
      <c r="K436" s="178">
        <f>SUMIFS(ENTRADAS!$E$7:$E$1002,ENTRADAS!$B$7:$B$1002,"&lt;=" &amp; SAÍDAS!$B436,ENTRADAS!$C$7:$C$1002,SAÍDAS!$C436)-SUMIFS(SAÍDAS!$J$7:$J$289,SAÍDAS!$B$7:$B$289,"&lt;=" &amp; SAÍDAS!$B436,SAÍDAS!$C$7:$C$289,SAÍDAS!$C436)</f>
        <v>103</v>
      </c>
      <c r="L436" s="179">
        <f t="shared" si="8"/>
        <v>0</v>
      </c>
    </row>
    <row r="437" spans="2:12" ht="15.75" customHeight="1">
      <c r="B437" s="173">
        <v>46071</v>
      </c>
      <c r="C437" s="182" t="s">
        <v>94</v>
      </c>
      <c r="D437" s="182">
        <v>1</v>
      </c>
      <c r="E437" s="185"/>
      <c r="F437" s="185"/>
      <c r="G437" s="185"/>
      <c r="H437" s="186"/>
      <c r="I437" s="177"/>
      <c r="J437" s="178">
        <f>SAÍDAS!$D437-SAÍDAS!$G437</f>
        <v>1</v>
      </c>
      <c r="K437" s="178">
        <f>SUMIFS(ENTRADAS!$E$7:$E$1002,ENTRADAS!$B$7:$B$1002,"&lt;=" &amp; SAÍDAS!$B437,ENTRADAS!$C$7:$C$1002,SAÍDAS!$C437)-SUMIFS(SAÍDAS!$J$7:$J$289,SAÍDAS!$B$7:$B$289,"&lt;=" &amp; SAÍDAS!$B437,SAÍDAS!$C$7:$C$289,SAÍDAS!$C437)</f>
        <v>21</v>
      </c>
      <c r="L437" s="179">
        <f t="shared" si="8"/>
        <v>0</v>
      </c>
    </row>
    <row r="438" spans="2:12" ht="15.75" customHeight="1">
      <c r="B438" s="173">
        <v>46071</v>
      </c>
      <c r="C438" s="182" t="s">
        <v>93</v>
      </c>
      <c r="D438" s="182">
        <v>2</v>
      </c>
      <c r="E438" s="185"/>
      <c r="F438" s="185"/>
      <c r="G438" s="185"/>
      <c r="H438" s="186"/>
      <c r="I438" s="177"/>
      <c r="J438" s="178">
        <f>SAÍDAS!$D438-SAÍDAS!$G438</f>
        <v>2</v>
      </c>
      <c r="K438" s="178">
        <f>SUMIFS(ENTRADAS!$E$7:$E$1002,ENTRADAS!$B$7:$B$1002,"&lt;=" &amp; SAÍDAS!$B438,ENTRADAS!$C$7:$C$1002,SAÍDAS!$C438)-SUMIFS(SAÍDAS!$J$7:$J$289,SAÍDAS!$B$7:$B$289,"&lt;=" &amp; SAÍDAS!$B438,SAÍDAS!$C$7:$C$289,SAÍDAS!$C438)</f>
        <v>22</v>
      </c>
      <c r="L438" s="179">
        <f t="shared" si="8"/>
        <v>0</v>
      </c>
    </row>
    <row r="439" spans="2:12" ht="15.75" customHeight="1">
      <c r="B439" s="173">
        <v>46071</v>
      </c>
      <c r="C439" s="182" t="s">
        <v>196</v>
      </c>
      <c r="D439" s="182">
        <v>1</v>
      </c>
      <c r="E439" s="185"/>
      <c r="F439" s="185"/>
      <c r="G439" s="185"/>
      <c r="H439" s="186"/>
      <c r="I439" s="177"/>
      <c r="J439" s="178">
        <f>SAÍDAS!$D439-SAÍDAS!$G439</f>
        <v>1</v>
      </c>
      <c r="K439" s="178">
        <f>SUMIFS(ENTRADAS!$E$7:$E$1002,ENTRADAS!$B$7:$B$1002,"&lt;=" &amp; SAÍDAS!$B439,ENTRADAS!$C$7:$C$1002,SAÍDAS!$C439)-SUMIFS(SAÍDAS!$J$7:$J$289,SAÍDAS!$B$7:$B$289,"&lt;=" &amp; SAÍDAS!$B439,SAÍDAS!$C$7:$C$289,SAÍDAS!$C439)</f>
        <v>3</v>
      </c>
      <c r="L439" s="179">
        <f t="shared" si="8"/>
        <v>0</v>
      </c>
    </row>
    <row r="440" spans="2:12" ht="15.75" customHeight="1">
      <c r="B440" s="173">
        <v>46071</v>
      </c>
      <c r="C440" s="182" t="s">
        <v>193</v>
      </c>
      <c r="D440" s="182">
        <v>2</v>
      </c>
      <c r="E440" s="185"/>
      <c r="F440" s="185"/>
      <c r="G440" s="185"/>
      <c r="H440" s="186"/>
      <c r="I440" s="177"/>
      <c r="J440" s="178">
        <f>SAÍDAS!$D440-SAÍDAS!$G440</f>
        <v>2</v>
      </c>
      <c r="K440" s="178">
        <f>SUMIFS(ENTRADAS!$E$7:$E$1002,ENTRADAS!$B$7:$B$1002,"&lt;=" &amp; SAÍDAS!$B440,ENTRADAS!$C$7:$C$1002,SAÍDAS!$C440)-SUMIFS(SAÍDAS!$J$7:$J$289,SAÍDAS!$B$7:$B$289,"&lt;=" &amp; SAÍDAS!$B440,SAÍDAS!$C$7:$C$289,SAÍDAS!$C440)</f>
        <v>23</v>
      </c>
      <c r="L440" s="179">
        <f t="shared" si="8"/>
        <v>0</v>
      </c>
    </row>
    <row r="441" spans="2:12" ht="15.75" customHeight="1">
      <c r="B441" s="173">
        <v>46071</v>
      </c>
      <c r="C441" s="182" t="s">
        <v>95</v>
      </c>
      <c r="D441" s="182">
        <v>1</v>
      </c>
      <c r="E441" s="185"/>
      <c r="F441" s="185"/>
      <c r="G441" s="185"/>
      <c r="H441" s="186"/>
      <c r="I441" s="177"/>
      <c r="J441" s="178">
        <f>SAÍDAS!$D441-SAÍDAS!$G441</f>
        <v>1</v>
      </c>
      <c r="K441" s="178">
        <f>SUMIFS(ENTRADAS!$E$7:$E$1002,ENTRADAS!$B$7:$B$1002,"&lt;=" &amp; SAÍDAS!$B441,ENTRADAS!$C$7:$C$1002,SAÍDAS!$C441)-SUMIFS(SAÍDAS!$J$7:$J$289,SAÍDAS!$B$7:$B$289,"&lt;=" &amp; SAÍDAS!$B441,SAÍDAS!$C$7:$C$289,SAÍDAS!$C441)</f>
        <v>9</v>
      </c>
      <c r="L441" s="179">
        <f t="shared" si="8"/>
        <v>0</v>
      </c>
    </row>
    <row r="442" spans="2:12" ht="15.75" customHeight="1">
      <c r="B442" s="173">
        <v>46071</v>
      </c>
      <c r="C442" s="182" t="s">
        <v>192</v>
      </c>
      <c r="D442" s="182">
        <v>1</v>
      </c>
      <c r="E442" s="185"/>
      <c r="F442" s="185"/>
      <c r="G442" s="185"/>
      <c r="H442" s="186"/>
      <c r="I442" s="177"/>
      <c r="J442" s="178">
        <f>SAÍDAS!$D442-SAÍDAS!$G442</f>
        <v>1</v>
      </c>
      <c r="K442" s="178">
        <f>SUMIFS(ENTRADAS!$E$7:$E$1002,ENTRADAS!$B$7:$B$1002,"&lt;=" &amp; SAÍDAS!$B442,ENTRADAS!$C$7:$C$1002,SAÍDAS!$C442)-SUMIFS(SAÍDAS!$J$7:$J$289,SAÍDAS!$B$7:$B$289,"&lt;=" &amp; SAÍDAS!$B442,SAÍDAS!$C$7:$C$289,SAÍDAS!$C442)</f>
        <v>5</v>
      </c>
      <c r="L442" s="179">
        <f t="shared" si="8"/>
        <v>0</v>
      </c>
    </row>
    <row r="443" spans="2:12" ht="15.75" customHeight="1">
      <c r="B443" s="173">
        <v>46071</v>
      </c>
      <c r="C443" s="182" t="s">
        <v>209</v>
      </c>
      <c r="D443" s="182">
        <v>1</v>
      </c>
      <c r="E443" s="185"/>
      <c r="F443" s="185"/>
      <c r="G443" s="185"/>
      <c r="H443" s="186"/>
      <c r="I443" s="177"/>
      <c r="J443" s="178">
        <f>SAÍDAS!$D443-SAÍDAS!$G443</f>
        <v>1</v>
      </c>
      <c r="K443" s="178">
        <f>SUMIFS(ENTRADAS!$E$7:$E$1002,ENTRADAS!$B$7:$B$1002,"&lt;=" &amp; SAÍDAS!$B443,ENTRADAS!$C$7:$C$1002,SAÍDAS!$C443)-SUMIFS(SAÍDAS!$J$7:$J$289,SAÍDAS!$B$7:$B$289,"&lt;=" &amp; SAÍDAS!$B443,SAÍDAS!$C$7:$C$289,SAÍDAS!$C443)</f>
        <v>6</v>
      </c>
      <c r="L443" s="179">
        <f t="shared" si="8"/>
        <v>0</v>
      </c>
    </row>
    <row r="444" spans="2:12" ht="15.75" customHeight="1">
      <c r="B444" s="173">
        <v>46071</v>
      </c>
      <c r="C444" s="182" t="s">
        <v>164</v>
      </c>
      <c r="D444" s="182">
        <v>1</v>
      </c>
      <c r="E444" s="185"/>
      <c r="F444" s="185"/>
      <c r="G444" s="185"/>
      <c r="H444" s="186"/>
      <c r="I444" s="177"/>
      <c r="J444" s="178">
        <f>SAÍDAS!$D444-SAÍDAS!$G444</f>
        <v>1</v>
      </c>
      <c r="K444" s="178">
        <f>SUMIFS(ENTRADAS!$E$7:$E$1002,ENTRADAS!$B$7:$B$1002,"&lt;=" &amp; SAÍDAS!$B444,ENTRADAS!$C$7:$C$1002,SAÍDAS!$C444)-SUMIFS(SAÍDAS!$J$7:$J$289,SAÍDAS!$B$7:$B$289,"&lt;=" &amp; SAÍDAS!$B444,SAÍDAS!$C$7:$C$289,SAÍDAS!$C444)</f>
        <v>5</v>
      </c>
      <c r="L444" s="179">
        <f t="shared" si="8"/>
        <v>0</v>
      </c>
    </row>
    <row r="445" spans="2:12" ht="15.75" customHeight="1">
      <c r="B445" s="173">
        <v>46071</v>
      </c>
      <c r="C445" s="182" t="s">
        <v>163</v>
      </c>
      <c r="D445" s="182">
        <v>1</v>
      </c>
      <c r="E445" s="185"/>
      <c r="F445" s="185"/>
      <c r="G445" s="185"/>
      <c r="H445" s="186"/>
      <c r="I445" s="177"/>
      <c r="J445" s="178">
        <f>SAÍDAS!$D445-SAÍDAS!$G445</f>
        <v>1</v>
      </c>
      <c r="K445" s="178">
        <f>SUMIFS(ENTRADAS!$E$7:$E$1002,ENTRADAS!$B$7:$B$1002,"&lt;=" &amp; SAÍDAS!$B445,ENTRADAS!$C$7:$C$1002,SAÍDAS!$C445)-SUMIFS(SAÍDAS!$J$7:$J$289,SAÍDAS!$B$7:$B$289,"&lt;=" &amp; SAÍDAS!$B445,SAÍDAS!$C$7:$C$289,SAÍDAS!$C445)</f>
        <v>5</v>
      </c>
      <c r="L445" s="179">
        <f t="shared" si="8"/>
        <v>0</v>
      </c>
    </row>
    <row r="446" spans="2:12" ht="15.75" customHeight="1">
      <c r="B446" s="173">
        <v>46071</v>
      </c>
      <c r="C446" s="182" t="s">
        <v>153</v>
      </c>
      <c r="D446" s="182">
        <v>2</v>
      </c>
      <c r="E446" s="185"/>
      <c r="F446" s="185"/>
      <c r="G446" s="185"/>
      <c r="H446" s="186"/>
      <c r="I446" s="177"/>
      <c r="J446" s="178">
        <f>SAÍDAS!$D446-SAÍDAS!$G446</f>
        <v>2</v>
      </c>
      <c r="K446" s="178">
        <f>SUMIFS(ENTRADAS!$E$7:$E$1002,ENTRADAS!$B$7:$B$1002,"&lt;=" &amp; SAÍDAS!$B446,ENTRADAS!$C$7:$C$1002,SAÍDAS!$C446)-SUMIFS(SAÍDAS!$J$7:$J$289,SAÍDAS!$B$7:$B$289,"&lt;=" &amp; SAÍDAS!$B446,SAÍDAS!$C$7:$C$289,SAÍDAS!$C446)</f>
        <v>4</v>
      </c>
      <c r="L446" s="179">
        <f t="shared" si="8"/>
        <v>0</v>
      </c>
    </row>
    <row r="447" spans="2:12" ht="15.75" customHeight="1">
      <c r="B447" s="173">
        <v>46071</v>
      </c>
      <c r="C447" s="182" t="s">
        <v>154</v>
      </c>
      <c r="D447" s="182">
        <v>1</v>
      </c>
      <c r="E447" s="185"/>
      <c r="F447" s="185"/>
      <c r="G447" s="185"/>
      <c r="H447" s="186"/>
      <c r="I447" s="177"/>
      <c r="J447" s="178">
        <f>SAÍDAS!$D447-SAÍDAS!$G447</f>
        <v>1</v>
      </c>
      <c r="K447" s="178">
        <f>SUMIFS(ENTRADAS!$E$7:$E$1002,ENTRADAS!$B$7:$B$1002,"&lt;=" &amp; SAÍDAS!$B447,ENTRADAS!$C$7:$C$1002,SAÍDAS!$C447)-SUMIFS(SAÍDAS!$J$7:$J$289,SAÍDAS!$B$7:$B$289,"&lt;=" &amp; SAÍDAS!$B447,SAÍDAS!$C$7:$C$289,SAÍDAS!$C447)</f>
        <v>5</v>
      </c>
      <c r="L447" s="179">
        <f t="shared" si="8"/>
        <v>0</v>
      </c>
    </row>
    <row r="448" spans="2:12" ht="15.75" customHeight="1">
      <c r="B448" s="173">
        <v>46071</v>
      </c>
      <c r="C448" s="182" t="s">
        <v>204</v>
      </c>
      <c r="D448" s="182">
        <v>1</v>
      </c>
      <c r="E448" s="185"/>
      <c r="F448" s="185"/>
      <c r="G448" s="185"/>
      <c r="H448" s="186"/>
      <c r="I448" s="177"/>
      <c r="J448" s="178">
        <f>SAÍDAS!$D448-SAÍDAS!$G448</f>
        <v>1</v>
      </c>
      <c r="K448" s="178">
        <f>SUMIFS(ENTRADAS!$E$7:$E$1002,ENTRADAS!$B$7:$B$1002,"&lt;=" &amp; SAÍDAS!$B448,ENTRADAS!$C$7:$C$1002,SAÍDAS!$C448)-SUMIFS(SAÍDAS!$J$7:$J$289,SAÍDAS!$B$7:$B$289,"&lt;=" &amp; SAÍDAS!$B448,SAÍDAS!$C$7:$C$289,SAÍDAS!$C448)</f>
        <v>6</v>
      </c>
      <c r="L448" s="179">
        <f t="shared" si="8"/>
        <v>0</v>
      </c>
    </row>
    <row r="449" spans="2:12" ht="15.75" customHeight="1">
      <c r="B449" s="173">
        <v>46071</v>
      </c>
      <c r="C449" s="182" t="s">
        <v>203</v>
      </c>
      <c r="D449" s="182">
        <v>1</v>
      </c>
      <c r="E449" s="185"/>
      <c r="F449" s="185"/>
      <c r="G449" s="185"/>
      <c r="H449" s="186"/>
      <c r="I449" s="177"/>
      <c r="J449" s="178">
        <f>SAÍDAS!$D449-SAÍDAS!$G449</f>
        <v>1</v>
      </c>
      <c r="K449" s="178">
        <f>SUMIFS(ENTRADAS!$E$7:$E$1002,ENTRADAS!$B$7:$B$1002,"&lt;=" &amp; SAÍDAS!$B449,ENTRADAS!$C$7:$C$1002,SAÍDAS!$C449)-SUMIFS(SAÍDAS!$J$7:$J$289,SAÍDAS!$B$7:$B$289,"&lt;=" &amp; SAÍDAS!$B449,SAÍDAS!$C$7:$C$289,SAÍDAS!$C449)</f>
        <v>3</v>
      </c>
      <c r="L449" s="179">
        <f t="shared" si="8"/>
        <v>0</v>
      </c>
    </row>
    <row r="450" spans="2:12" ht="15.75" customHeight="1">
      <c r="B450" s="173">
        <v>46071</v>
      </c>
      <c r="C450" s="182" t="s">
        <v>341</v>
      </c>
      <c r="D450" s="182">
        <v>1</v>
      </c>
      <c r="E450" s="185"/>
      <c r="F450" s="185"/>
      <c r="G450" s="185"/>
      <c r="H450" s="186"/>
      <c r="I450" s="177"/>
      <c r="J450" s="178">
        <f>SAÍDAS!$D450-SAÍDAS!$G450</f>
        <v>1</v>
      </c>
      <c r="K450" s="178">
        <f>SUMIFS(ENTRADAS!$E$7:$E$1002,ENTRADAS!$B$7:$B$1002,"&lt;=" &amp; SAÍDAS!$B450,ENTRADAS!$C$7:$C$1002,SAÍDAS!$C450)-SUMIFS(SAÍDAS!$J$7:$J$289,SAÍDAS!$B$7:$B$289,"&lt;=" &amp; SAÍDAS!$B450,SAÍDAS!$C$7:$C$289,SAÍDAS!$C450)</f>
        <v>0</v>
      </c>
      <c r="L450" s="179">
        <f t="shared" si="8"/>
        <v>0</v>
      </c>
    </row>
    <row r="451" spans="2:12" ht="15.75" customHeight="1">
      <c r="B451" s="173">
        <v>46072</v>
      </c>
      <c r="C451" s="182" t="s">
        <v>255</v>
      </c>
      <c r="D451" s="182">
        <v>2</v>
      </c>
      <c r="E451" s="185"/>
      <c r="F451" s="185"/>
      <c r="G451" s="185"/>
      <c r="H451" s="186"/>
      <c r="I451" s="177"/>
      <c r="J451" s="178">
        <f>SAÍDAS!$D451-SAÍDAS!$G451</f>
        <v>2</v>
      </c>
      <c r="K451" s="178">
        <f>SUMIFS(ENTRADAS!$E$7:$E$1002,ENTRADAS!$B$7:$B$1002,"&lt;=" &amp; SAÍDAS!$B451,ENTRADAS!$C$7:$C$1002,SAÍDAS!$C451)-SUMIFS(SAÍDAS!$J$7:$J$289,SAÍDAS!$B$7:$B$289,"&lt;=" &amp; SAÍDAS!$B451,SAÍDAS!$C$7:$C$289,SAÍDAS!$C451)</f>
        <v>13</v>
      </c>
      <c r="L451" s="179">
        <f t="shared" si="8"/>
        <v>0</v>
      </c>
    </row>
    <row r="452" spans="2:12" ht="15.75" customHeight="1">
      <c r="B452" s="173">
        <v>46072</v>
      </c>
      <c r="C452" s="182" t="s">
        <v>233</v>
      </c>
      <c r="D452" s="182">
        <v>2</v>
      </c>
      <c r="E452" s="185"/>
      <c r="F452" s="185"/>
      <c r="G452" s="185"/>
      <c r="H452" s="186"/>
      <c r="I452" s="177"/>
      <c r="J452" s="178">
        <f>SAÍDAS!$D452-SAÍDAS!$G452</f>
        <v>2</v>
      </c>
      <c r="K452" s="178">
        <f>SUMIFS(ENTRADAS!$E$7:$E$1002,ENTRADAS!$B$7:$B$1002,"&lt;=" &amp; SAÍDAS!$B452,ENTRADAS!$C$7:$C$1002,SAÍDAS!$C452)-SUMIFS(SAÍDAS!$J$7:$J$289,SAÍDAS!$B$7:$B$289,"&lt;=" &amp; SAÍDAS!$B452,SAÍDAS!$C$7:$C$289,SAÍDAS!$C452)</f>
        <v>64</v>
      </c>
      <c r="L452" s="179">
        <f t="shared" si="8"/>
        <v>0</v>
      </c>
    </row>
    <row r="453" spans="2:12" ht="15.75" customHeight="1">
      <c r="B453" s="173">
        <v>46072</v>
      </c>
      <c r="C453" s="182" t="s">
        <v>234</v>
      </c>
      <c r="D453" s="182">
        <v>3</v>
      </c>
      <c r="E453" s="185"/>
      <c r="F453" s="185"/>
      <c r="G453" s="185"/>
      <c r="H453" s="186"/>
      <c r="I453" s="177"/>
      <c r="J453" s="178">
        <f>SAÍDAS!$D453-SAÍDAS!$G453</f>
        <v>3</v>
      </c>
      <c r="K453" s="178">
        <f>SUMIFS(ENTRADAS!$E$7:$E$1002,ENTRADAS!$B$7:$B$1002,"&lt;=" &amp; SAÍDAS!$B453,ENTRADAS!$C$7:$C$1002,SAÍDAS!$C453)-SUMIFS(SAÍDAS!$J$7:$J$289,SAÍDAS!$B$7:$B$289,"&lt;=" &amp; SAÍDAS!$B453,SAÍDAS!$C$7:$C$289,SAÍDAS!$C453)</f>
        <v>35</v>
      </c>
      <c r="L453" s="179">
        <f t="shared" si="8"/>
        <v>0</v>
      </c>
    </row>
    <row r="454" spans="2:12" ht="15.75" customHeight="1">
      <c r="B454" s="173">
        <v>46072</v>
      </c>
      <c r="C454" s="182" t="s">
        <v>236</v>
      </c>
      <c r="D454" s="182">
        <v>3</v>
      </c>
      <c r="E454" s="185"/>
      <c r="F454" s="185"/>
      <c r="G454" s="185"/>
      <c r="H454" s="186"/>
      <c r="I454" s="177"/>
      <c r="J454" s="178">
        <f>SAÍDAS!$D454-SAÍDAS!$G454</f>
        <v>3</v>
      </c>
      <c r="K454" s="178">
        <f>SUMIFS(ENTRADAS!$E$7:$E$1002,ENTRADAS!$B$7:$B$1002,"&lt;=" &amp; SAÍDAS!$B454,ENTRADAS!$C$7:$C$1002,SAÍDAS!$C454)-SUMIFS(SAÍDAS!$J$7:$J$289,SAÍDAS!$B$7:$B$289,"&lt;=" &amp; SAÍDAS!$B454,SAÍDAS!$C$7:$C$289,SAÍDAS!$C454)</f>
        <v>1</v>
      </c>
      <c r="L454" s="179">
        <f t="shared" si="8"/>
        <v>0</v>
      </c>
    </row>
    <row r="455" spans="2:12" ht="15.75" customHeight="1">
      <c r="B455" s="173">
        <v>46072</v>
      </c>
      <c r="C455" s="182" t="s">
        <v>237</v>
      </c>
      <c r="D455" s="182">
        <v>4</v>
      </c>
      <c r="E455" s="185"/>
      <c r="F455" s="185"/>
      <c r="G455" s="185"/>
      <c r="H455" s="186"/>
      <c r="I455" s="177"/>
      <c r="J455" s="178">
        <f>SAÍDAS!$D455-SAÍDAS!$G455</f>
        <v>4</v>
      </c>
      <c r="K455" s="178">
        <f>SUMIFS(ENTRADAS!$E$7:$E$1002,ENTRADAS!$B$7:$B$1002,"&lt;=" &amp; SAÍDAS!$B455,ENTRADAS!$C$7:$C$1002,SAÍDAS!$C455)-SUMIFS(SAÍDAS!$J$7:$J$289,SAÍDAS!$B$7:$B$289,"&lt;=" &amp; SAÍDAS!$B455,SAÍDAS!$C$7:$C$289,SAÍDAS!$C455)</f>
        <v>47</v>
      </c>
      <c r="L455" s="179">
        <f t="shared" si="8"/>
        <v>0</v>
      </c>
    </row>
    <row r="456" spans="2:12" ht="15.75" customHeight="1">
      <c r="B456" s="173">
        <v>46072</v>
      </c>
      <c r="C456" s="182" t="s">
        <v>242</v>
      </c>
      <c r="D456" s="182">
        <v>1</v>
      </c>
      <c r="E456" s="185"/>
      <c r="F456" s="185"/>
      <c r="G456" s="185"/>
      <c r="H456" s="186"/>
      <c r="I456" s="177"/>
      <c r="J456" s="178">
        <f>SAÍDAS!$D456-SAÍDAS!$G456</f>
        <v>1</v>
      </c>
      <c r="K456" s="178">
        <f>SUMIFS(ENTRADAS!$E$7:$E$1002,ENTRADAS!$B$7:$B$1002,"&lt;=" &amp; SAÍDAS!$B456,ENTRADAS!$C$7:$C$1002,SAÍDAS!$C456)-SUMIFS(SAÍDAS!$J$7:$J$289,SAÍDAS!$B$7:$B$289,"&lt;=" &amp; SAÍDAS!$B456,SAÍDAS!$C$7:$C$289,SAÍDAS!$C456)</f>
        <v>2</v>
      </c>
      <c r="L456" s="179">
        <f t="shared" si="8"/>
        <v>0</v>
      </c>
    </row>
    <row r="457" spans="2:12" ht="15.75" customHeight="1">
      <c r="B457" s="173">
        <v>46072</v>
      </c>
      <c r="C457" s="182" t="s">
        <v>117</v>
      </c>
      <c r="D457" s="182">
        <v>2</v>
      </c>
      <c r="E457" s="185"/>
      <c r="F457" s="185"/>
      <c r="G457" s="185"/>
      <c r="H457" s="186"/>
      <c r="I457" s="177"/>
      <c r="J457" s="178">
        <f>SAÍDAS!$D457-SAÍDAS!$G457</f>
        <v>2</v>
      </c>
      <c r="K457" s="178">
        <f>SUMIFS(ENTRADAS!$E$7:$E$1002,ENTRADAS!$B$7:$B$1002,"&lt;=" &amp; SAÍDAS!$B457,ENTRADAS!$C$7:$C$1002,SAÍDAS!$C457)-SUMIFS(SAÍDAS!$J$7:$J$289,SAÍDAS!$B$7:$B$289,"&lt;=" &amp; SAÍDAS!$B457,SAÍDAS!$C$7:$C$289,SAÍDAS!$C457)</f>
        <v>5</v>
      </c>
      <c r="L457" s="179">
        <f t="shared" si="8"/>
        <v>0</v>
      </c>
    </row>
    <row r="458" spans="2:12" ht="15.75" customHeight="1">
      <c r="B458" s="173">
        <v>46072</v>
      </c>
      <c r="C458" s="182" t="s">
        <v>196</v>
      </c>
      <c r="D458" s="182">
        <v>1</v>
      </c>
      <c r="E458" s="185"/>
      <c r="F458" s="185"/>
      <c r="G458" s="185"/>
      <c r="H458" s="186"/>
      <c r="I458" s="177"/>
      <c r="J458" s="178">
        <f>SAÍDAS!$D458-SAÍDAS!$G458</f>
        <v>1</v>
      </c>
      <c r="K458" s="178">
        <f>SUMIFS(ENTRADAS!$E$7:$E$1002,ENTRADAS!$B$7:$B$1002,"&lt;=" &amp; SAÍDAS!$B458,ENTRADAS!$C$7:$C$1002,SAÍDAS!$C458)-SUMIFS(SAÍDAS!$J$7:$J$289,SAÍDAS!$B$7:$B$289,"&lt;=" &amp; SAÍDAS!$B458,SAÍDAS!$C$7:$C$289,SAÍDAS!$C458)</f>
        <v>3</v>
      </c>
      <c r="L458" s="179">
        <f t="shared" si="8"/>
        <v>0</v>
      </c>
    </row>
    <row r="459" spans="2:12" ht="15.75" customHeight="1">
      <c r="B459" s="173">
        <v>46072</v>
      </c>
      <c r="C459" s="182" t="s">
        <v>195</v>
      </c>
      <c r="D459" s="182">
        <v>1</v>
      </c>
      <c r="E459" s="185"/>
      <c r="F459" s="185"/>
      <c r="G459" s="185"/>
      <c r="H459" s="186"/>
      <c r="I459" s="177"/>
      <c r="J459" s="178">
        <f>SAÍDAS!$D459-SAÍDAS!$G459</f>
        <v>1</v>
      </c>
      <c r="K459" s="178">
        <f>SUMIFS(ENTRADAS!$E$7:$E$1002,ENTRADAS!$B$7:$B$1002,"&lt;=" &amp; SAÍDAS!$B459,ENTRADAS!$C$7:$C$1002,SAÍDAS!$C459)-SUMIFS(SAÍDAS!$J$7:$J$289,SAÍDAS!$B$7:$B$289,"&lt;=" &amp; SAÍDAS!$B459,SAÍDAS!$C$7:$C$289,SAÍDAS!$C459)</f>
        <v>5</v>
      </c>
      <c r="L459" s="179">
        <f t="shared" si="8"/>
        <v>0</v>
      </c>
    </row>
    <row r="460" spans="2:12" ht="15.75" customHeight="1">
      <c r="B460" s="173">
        <v>46072</v>
      </c>
      <c r="C460" s="182" t="s">
        <v>199</v>
      </c>
      <c r="D460" s="182">
        <v>1</v>
      </c>
      <c r="E460" s="185"/>
      <c r="F460" s="185"/>
      <c r="G460" s="185"/>
      <c r="H460" s="186"/>
      <c r="I460" s="177"/>
      <c r="J460" s="178">
        <f>SAÍDAS!$D460-SAÍDAS!$G460</f>
        <v>1</v>
      </c>
      <c r="K460" s="178">
        <f>SUMIFS(ENTRADAS!$E$7:$E$1002,ENTRADAS!$B$7:$B$1002,"&lt;=" &amp; SAÍDAS!$B460,ENTRADAS!$C$7:$C$1002,SAÍDAS!$C460)-SUMIFS(SAÍDAS!$J$7:$J$289,SAÍDAS!$B$7:$B$289,"&lt;=" &amp; SAÍDAS!$B460,SAÍDAS!$C$7:$C$289,SAÍDAS!$C460)</f>
        <v>4</v>
      </c>
      <c r="L460" s="179">
        <f t="shared" si="8"/>
        <v>0</v>
      </c>
    </row>
    <row r="461" spans="2:12" ht="15.75" customHeight="1">
      <c r="B461" s="173">
        <v>46072</v>
      </c>
      <c r="C461" s="182" t="s">
        <v>202</v>
      </c>
      <c r="D461" s="182">
        <v>1</v>
      </c>
      <c r="E461" s="185"/>
      <c r="F461" s="185"/>
      <c r="G461" s="185"/>
      <c r="H461" s="186"/>
      <c r="I461" s="177"/>
      <c r="J461" s="178">
        <f>SAÍDAS!$D461-SAÍDAS!$G461</f>
        <v>1</v>
      </c>
      <c r="K461" s="178">
        <f>SUMIFS(ENTRADAS!$E$7:$E$1002,ENTRADAS!$B$7:$B$1002,"&lt;=" &amp; SAÍDAS!$B461,ENTRADAS!$C$7:$C$1002,SAÍDAS!$C461)-SUMIFS(SAÍDAS!$J$7:$J$289,SAÍDAS!$B$7:$B$289,"&lt;=" &amp; SAÍDAS!$B461,SAÍDAS!$C$7:$C$289,SAÍDAS!$C461)</f>
        <v>4</v>
      </c>
      <c r="L461" s="179">
        <f t="shared" si="8"/>
        <v>0</v>
      </c>
    </row>
    <row r="462" spans="2:12" ht="15.75" customHeight="1">
      <c r="B462" s="173">
        <v>46072</v>
      </c>
      <c r="C462" s="182" t="s">
        <v>103</v>
      </c>
      <c r="D462" s="182">
        <v>2</v>
      </c>
      <c r="E462" s="185"/>
      <c r="F462" s="185"/>
      <c r="G462" s="185"/>
      <c r="H462" s="186"/>
      <c r="I462" s="177"/>
      <c r="J462" s="178">
        <f>SAÍDAS!$D462-SAÍDAS!$G462</f>
        <v>2</v>
      </c>
      <c r="K462" s="178">
        <f>SUMIFS(ENTRADAS!$E$7:$E$1002,ENTRADAS!$B$7:$B$1002,"&lt;=" &amp; SAÍDAS!$B462,ENTRADAS!$C$7:$C$1002,SAÍDAS!$C462)-SUMIFS(SAÍDAS!$J$7:$J$289,SAÍDAS!$B$7:$B$289,"&lt;=" &amp; SAÍDAS!$B462,SAÍDAS!$C$7:$C$289,SAÍDAS!$C462)</f>
        <v>106</v>
      </c>
      <c r="L462" s="179">
        <f t="shared" si="8"/>
        <v>0</v>
      </c>
    </row>
    <row r="463" spans="2:12" ht="15.75" customHeight="1">
      <c r="B463" s="173">
        <v>46072</v>
      </c>
      <c r="C463" s="182" t="s">
        <v>105</v>
      </c>
      <c r="D463" s="182">
        <v>1</v>
      </c>
      <c r="E463" s="185"/>
      <c r="F463" s="185"/>
      <c r="G463" s="185"/>
      <c r="H463" s="186"/>
      <c r="I463" s="177"/>
      <c r="J463" s="178">
        <f>SAÍDAS!$D463-SAÍDAS!$G463</f>
        <v>1</v>
      </c>
      <c r="K463" s="178">
        <f>SUMIFS(ENTRADAS!$E$7:$E$1002,ENTRADAS!$B$7:$B$1002,"&lt;=" &amp; SAÍDAS!$B463,ENTRADAS!$C$7:$C$1002,SAÍDAS!$C463)-SUMIFS(SAÍDAS!$J$7:$J$289,SAÍDAS!$B$7:$B$289,"&lt;=" &amp; SAÍDAS!$B463,SAÍDAS!$C$7:$C$289,SAÍDAS!$C463)</f>
        <v>13</v>
      </c>
      <c r="L463" s="179">
        <f t="shared" si="8"/>
        <v>0</v>
      </c>
    </row>
    <row r="464" spans="2:12" ht="15.75" customHeight="1">
      <c r="B464" s="173">
        <v>46072</v>
      </c>
      <c r="C464" s="182" t="s">
        <v>101</v>
      </c>
      <c r="D464" s="182">
        <v>1</v>
      </c>
      <c r="E464" s="185"/>
      <c r="F464" s="185"/>
      <c r="G464" s="185"/>
      <c r="H464" s="186"/>
      <c r="I464" s="177"/>
      <c r="J464" s="178">
        <f>SAÍDAS!$D464-SAÍDAS!$G464</f>
        <v>1</v>
      </c>
      <c r="K464" s="178">
        <f>SUMIFS(ENTRADAS!$E$7:$E$1002,ENTRADAS!$B$7:$B$1002,"&lt;=" &amp; SAÍDAS!$B464,ENTRADAS!$C$7:$C$1002,SAÍDAS!$C464)-SUMIFS(SAÍDAS!$J$7:$J$289,SAÍDAS!$B$7:$B$289,"&lt;=" &amp; SAÍDAS!$B464,SAÍDAS!$C$7:$C$289,SAÍDAS!$C464)</f>
        <v>5</v>
      </c>
      <c r="L464" s="179">
        <f t="shared" si="8"/>
        <v>0</v>
      </c>
    </row>
    <row r="465" spans="2:12" ht="15.75" customHeight="1">
      <c r="B465" s="173">
        <v>46072</v>
      </c>
      <c r="C465" s="182" t="s">
        <v>153</v>
      </c>
      <c r="D465" s="182">
        <v>1</v>
      </c>
      <c r="E465" s="185"/>
      <c r="F465" s="185"/>
      <c r="G465" s="185"/>
      <c r="H465" s="186"/>
      <c r="I465" s="177"/>
      <c r="J465" s="178">
        <f>SAÍDAS!$D465-SAÍDAS!$G465</f>
        <v>1</v>
      </c>
      <c r="K465" s="178">
        <f>SUMIFS(ENTRADAS!$E$7:$E$1002,ENTRADAS!$B$7:$B$1002,"&lt;=" &amp; SAÍDAS!$B465,ENTRADAS!$C$7:$C$1002,SAÍDAS!$C465)-SUMIFS(SAÍDAS!$J$7:$J$289,SAÍDAS!$B$7:$B$289,"&lt;=" &amp; SAÍDAS!$B465,SAÍDAS!$C$7:$C$289,SAÍDAS!$C465)</f>
        <v>4</v>
      </c>
      <c r="L465" s="179">
        <f t="shared" si="8"/>
        <v>0</v>
      </c>
    </row>
    <row r="466" spans="2:12" ht="15.75" customHeight="1">
      <c r="B466" s="173">
        <v>46072</v>
      </c>
      <c r="C466" s="182" t="s">
        <v>188</v>
      </c>
      <c r="D466" s="182">
        <v>1</v>
      </c>
      <c r="E466" s="185"/>
      <c r="F466" s="185"/>
      <c r="G466" s="185"/>
      <c r="H466" s="186"/>
      <c r="I466" s="177"/>
      <c r="J466" s="178">
        <f>SAÍDAS!$D466-SAÍDAS!$G466</f>
        <v>1</v>
      </c>
      <c r="K466" s="178">
        <f>SUMIFS(ENTRADAS!$E$7:$E$1002,ENTRADAS!$B$7:$B$1002,"&lt;=" &amp; SAÍDAS!$B466,ENTRADAS!$C$7:$C$1002,SAÍDAS!$C466)-SUMIFS(SAÍDAS!$J$7:$J$289,SAÍDAS!$B$7:$B$289,"&lt;=" &amp; SAÍDAS!$B466,SAÍDAS!$C$7:$C$289,SAÍDAS!$C466)</f>
        <v>7</v>
      </c>
      <c r="L466" s="179">
        <f t="shared" si="8"/>
        <v>0</v>
      </c>
    </row>
    <row r="467" spans="2:12" ht="15.75" customHeight="1">
      <c r="B467" s="173">
        <v>46072</v>
      </c>
      <c r="C467" s="182" t="s">
        <v>92</v>
      </c>
      <c r="D467" s="182">
        <v>2</v>
      </c>
      <c r="E467" s="185"/>
      <c r="F467" s="185"/>
      <c r="G467" s="185"/>
      <c r="H467" s="186"/>
      <c r="I467" s="177"/>
      <c r="J467" s="178">
        <f>SAÍDAS!$D467-SAÍDAS!$G467</f>
        <v>2</v>
      </c>
      <c r="K467" s="178">
        <f>SUMIFS(ENTRADAS!$E$7:$E$1002,ENTRADAS!$B$7:$B$1002,"&lt;=" &amp; SAÍDAS!$B467,ENTRADAS!$C$7:$C$1002,SAÍDAS!$C467)-SUMIFS(SAÍDAS!$J$7:$J$289,SAÍDAS!$B$7:$B$289,"&lt;=" &amp; SAÍDAS!$B467,SAÍDAS!$C$7:$C$289,SAÍDAS!$C467)</f>
        <v>36</v>
      </c>
      <c r="L467" s="179">
        <f t="shared" si="8"/>
        <v>0</v>
      </c>
    </row>
    <row r="468" spans="2:12" ht="15.75" customHeight="1">
      <c r="B468" s="173">
        <v>46072</v>
      </c>
      <c r="C468" s="182" t="s">
        <v>97</v>
      </c>
      <c r="D468" s="182">
        <v>1</v>
      </c>
      <c r="E468" s="185"/>
      <c r="F468" s="185"/>
      <c r="G468" s="185"/>
      <c r="H468" s="186"/>
      <c r="I468" s="177"/>
      <c r="J468" s="178">
        <f>SAÍDAS!$D468-SAÍDAS!$G468</f>
        <v>1</v>
      </c>
      <c r="K468" s="178">
        <f>SUMIFS(ENTRADAS!$E$7:$E$1002,ENTRADAS!$B$7:$B$1002,"&lt;=" &amp; SAÍDAS!$B468,ENTRADAS!$C$7:$C$1002,SAÍDAS!$C468)-SUMIFS(SAÍDAS!$J$7:$J$289,SAÍDAS!$B$7:$B$289,"&lt;=" &amp; SAÍDAS!$B468,SAÍDAS!$C$7:$C$289,SAÍDAS!$C468)</f>
        <v>0</v>
      </c>
      <c r="L468" s="179">
        <f t="shared" si="8"/>
        <v>0</v>
      </c>
    </row>
    <row r="469" spans="2:12" ht="15.75" customHeight="1">
      <c r="B469" s="173">
        <v>46072</v>
      </c>
      <c r="C469" s="182" t="s">
        <v>157</v>
      </c>
      <c r="D469" s="182">
        <v>2</v>
      </c>
      <c r="E469" s="185"/>
      <c r="F469" s="185"/>
      <c r="G469" s="185"/>
      <c r="H469" s="186"/>
      <c r="I469" s="177"/>
      <c r="J469" s="178">
        <f>SAÍDAS!$D469-SAÍDAS!$G469</f>
        <v>2</v>
      </c>
      <c r="K469" s="178">
        <f>SUMIFS(ENTRADAS!$E$7:$E$1002,ENTRADAS!$B$7:$B$1002,"&lt;=" &amp; SAÍDAS!$B469,ENTRADAS!$C$7:$C$1002,SAÍDAS!$C469)-SUMIFS(SAÍDAS!$J$7:$J$289,SAÍDAS!$B$7:$B$289,"&lt;=" &amp; SAÍDAS!$B469,SAÍDAS!$C$7:$C$289,SAÍDAS!$C469)</f>
        <v>16</v>
      </c>
      <c r="L469" s="179">
        <f t="shared" si="8"/>
        <v>0</v>
      </c>
    </row>
    <row r="470" spans="2:12" ht="15.75" customHeight="1">
      <c r="B470" s="173">
        <v>46072</v>
      </c>
      <c r="C470" s="182" t="s">
        <v>142</v>
      </c>
      <c r="D470" s="182">
        <v>1</v>
      </c>
      <c r="E470" s="185"/>
      <c r="F470" s="185"/>
      <c r="G470" s="185"/>
      <c r="H470" s="186"/>
      <c r="I470" s="177"/>
      <c r="J470" s="178">
        <f>SAÍDAS!$D470-SAÍDAS!$G470</f>
        <v>1</v>
      </c>
      <c r="K470" s="178">
        <f>SUMIFS(ENTRADAS!$E$7:$E$1002,ENTRADAS!$B$7:$B$1002,"&lt;=" &amp; SAÍDAS!$B470,ENTRADAS!$C$7:$C$1002,SAÍDAS!$C470)-SUMIFS(SAÍDAS!$J$7:$J$289,SAÍDAS!$B$7:$B$289,"&lt;=" &amp; SAÍDAS!$B470,SAÍDAS!$C$7:$C$289,SAÍDAS!$C470)</f>
        <v>3</v>
      </c>
      <c r="L470" s="179">
        <f t="shared" si="8"/>
        <v>0</v>
      </c>
    </row>
    <row r="471" spans="2:12" ht="15.75" customHeight="1">
      <c r="B471" s="173">
        <v>46072</v>
      </c>
      <c r="C471" s="182" t="s">
        <v>208</v>
      </c>
      <c r="D471" s="182">
        <v>2</v>
      </c>
      <c r="E471" s="185"/>
      <c r="F471" s="185"/>
      <c r="G471" s="185"/>
      <c r="H471" s="186"/>
      <c r="I471" s="177"/>
      <c r="J471" s="178">
        <f>SAÍDAS!$D471-SAÍDAS!$G471</f>
        <v>2</v>
      </c>
      <c r="K471" s="178">
        <f>SUMIFS(ENTRADAS!$E$7:$E$1002,ENTRADAS!$B$7:$B$1002,"&lt;=" &amp; SAÍDAS!$B471,ENTRADAS!$C$7:$C$1002,SAÍDAS!$C471)-SUMIFS(SAÍDAS!$J$7:$J$289,SAÍDAS!$B$7:$B$289,"&lt;=" &amp; SAÍDAS!$B471,SAÍDAS!$C$7:$C$289,SAÍDAS!$C471)</f>
        <v>3</v>
      </c>
      <c r="L471" s="179">
        <f t="shared" si="8"/>
        <v>0</v>
      </c>
    </row>
    <row r="472" spans="2:12" ht="15.75" customHeight="1">
      <c r="B472" s="173">
        <v>46072</v>
      </c>
      <c r="C472" s="182" t="s">
        <v>241</v>
      </c>
      <c r="D472" s="182">
        <v>1</v>
      </c>
      <c r="E472" s="185" t="s">
        <v>343</v>
      </c>
      <c r="F472" s="185"/>
      <c r="G472" s="185"/>
      <c r="H472" s="186"/>
      <c r="I472" s="177"/>
      <c r="J472" s="178">
        <f>SAÍDAS!$D472-SAÍDAS!$G472</f>
        <v>1</v>
      </c>
      <c r="K472" s="178">
        <f>SUMIFS(ENTRADAS!$E$7:$E$1002,ENTRADAS!$B$7:$B$1002,"&lt;=" &amp; SAÍDAS!$B472,ENTRADAS!$C$7:$C$1002,SAÍDAS!$C472)-SUMIFS(SAÍDAS!$J$7:$J$289,SAÍDAS!$B$7:$B$289,"&lt;=" &amp; SAÍDAS!$B472,SAÍDAS!$C$7:$C$289,SAÍDAS!$C472)</f>
        <v>12</v>
      </c>
      <c r="L472" s="179">
        <f t="shared" si="8"/>
        <v>0</v>
      </c>
    </row>
    <row r="473" spans="2:12" ht="15.75" customHeight="1">
      <c r="B473" s="173"/>
      <c r="C473" s="182"/>
      <c r="D473" s="182"/>
      <c r="E473" s="185"/>
      <c r="F473" s="185"/>
      <c r="G473" s="185"/>
      <c r="H473" s="186"/>
      <c r="I473" s="177"/>
      <c r="J473" s="178">
        <f>SAÍDAS!$D473-SAÍDAS!$G473</f>
        <v>0</v>
      </c>
      <c r="K473" s="178">
        <f>SUMIFS(ENTRADAS!$E$7:$E$1002,ENTRADAS!$B$7:$B$1002,"&lt;=" &amp; SAÍDAS!$B473,ENTRADAS!$C$7:$C$1002,SAÍDAS!$C473)-SUMIFS(SAÍDAS!$J$7:$J$289,SAÍDAS!$B$7:$B$289,"&lt;=" &amp; SAÍDAS!$B473,SAÍDAS!$C$7:$C$289,SAÍDAS!$C473)</f>
        <v>0</v>
      </c>
      <c r="L473" s="179">
        <f t="shared" si="8"/>
        <v>0</v>
      </c>
    </row>
    <row r="474" spans="2:12" ht="15.75" customHeight="1">
      <c r="B474" s="173"/>
      <c r="C474" s="182"/>
      <c r="D474" s="182"/>
      <c r="E474" s="185"/>
      <c r="F474" s="185"/>
      <c r="G474" s="185"/>
      <c r="H474" s="186"/>
      <c r="I474" s="177"/>
      <c r="J474" s="178">
        <f>SAÍDAS!$D474-SAÍDAS!$G474</f>
        <v>0</v>
      </c>
      <c r="K474" s="178">
        <f>SUMIFS(ENTRADAS!$E$7:$E$1002,ENTRADAS!$B$7:$B$1002,"&lt;=" &amp; SAÍDAS!$B474,ENTRADAS!$C$7:$C$1002,SAÍDAS!$C474)-SUMIFS(SAÍDAS!$J$7:$J$289,SAÍDAS!$B$7:$B$289,"&lt;=" &amp; SAÍDAS!$B474,SAÍDAS!$C$7:$C$289,SAÍDAS!$C474)</f>
        <v>0</v>
      </c>
      <c r="L474" s="179">
        <f t="shared" si="8"/>
        <v>0</v>
      </c>
    </row>
    <row r="475" spans="2:12" ht="15.75" customHeight="1">
      <c r="B475" s="173"/>
      <c r="C475" s="182"/>
      <c r="D475" s="182"/>
      <c r="E475" s="185"/>
      <c r="F475" s="185"/>
      <c r="G475" s="185"/>
      <c r="H475" s="186"/>
      <c r="I475" s="177"/>
      <c r="J475" s="178">
        <f>SAÍDAS!$D475-SAÍDAS!$G475</f>
        <v>0</v>
      </c>
      <c r="K475" s="178">
        <f>SUMIFS(ENTRADAS!$E$7:$E$1002,ENTRADAS!$B$7:$B$1002,"&lt;=" &amp; SAÍDAS!$B475,ENTRADAS!$C$7:$C$1002,SAÍDAS!$C475)-SUMIFS(SAÍDAS!$J$7:$J$289,SAÍDAS!$B$7:$B$289,"&lt;=" &amp; SAÍDAS!$B475,SAÍDAS!$C$7:$C$289,SAÍDAS!$C475)</f>
        <v>0</v>
      </c>
      <c r="L475" s="179">
        <f t="shared" si="8"/>
        <v>0</v>
      </c>
    </row>
    <row r="476" spans="2:12" ht="15.75" customHeight="1">
      <c r="B476" s="173"/>
      <c r="C476" s="182"/>
      <c r="D476" s="182"/>
      <c r="E476" s="185"/>
      <c r="F476" s="185"/>
      <c r="G476" s="185"/>
      <c r="H476" s="186"/>
      <c r="I476" s="177"/>
      <c r="J476" s="178">
        <f>SAÍDAS!$D476-SAÍDAS!$G476</f>
        <v>0</v>
      </c>
      <c r="K476" s="178">
        <f>SUMIFS(ENTRADAS!$E$7:$E$1002,ENTRADAS!$B$7:$B$1002,"&lt;=" &amp; SAÍDAS!$B476,ENTRADAS!$C$7:$C$1002,SAÍDAS!$C476)-SUMIFS(SAÍDAS!$J$7:$J$289,SAÍDAS!$B$7:$B$289,"&lt;=" &amp; SAÍDAS!$B476,SAÍDAS!$C$7:$C$289,SAÍDAS!$C476)</f>
        <v>0</v>
      </c>
      <c r="L476" s="179">
        <f t="shared" si="8"/>
        <v>0</v>
      </c>
    </row>
    <row r="477" spans="2:12" ht="15.75" customHeight="1">
      <c r="B477" s="173"/>
      <c r="C477" s="182"/>
      <c r="D477" s="182"/>
      <c r="E477" s="185"/>
      <c r="F477" s="185"/>
      <c r="G477" s="185"/>
      <c r="H477" s="186"/>
      <c r="I477" s="177"/>
      <c r="J477" s="178">
        <f>SAÍDAS!$D477-SAÍDAS!$G477</f>
        <v>0</v>
      </c>
      <c r="K477" s="178">
        <f>SUMIFS(ENTRADAS!$E$7:$E$1002,ENTRADAS!$B$7:$B$1002,"&lt;=" &amp; SAÍDAS!$B477,ENTRADAS!$C$7:$C$1002,SAÍDAS!$C477)-SUMIFS(SAÍDAS!$J$7:$J$289,SAÍDAS!$B$7:$B$289,"&lt;=" &amp; SAÍDAS!$B477,SAÍDAS!$C$7:$C$289,SAÍDAS!$C477)</f>
        <v>0</v>
      </c>
      <c r="L477" s="179">
        <f t="shared" si="8"/>
        <v>0</v>
      </c>
    </row>
    <row r="478" spans="2:12" ht="15.75" customHeight="1">
      <c r="B478" s="173"/>
      <c r="C478" s="182"/>
      <c r="D478" s="182"/>
      <c r="E478" s="185"/>
      <c r="F478" s="185"/>
      <c r="G478" s="185"/>
      <c r="H478" s="186"/>
      <c r="I478" s="177"/>
      <c r="J478" s="178">
        <f>SAÍDAS!$D478-SAÍDAS!$G478</f>
        <v>0</v>
      </c>
      <c r="K478" s="178">
        <f>SUMIFS(ENTRADAS!$E$7:$E$1002,ENTRADAS!$B$7:$B$1002,"&lt;=" &amp; SAÍDAS!$B478,ENTRADAS!$C$7:$C$1002,SAÍDAS!$C478)-SUMIFS(SAÍDAS!$J$7:$J$289,SAÍDAS!$B$7:$B$289,"&lt;=" &amp; SAÍDAS!$B478,SAÍDAS!$C$7:$C$289,SAÍDAS!$C478)</f>
        <v>0</v>
      </c>
      <c r="L478" s="179">
        <f t="shared" si="8"/>
        <v>0</v>
      </c>
    </row>
    <row r="479" spans="2:12" ht="15.75" customHeight="1">
      <c r="B479" s="173"/>
      <c r="C479" s="182"/>
      <c r="D479" s="182"/>
      <c r="E479" s="185"/>
      <c r="F479" s="185"/>
      <c r="G479" s="185"/>
      <c r="H479" s="186"/>
      <c r="I479" s="177"/>
      <c r="J479" s="178">
        <f>SAÍDAS!$D479-SAÍDAS!$G479</f>
        <v>0</v>
      </c>
      <c r="K479" s="178">
        <f>SUMIFS(ENTRADAS!$E$7:$E$1002,ENTRADAS!$B$7:$B$1002,"&lt;=" &amp; SAÍDAS!$B479,ENTRADAS!$C$7:$C$1002,SAÍDAS!$C479)-SUMIFS(SAÍDAS!$J$7:$J$289,SAÍDAS!$B$7:$B$289,"&lt;=" &amp; SAÍDAS!$B479,SAÍDAS!$C$7:$C$289,SAÍDAS!$C479)</f>
        <v>0</v>
      </c>
      <c r="L479" s="179">
        <f t="shared" si="8"/>
        <v>0</v>
      </c>
    </row>
    <row r="480" spans="2:12" ht="15.75" customHeight="1">
      <c r="B480" s="173"/>
      <c r="C480" s="182"/>
      <c r="D480" s="182"/>
      <c r="E480" s="185"/>
      <c r="F480" s="185"/>
      <c r="G480" s="185"/>
      <c r="H480" s="186"/>
      <c r="I480" s="177"/>
      <c r="J480" s="178">
        <f>SAÍDAS!$D480-SAÍDAS!$G480</f>
        <v>0</v>
      </c>
      <c r="K480" s="178">
        <f>SUMIFS(ENTRADAS!$E$7:$E$1002,ENTRADAS!$B$7:$B$1002,"&lt;=" &amp; SAÍDAS!$B480,ENTRADAS!$C$7:$C$1002,SAÍDAS!$C480)-SUMIFS(SAÍDAS!$J$7:$J$289,SAÍDAS!$B$7:$B$289,"&lt;=" &amp; SAÍDAS!$B480,SAÍDAS!$C$7:$C$289,SAÍDAS!$C480)</f>
        <v>0</v>
      </c>
      <c r="L480" s="179">
        <f t="shared" si="8"/>
        <v>0</v>
      </c>
    </row>
    <row r="481" spans="2:12" ht="15.75" customHeight="1">
      <c r="B481" s="173"/>
      <c r="C481" s="182"/>
      <c r="D481" s="182"/>
      <c r="E481" s="185"/>
      <c r="F481" s="185"/>
      <c r="G481" s="185"/>
      <c r="H481" s="186"/>
      <c r="I481" s="177"/>
      <c r="J481" s="178">
        <f>SAÍDAS!$D481-SAÍDAS!$G481</f>
        <v>0</v>
      </c>
      <c r="K481" s="178">
        <f>SUMIFS(ENTRADAS!$E$7:$E$1002,ENTRADAS!$B$7:$B$1002,"&lt;=" &amp; SAÍDAS!$B481,ENTRADAS!$C$7:$C$1002,SAÍDAS!$C481)-SUMIFS(SAÍDAS!$J$7:$J$289,SAÍDAS!$B$7:$B$289,"&lt;=" &amp; SAÍDAS!$B481,SAÍDAS!$C$7:$C$289,SAÍDAS!$C481)</f>
        <v>0</v>
      </c>
      <c r="L481" s="179">
        <f t="shared" si="8"/>
        <v>0</v>
      </c>
    </row>
    <row r="482" spans="2:12" ht="15.75" customHeight="1">
      <c r="B482" s="173"/>
      <c r="C482" s="182"/>
      <c r="D482" s="182"/>
      <c r="E482" s="185"/>
      <c r="F482" s="185"/>
      <c r="G482" s="185"/>
      <c r="H482" s="186"/>
      <c r="I482" s="177"/>
      <c r="J482" s="178">
        <f>SAÍDAS!$D482-SAÍDAS!$G482</f>
        <v>0</v>
      </c>
      <c r="K482" s="178">
        <f>SUMIFS(ENTRADAS!$E$7:$E$1002,ENTRADAS!$B$7:$B$1002,"&lt;=" &amp; SAÍDAS!$B482,ENTRADAS!$C$7:$C$1002,SAÍDAS!$C482)-SUMIFS(SAÍDAS!$J$7:$J$289,SAÍDAS!$B$7:$B$289,"&lt;=" &amp; SAÍDAS!$B482,SAÍDAS!$C$7:$C$289,SAÍDAS!$C482)</f>
        <v>0</v>
      </c>
      <c r="L482" s="179">
        <f t="shared" si="8"/>
        <v>0</v>
      </c>
    </row>
    <row r="483" spans="2:12" ht="15.75" customHeight="1">
      <c r="B483" s="173"/>
      <c r="C483" s="182"/>
      <c r="D483" s="182"/>
      <c r="E483" s="185"/>
      <c r="F483" s="185"/>
      <c r="G483" s="185"/>
      <c r="H483" s="186"/>
      <c r="I483" s="177"/>
      <c r="J483" s="178">
        <f>SAÍDAS!$D483-SAÍDAS!$G483</f>
        <v>0</v>
      </c>
      <c r="K483" s="178">
        <f>SUMIFS(ENTRADAS!$E$7:$E$1002,ENTRADAS!$B$7:$B$1002,"&lt;=" &amp; SAÍDAS!$B483,ENTRADAS!$C$7:$C$1002,SAÍDAS!$C483)-SUMIFS(SAÍDAS!$J$7:$J$289,SAÍDAS!$B$7:$B$289,"&lt;=" &amp; SAÍDAS!$B483,SAÍDAS!$C$7:$C$289,SAÍDAS!$C483)</f>
        <v>0</v>
      </c>
      <c r="L483" s="179">
        <f t="shared" si="8"/>
        <v>0</v>
      </c>
    </row>
    <row r="484" spans="2:12" ht="15.75" customHeight="1">
      <c r="B484" s="173"/>
      <c r="C484" s="182"/>
      <c r="D484" s="182"/>
      <c r="E484" s="185"/>
      <c r="F484" s="185"/>
      <c r="G484" s="185"/>
      <c r="H484" s="186"/>
      <c r="I484" s="177"/>
      <c r="J484" s="178">
        <f>SAÍDAS!$D484-SAÍDAS!$G484</f>
        <v>0</v>
      </c>
      <c r="K484" s="178">
        <f>SUMIFS(ENTRADAS!$E$7:$E$1002,ENTRADAS!$B$7:$B$1002,"&lt;=" &amp; SAÍDAS!$B484,ENTRADAS!$C$7:$C$1002,SAÍDAS!$C484)-SUMIFS(SAÍDAS!$J$7:$J$289,SAÍDAS!$B$7:$B$289,"&lt;=" &amp; SAÍDAS!$B484,SAÍDAS!$C$7:$C$289,SAÍDAS!$C484)</f>
        <v>0</v>
      </c>
      <c r="L484" s="179">
        <f t="shared" si="8"/>
        <v>0</v>
      </c>
    </row>
    <row r="485" spans="2:12" ht="15.75" customHeight="1">
      <c r="B485" s="173"/>
      <c r="C485" s="182"/>
      <c r="D485" s="182"/>
      <c r="E485" s="185"/>
      <c r="F485" s="185"/>
      <c r="G485" s="185"/>
      <c r="H485" s="186"/>
      <c r="I485" s="177"/>
      <c r="J485" s="178">
        <f>SAÍDAS!$D485-SAÍDAS!$G485</f>
        <v>0</v>
      </c>
      <c r="K485" s="178">
        <f>SUMIFS(ENTRADAS!$E$7:$E$1002,ENTRADAS!$B$7:$B$1002,"&lt;=" &amp; SAÍDAS!$B485,ENTRADAS!$C$7:$C$1002,SAÍDAS!$C485)-SUMIFS(SAÍDAS!$J$7:$J$289,SAÍDAS!$B$7:$B$289,"&lt;=" &amp; SAÍDAS!$B485,SAÍDAS!$C$7:$C$289,SAÍDAS!$C485)</f>
        <v>0</v>
      </c>
      <c r="L485" s="179">
        <f t="shared" ref="L485:L491" si="9">I485*J485</f>
        <v>0</v>
      </c>
    </row>
    <row r="486" spans="2:12" ht="15.75" customHeight="1">
      <c r="B486" s="173"/>
      <c r="C486" s="182"/>
      <c r="D486" s="182"/>
      <c r="E486" s="185"/>
      <c r="F486" s="185"/>
      <c r="G486" s="185"/>
      <c r="H486" s="186"/>
      <c r="I486" s="177"/>
      <c r="J486" s="178">
        <f>SAÍDAS!$D486-SAÍDAS!$G486</f>
        <v>0</v>
      </c>
      <c r="K486" s="178">
        <f>SUMIFS(ENTRADAS!$E$7:$E$1002,ENTRADAS!$B$7:$B$1002,"&lt;=" &amp; SAÍDAS!$B486,ENTRADAS!$C$7:$C$1002,SAÍDAS!$C486)-SUMIFS(SAÍDAS!$J$7:$J$289,SAÍDAS!$B$7:$B$289,"&lt;=" &amp; SAÍDAS!$B486,SAÍDAS!$C$7:$C$289,SAÍDAS!$C486)</f>
        <v>0</v>
      </c>
      <c r="L486" s="179">
        <f t="shared" si="9"/>
        <v>0</v>
      </c>
    </row>
    <row r="487" spans="2:12" ht="15.75" customHeight="1">
      <c r="B487" s="173"/>
      <c r="C487" s="182"/>
      <c r="D487" s="182"/>
      <c r="E487" s="185"/>
      <c r="F487" s="185"/>
      <c r="G487" s="185"/>
      <c r="H487" s="186"/>
      <c r="I487" s="177"/>
      <c r="J487" s="178">
        <f>SAÍDAS!$D487-SAÍDAS!$G487</f>
        <v>0</v>
      </c>
      <c r="K487" s="178">
        <f>SUMIFS(ENTRADAS!$E$7:$E$1002,ENTRADAS!$B$7:$B$1002,"&lt;=" &amp; SAÍDAS!$B487,ENTRADAS!$C$7:$C$1002,SAÍDAS!$C487)-SUMIFS(SAÍDAS!$J$7:$J$289,SAÍDAS!$B$7:$B$289,"&lt;=" &amp; SAÍDAS!$B487,SAÍDAS!$C$7:$C$289,SAÍDAS!$C487)</f>
        <v>0</v>
      </c>
      <c r="L487" s="179">
        <f t="shared" si="9"/>
        <v>0</v>
      </c>
    </row>
    <row r="488" spans="2:12" ht="15.75" customHeight="1">
      <c r="B488" s="173"/>
      <c r="C488" s="182"/>
      <c r="D488" s="182"/>
      <c r="E488" s="185"/>
      <c r="F488" s="185"/>
      <c r="G488" s="185"/>
      <c r="H488" s="186"/>
      <c r="I488" s="177"/>
      <c r="J488" s="178">
        <f>SAÍDAS!$D488-SAÍDAS!$G488</f>
        <v>0</v>
      </c>
      <c r="K488" s="178">
        <f>SUMIFS(ENTRADAS!$E$7:$E$1002,ENTRADAS!$B$7:$B$1002,"&lt;=" &amp; SAÍDAS!$B488,ENTRADAS!$C$7:$C$1002,SAÍDAS!$C488)-SUMIFS(SAÍDAS!$J$7:$J$289,SAÍDAS!$B$7:$B$289,"&lt;=" &amp; SAÍDAS!$B488,SAÍDAS!$C$7:$C$289,SAÍDAS!$C488)</f>
        <v>0</v>
      </c>
      <c r="L488" s="179">
        <f t="shared" si="9"/>
        <v>0</v>
      </c>
    </row>
    <row r="489" spans="2:12" ht="15.75" customHeight="1">
      <c r="B489" s="173"/>
      <c r="C489" s="182"/>
      <c r="D489" s="182"/>
      <c r="E489" s="185"/>
      <c r="F489" s="185"/>
      <c r="G489" s="185"/>
      <c r="H489" s="186"/>
      <c r="I489" s="177"/>
      <c r="J489" s="178">
        <f>SAÍDAS!$D489-SAÍDAS!$G489</f>
        <v>0</v>
      </c>
      <c r="K489" s="178">
        <f>SUMIFS(ENTRADAS!$E$7:$E$1002,ENTRADAS!$B$7:$B$1002,"&lt;=" &amp; SAÍDAS!$B489,ENTRADAS!$C$7:$C$1002,SAÍDAS!$C489)-SUMIFS(SAÍDAS!$J$7:$J$289,SAÍDAS!$B$7:$B$289,"&lt;=" &amp; SAÍDAS!$B489,SAÍDAS!$C$7:$C$289,SAÍDAS!$C489)</f>
        <v>0</v>
      </c>
      <c r="L489" s="179">
        <f t="shared" si="9"/>
        <v>0</v>
      </c>
    </row>
    <row r="490" spans="2:12" ht="15.75" customHeight="1">
      <c r="B490" s="173"/>
      <c r="C490" s="182"/>
      <c r="D490" s="182"/>
      <c r="E490" s="185"/>
      <c r="F490" s="185"/>
      <c r="G490" s="185"/>
      <c r="H490" s="186"/>
      <c r="I490" s="177"/>
      <c r="J490" s="178">
        <f>SAÍDAS!$D490-SAÍDAS!$G490</f>
        <v>0</v>
      </c>
      <c r="K490" s="178">
        <f>SUMIFS(ENTRADAS!$E$7:$E$1002,ENTRADAS!$B$7:$B$1002,"&lt;=" &amp; SAÍDAS!$B490,ENTRADAS!$C$7:$C$1002,SAÍDAS!$C490)-SUMIFS(SAÍDAS!$J$7:$J$289,SAÍDAS!$B$7:$B$289,"&lt;=" &amp; SAÍDAS!$B490,SAÍDAS!$C$7:$C$289,SAÍDAS!$C490)</f>
        <v>0</v>
      </c>
      <c r="L490" s="179">
        <f t="shared" si="9"/>
        <v>0</v>
      </c>
    </row>
    <row r="491" spans="2:12" ht="15.75" customHeight="1">
      <c r="B491" s="173"/>
      <c r="C491" s="182"/>
      <c r="D491" s="182"/>
      <c r="E491" s="185"/>
      <c r="F491" s="185"/>
      <c r="G491" s="185"/>
      <c r="H491" s="186"/>
      <c r="I491" s="177"/>
      <c r="J491" s="178">
        <f>SAÍDAS!$D491-SAÍDAS!$G491</f>
        <v>0</v>
      </c>
      <c r="K491" s="178">
        <f>SUMIFS(ENTRADAS!$E$7:$E$1002,ENTRADAS!$B$7:$B$1002,"&lt;=" &amp; SAÍDAS!$B491,ENTRADAS!$C$7:$C$1002,SAÍDAS!$C491)-SUMIFS(SAÍDAS!$J$7:$J$289,SAÍDAS!$B$7:$B$289,"&lt;=" &amp; SAÍDAS!$B491,SAÍDAS!$C$7:$C$289,SAÍDAS!$C491)</f>
        <v>0</v>
      </c>
      <c r="L491" s="179">
        <f t="shared" si="9"/>
        <v>0</v>
      </c>
    </row>
    <row r="492" spans="2:12" ht="15.75" customHeight="1">
      <c r="B492" s="87"/>
      <c r="H492" s="87"/>
      <c r="I492" s="88"/>
    </row>
    <row r="493" spans="2:12" ht="15.75" customHeight="1">
      <c r="B493" s="87"/>
      <c r="H493" s="87"/>
      <c r="I493" s="88"/>
    </row>
    <row r="494" spans="2:12" ht="15.75" customHeight="1">
      <c r="B494" s="87"/>
      <c r="H494" s="87"/>
      <c r="I494" s="88"/>
    </row>
    <row r="495" spans="2:12" ht="15.75" customHeight="1">
      <c r="B495" s="87"/>
      <c r="H495" s="87"/>
      <c r="I495" s="88"/>
    </row>
    <row r="496" spans="2:12" ht="15.75" customHeight="1">
      <c r="B496" s="87"/>
      <c r="H496" s="87"/>
      <c r="I496" s="88"/>
    </row>
    <row r="497" spans="2:9" ht="15.75" customHeight="1">
      <c r="B497" s="87"/>
      <c r="H497" s="87"/>
      <c r="I497" s="88"/>
    </row>
    <row r="498" spans="2:9" ht="15.75" customHeight="1">
      <c r="B498" s="87"/>
      <c r="H498" s="87"/>
      <c r="I498" s="88"/>
    </row>
    <row r="499" spans="2:9" ht="15.75" customHeight="1">
      <c r="B499" s="87"/>
      <c r="H499" s="87"/>
      <c r="I499" s="88"/>
    </row>
    <row r="500" spans="2:9" ht="15.75" customHeight="1">
      <c r="B500" s="87"/>
      <c r="H500" s="87"/>
      <c r="I500" s="88"/>
    </row>
    <row r="501" spans="2:9" ht="15.75" customHeight="1">
      <c r="B501" s="87"/>
      <c r="H501" s="87"/>
      <c r="I501" s="88"/>
    </row>
    <row r="502" spans="2:9" ht="15.75" customHeight="1">
      <c r="B502" s="87"/>
      <c r="H502" s="87"/>
      <c r="I502" s="88"/>
    </row>
    <row r="503" spans="2:9" ht="15.75" customHeight="1">
      <c r="B503" s="87"/>
      <c r="H503" s="87"/>
      <c r="I503" s="88"/>
    </row>
    <row r="504" spans="2:9" ht="15.75" customHeight="1">
      <c r="B504" s="87"/>
      <c r="H504" s="87"/>
      <c r="I504" s="88"/>
    </row>
    <row r="505" spans="2:9" ht="15.75" customHeight="1">
      <c r="B505" s="87"/>
      <c r="H505" s="87"/>
      <c r="I505" s="88"/>
    </row>
    <row r="506" spans="2:9" ht="15.75" customHeight="1">
      <c r="B506" s="87"/>
      <c r="H506" s="87"/>
      <c r="I506" s="88"/>
    </row>
    <row r="507" spans="2:9" ht="15.75" customHeight="1">
      <c r="B507" s="87"/>
      <c r="H507" s="87"/>
      <c r="I507" s="88"/>
    </row>
    <row r="508" spans="2:9" ht="15.75" customHeight="1">
      <c r="B508" s="87"/>
      <c r="H508" s="87"/>
      <c r="I508" s="88"/>
    </row>
    <row r="509" spans="2:9" ht="15.75" customHeight="1">
      <c r="B509" s="87"/>
      <c r="H509" s="87"/>
      <c r="I509" s="88"/>
    </row>
    <row r="510" spans="2:9" ht="15.75" customHeight="1">
      <c r="B510" s="87"/>
      <c r="H510" s="87"/>
      <c r="I510" s="88"/>
    </row>
    <row r="511" spans="2:9" ht="15.75" customHeight="1">
      <c r="B511" s="87"/>
      <c r="H511" s="87"/>
      <c r="I511" s="88"/>
    </row>
    <row r="512" spans="2:9" ht="15.75" customHeight="1">
      <c r="B512" s="87"/>
      <c r="H512" s="87"/>
      <c r="I512" s="88"/>
    </row>
    <row r="513" spans="2:9" ht="15.75" customHeight="1">
      <c r="B513" s="87"/>
      <c r="H513" s="87"/>
      <c r="I513" s="88"/>
    </row>
    <row r="514" spans="2:9" ht="15.75" customHeight="1">
      <c r="B514" s="87"/>
      <c r="H514" s="87"/>
      <c r="I514" s="88"/>
    </row>
    <row r="515" spans="2:9" ht="15.75" customHeight="1">
      <c r="B515" s="87"/>
      <c r="H515" s="87"/>
      <c r="I515" s="88"/>
    </row>
    <row r="516" spans="2:9" ht="15.75" customHeight="1">
      <c r="B516" s="87"/>
      <c r="H516" s="87"/>
      <c r="I516" s="88"/>
    </row>
    <row r="517" spans="2:9" ht="15.75" customHeight="1">
      <c r="B517" s="87"/>
      <c r="H517" s="87"/>
      <c r="I517" s="88"/>
    </row>
    <row r="518" spans="2:9" ht="15.75" customHeight="1">
      <c r="B518" s="87"/>
      <c r="H518" s="87"/>
      <c r="I518" s="88"/>
    </row>
    <row r="519" spans="2:9" ht="15.75" customHeight="1">
      <c r="B519" s="87"/>
      <c r="H519" s="87"/>
      <c r="I519" s="88"/>
    </row>
    <row r="520" spans="2:9" ht="15.75" customHeight="1">
      <c r="B520" s="87"/>
      <c r="H520" s="87"/>
      <c r="I520" s="88"/>
    </row>
    <row r="521" spans="2:9" ht="15.75" customHeight="1">
      <c r="B521" s="87"/>
      <c r="H521" s="87"/>
      <c r="I521" s="88"/>
    </row>
    <row r="522" spans="2:9" ht="15.75" customHeight="1">
      <c r="B522" s="87"/>
      <c r="H522" s="87"/>
      <c r="I522" s="88"/>
    </row>
    <row r="523" spans="2:9" ht="15.75" customHeight="1">
      <c r="B523" s="87"/>
      <c r="H523" s="87"/>
      <c r="I523" s="88"/>
    </row>
    <row r="524" spans="2:9" ht="15.75" customHeight="1">
      <c r="B524" s="87"/>
      <c r="H524" s="87"/>
      <c r="I524" s="88"/>
    </row>
    <row r="525" spans="2:9" ht="15.75" customHeight="1">
      <c r="B525" s="87"/>
      <c r="H525" s="87"/>
      <c r="I525" s="88"/>
    </row>
    <row r="526" spans="2:9" ht="15.75" customHeight="1">
      <c r="B526" s="87"/>
      <c r="H526" s="87"/>
      <c r="I526" s="88"/>
    </row>
    <row r="527" spans="2:9" ht="15.75" customHeight="1">
      <c r="B527" s="87"/>
      <c r="H527" s="87"/>
      <c r="I527" s="88"/>
    </row>
    <row r="528" spans="2:9" ht="15.75" customHeight="1">
      <c r="B528" s="87"/>
      <c r="H528" s="87"/>
      <c r="I528" s="88"/>
    </row>
    <row r="529" spans="2:9" ht="15.75" customHeight="1">
      <c r="B529" s="87"/>
      <c r="H529" s="87"/>
      <c r="I529" s="88"/>
    </row>
    <row r="530" spans="2:9" ht="15.75" customHeight="1">
      <c r="B530" s="87"/>
      <c r="H530" s="87"/>
      <c r="I530" s="88"/>
    </row>
    <row r="531" spans="2:9" ht="15.75" customHeight="1">
      <c r="B531" s="87"/>
      <c r="H531" s="87"/>
      <c r="I531" s="88"/>
    </row>
    <row r="532" spans="2:9" ht="15.75" customHeight="1">
      <c r="B532" s="87"/>
      <c r="H532" s="87"/>
      <c r="I532" s="88"/>
    </row>
    <row r="533" spans="2:9" ht="15.75" customHeight="1">
      <c r="B533" s="87"/>
      <c r="H533" s="87"/>
      <c r="I533" s="88"/>
    </row>
    <row r="534" spans="2:9" ht="15.75" customHeight="1">
      <c r="B534" s="87"/>
      <c r="H534" s="87"/>
      <c r="I534" s="88"/>
    </row>
    <row r="535" spans="2:9" ht="15.75" customHeight="1">
      <c r="B535" s="87"/>
      <c r="H535" s="87"/>
      <c r="I535" s="88"/>
    </row>
    <row r="536" spans="2:9" ht="15.75" customHeight="1">
      <c r="B536" s="87"/>
      <c r="H536" s="87"/>
      <c r="I536" s="88"/>
    </row>
    <row r="537" spans="2:9" ht="15.75" customHeight="1">
      <c r="B537" s="87"/>
      <c r="H537" s="87"/>
      <c r="I537" s="88"/>
    </row>
    <row r="538" spans="2:9" ht="15.75" customHeight="1">
      <c r="B538" s="87"/>
      <c r="H538" s="87"/>
      <c r="I538" s="88"/>
    </row>
    <row r="539" spans="2:9" ht="15.75" customHeight="1">
      <c r="B539" s="87"/>
      <c r="H539" s="87"/>
      <c r="I539" s="88"/>
    </row>
    <row r="540" spans="2:9" ht="15.75" customHeight="1">
      <c r="B540" s="87"/>
      <c r="H540" s="87"/>
      <c r="I540" s="88"/>
    </row>
    <row r="541" spans="2:9" ht="15.75" customHeight="1">
      <c r="B541" s="87"/>
      <c r="H541" s="87"/>
      <c r="I541" s="88"/>
    </row>
    <row r="542" spans="2:9" ht="15.75" customHeight="1">
      <c r="B542" s="87"/>
      <c r="H542" s="87"/>
      <c r="I542" s="88"/>
    </row>
    <row r="543" spans="2:9" ht="15.75" customHeight="1">
      <c r="B543" s="87"/>
      <c r="H543" s="87"/>
      <c r="I543" s="88"/>
    </row>
    <row r="544" spans="2:9" ht="15.75" customHeight="1">
      <c r="B544" s="87"/>
      <c r="H544" s="87"/>
      <c r="I544" s="88"/>
    </row>
    <row r="545" spans="2:9" ht="15.75" customHeight="1">
      <c r="B545" s="87"/>
      <c r="H545" s="87"/>
      <c r="I545" s="88"/>
    </row>
    <row r="546" spans="2:9" ht="15.75" customHeight="1">
      <c r="B546" s="87"/>
      <c r="H546" s="87"/>
      <c r="I546" s="88"/>
    </row>
    <row r="547" spans="2:9" ht="15.75" customHeight="1">
      <c r="B547" s="87"/>
      <c r="H547" s="87"/>
      <c r="I547" s="88"/>
    </row>
    <row r="548" spans="2:9" ht="15.75" customHeight="1">
      <c r="B548" s="87"/>
      <c r="H548" s="87"/>
      <c r="I548" s="88"/>
    </row>
    <row r="549" spans="2:9" ht="15.75" customHeight="1">
      <c r="B549" s="87"/>
      <c r="H549" s="87"/>
      <c r="I549" s="88"/>
    </row>
    <row r="550" spans="2:9" ht="15.75" customHeight="1">
      <c r="B550" s="87"/>
      <c r="H550" s="87"/>
      <c r="I550" s="88"/>
    </row>
    <row r="551" spans="2:9" ht="15.75" customHeight="1">
      <c r="B551" s="87"/>
      <c r="H551" s="87"/>
      <c r="I551" s="88"/>
    </row>
    <row r="552" spans="2:9" ht="15.75" customHeight="1">
      <c r="B552" s="87"/>
      <c r="H552" s="87"/>
      <c r="I552" s="88"/>
    </row>
    <row r="553" spans="2:9" ht="15.75" customHeight="1">
      <c r="B553" s="87"/>
      <c r="H553" s="87"/>
      <c r="I553" s="88"/>
    </row>
    <row r="554" spans="2:9" ht="15.75" customHeight="1">
      <c r="B554" s="87"/>
      <c r="H554" s="87"/>
      <c r="I554" s="88"/>
    </row>
    <row r="555" spans="2:9" ht="15.75" customHeight="1">
      <c r="B555" s="87"/>
      <c r="H555" s="87"/>
      <c r="I555" s="88"/>
    </row>
    <row r="556" spans="2:9" ht="15.75" customHeight="1">
      <c r="B556" s="87"/>
      <c r="H556" s="87"/>
      <c r="I556" s="88"/>
    </row>
    <row r="557" spans="2:9" ht="15.75" customHeight="1">
      <c r="B557" s="87"/>
      <c r="H557" s="87"/>
      <c r="I557" s="88"/>
    </row>
    <row r="558" spans="2:9" ht="15.75" customHeight="1">
      <c r="B558" s="87"/>
      <c r="H558" s="87"/>
      <c r="I558" s="88"/>
    </row>
    <row r="559" spans="2:9" ht="15.75" customHeight="1">
      <c r="B559" s="87"/>
      <c r="H559" s="87"/>
      <c r="I559" s="88"/>
    </row>
    <row r="560" spans="2:9" ht="15.75" customHeight="1">
      <c r="B560" s="87"/>
      <c r="H560" s="87"/>
      <c r="I560" s="88"/>
    </row>
    <row r="561" spans="2:9" ht="15.75" customHeight="1">
      <c r="B561" s="87"/>
      <c r="H561" s="87"/>
      <c r="I561" s="88"/>
    </row>
    <row r="562" spans="2:9" ht="15.75" customHeight="1">
      <c r="B562" s="87"/>
      <c r="H562" s="87"/>
      <c r="I562" s="88"/>
    </row>
    <row r="563" spans="2:9" ht="15.75" customHeight="1">
      <c r="B563" s="87"/>
      <c r="H563" s="87"/>
      <c r="I563" s="88"/>
    </row>
    <row r="564" spans="2:9" ht="15.75" customHeight="1">
      <c r="B564" s="87"/>
      <c r="H564" s="87"/>
      <c r="I564" s="88"/>
    </row>
    <row r="565" spans="2:9" ht="15.75" customHeight="1">
      <c r="B565" s="87"/>
      <c r="H565" s="87"/>
      <c r="I565" s="88"/>
    </row>
    <row r="566" spans="2:9" ht="15.75" customHeight="1">
      <c r="B566" s="87"/>
      <c r="H566" s="87"/>
      <c r="I566" s="88"/>
    </row>
    <row r="567" spans="2:9" ht="15.75" customHeight="1">
      <c r="B567" s="87"/>
      <c r="H567" s="87"/>
      <c r="I567" s="88"/>
    </row>
    <row r="568" spans="2:9" ht="15.75" customHeight="1">
      <c r="B568" s="87"/>
      <c r="H568" s="87"/>
      <c r="I568" s="88"/>
    </row>
    <row r="569" spans="2:9" ht="15.75" customHeight="1">
      <c r="B569" s="87"/>
      <c r="H569" s="87"/>
      <c r="I569" s="88"/>
    </row>
    <row r="570" spans="2:9" ht="15.75" customHeight="1">
      <c r="B570" s="87"/>
      <c r="H570" s="87"/>
      <c r="I570" s="88"/>
    </row>
    <row r="571" spans="2:9" ht="15.75" customHeight="1">
      <c r="B571" s="87"/>
      <c r="H571" s="87"/>
      <c r="I571" s="88"/>
    </row>
    <row r="572" spans="2:9" ht="15.75" customHeight="1">
      <c r="B572" s="87"/>
      <c r="H572" s="87"/>
      <c r="I572" s="88"/>
    </row>
    <row r="573" spans="2:9" ht="15.75" customHeight="1">
      <c r="B573" s="87"/>
      <c r="H573" s="87"/>
      <c r="I573" s="88"/>
    </row>
    <row r="574" spans="2:9" ht="15.75" customHeight="1">
      <c r="B574" s="87"/>
      <c r="H574" s="87"/>
      <c r="I574" s="88"/>
    </row>
    <row r="575" spans="2:9" ht="15.75" customHeight="1">
      <c r="B575" s="87"/>
      <c r="H575" s="87"/>
      <c r="I575" s="88"/>
    </row>
    <row r="576" spans="2:9" ht="15.75" customHeight="1">
      <c r="B576" s="87"/>
      <c r="H576" s="87"/>
      <c r="I576" s="88"/>
    </row>
    <row r="577" spans="2:9" ht="15.75" customHeight="1">
      <c r="B577" s="87"/>
      <c r="H577" s="87"/>
      <c r="I577" s="88"/>
    </row>
    <row r="578" spans="2:9" ht="15.75" customHeight="1">
      <c r="B578" s="87"/>
      <c r="H578" s="87"/>
      <c r="I578" s="88"/>
    </row>
    <row r="579" spans="2:9" ht="15.75" customHeight="1">
      <c r="B579" s="87"/>
      <c r="H579" s="87"/>
      <c r="I579" s="88"/>
    </row>
    <row r="580" spans="2:9" ht="15.75" customHeight="1">
      <c r="B580" s="87"/>
      <c r="H580" s="87"/>
      <c r="I580" s="88"/>
    </row>
    <row r="581" spans="2:9" ht="15.75" customHeight="1">
      <c r="B581" s="87"/>
      <c r="H581" s="87"/>
      <c r="I581" s="88"/>
    </row>
    <row r="582" spans="2:9" ht="15.75" customHeight="1">
      <c r="B582" s="87"/>
      <c r="H582" s="87"/>
      <c r="I582" s="88"/>
    </row>
    <row r="583" spans="2:9" ht="15.75" customHeight="1">
      <c r="B583" s="87"/>
      <c r="H583" s="87"/>
      <c r="I583" s="88"/>
    </row>
    <row r="584" spans="2:9" ht="15.75" customHeight="1">
      <c r="B584" s="87"/>
      <c r="H584" s="87"/>
      <c r="I584" s="88"/>
    </row>
    <row r="585" spans="2:9" ht="15.75" customHeight="1">
      <c r="B585" s="87"/>
      <c r="H585" s="87"/>
      <c r="I585" s="88"/>
    </row>
    <row r="586" spans="2:9" ht="15.75" customHeight="1">
      <c r="B586" s="87"/>
      <c r="H586" s="87"/>
      <c r="I586" s="88"/>
    </row>
    <row r="587" spans="2:9" ht="15.75" customHeight="1">
      <c r="B587" s="87"/>
      <c r="H587" s="87"/>
      <c r="I587" s="88"/>
    </row>
    <row r="588" spans="2:9" ht="15.75" customHeight="1">
      <c r="B588" s="87"/>
      <c r="H588" s="87"/>
      <c r="I588" s="88"/>
    </row>
    <row r="589" spans="2:9" ht="15.75" customHeight="1">
      <c r="B589" s="87"/>
      <c r="H589" s="87"/>
      <c r="I589" s="88"/>
    </row>
    <row r="590" spans="2:9" ht="15.75" customHeight="1">
      <c r="B590" s="87"/>
      <c r="H590" s="87"/>
      <c r="I590" s="88"/>
    </row>
    <row r="591" spans="2:9" ht="15.75" customHeight="1">
      <c r="B591" s="87"/>
      <c r="H591" s="87"/>
      <c r="I591" s="88"/>
    </row>
    <row r="592" spans="2:9" ht="15.75" customHeight="1">
      <c r="B592" s="87"/>
      <c r="H592" s="87"/>
      <c r="I592" s="88"/>
    </row>
    <row r="593" spans="2:9" ht="15.75" customHeight="1">
      <c r="B593" s="87"/>
      <c r="H593" s="87"/>
      <c r="I593" s="88"/>
    </row>
    <row r="594" spans="2:9" ht="15.75" customHeight="1">
      <c r="B594" s="87"/>
      <c r="H594" s="87"/>
      <c r="I594" s="88"/>
    </row>
    <row r="595" spans="2:9" ht="15.75" customHeight="1">
      <c r="B595" s="87"/>
      <c r="H595" s="87"/>
      <c r="I595" s="88"/>
    </row>
    <row r="596" spans="2:9" ht="15.75" customHeight="1">
      <c r="B596" s="87"/>
      <c r="H596" s="87"/>
      <c r="I596" s="88"/>
    </row>
    <row r="597" spans="2:9" ht="15.75" customHeight="1">
      <c r="B597" s="87"/>
      <c r="H597" s="87"/>
      <c r="I597" s="88"/>
    </row>
    <row r="598" spans="2:9" ht="15.75" customHeight="1">
      <c r="B598" s="87"/>
      <c r="H598" s="87"/>
      <c r="I598" s="88"/>
    </row>
    <row r="599" spans="2:9" ht="15.75" customHeight="1">
      <c r="B599" s="87"/>
      <c r="H599" s="87"/>
      <c r="I599" s="88"/>
    </row>
    <row r="600" spans="2:9" ht="15.75" customHeight="1">
      <c r="B600" s="87"/>
      <c r="H600" s="87"/>
      <c r="I600" s="88"/>
    </row>
    <row r="601" spans="2:9" ht="15.75" customHeight="1">
      <c r="B601" s="87"/>
      <c r="H601" s="87"/>
      <c r="I601" s="88"/>
    </row>
    <row r="602" spans="2:9" ht="15.75" customHeight="1">
      <c r="B602" s="87"/>
      <c r="H602" s="87"/>
      <c r="I602" s="88"/>
    </row>
    <row r="603" spans="2:9" ht="15.75" customHeight="1">
      <c r="B603" s="87"/>
      <c r="H603" s="87"/>
      <c r="I603" s="88"/>
    </row>
    <row r="604" spans="2:9" ht="15.75" customHeight="1">
      <c r="B604" s="87"/>
      <c r="H604" s="87"/>
      <c r="I604" s="88"/>
    </row>
    <row r="605" spans="2:9" ht="15.75" customHeight="1">
      <c r="B605" s="87"/>
      <c r="H605" s="87"/>
      <c r="I605" s="88"/>
    </row>
    <row r="606" spans="2:9" ht="15.75" customHeight="1">
      <c r="B606" s="87"/>
      <c r="H606" s="87"/>
      <c r="I606" s="88"/>
    </row>
    <row r="607" spans="2:9" ht="15.75" customHeight="1">
      <c r="B607" s="87"/>
      <c r="H607" s="87"/>
      <c r="I607" s="88"/>
    </row>
    <row r="608" spans="2:9" ht="15.75" customHeight="1">
      <c r="B608" s="87"/>
      <c r="H608" s="87"/>
      <c r="I608" s="88"/>
    </row>
    <row r="609" spans="2:9" ht="15.75" customHeight="1">
      <c r="B609" s="87"/>
      <c r="H609" s="87"/>
      <c r="I609" s="88"/>
    </row>
    <row r="610" spans="2:9" ht="15.75" customHeight="1">
      <c r="B610" s="87"/>
      <c r="H610" s="87"/>
      <c r="I610" s="88"/>
    </row>
    <row r="611" spans="2:9" ht="15.75" customHeight="1">
      <c r="B611" s="87"/>
      <c r="H611" s="87"/>
      <c r="I611" s="88"/>
    </row>
    <row r="612" spans="2:9" ht="15.75" customHeight="1">
      <c r="B612" s="87"/>
      <c r="H612" s="87"/>
      <c r="I612" s="88"/>
    </row>
    <row r="613" spans="2:9" ht="15.75" customHeight="1">
      <c r="B613" s="87"/>
      <c r="H613" s="87"/>
      <c r="I613" s="88"/>
    </row>
    <row r="614" spans="2:9" ht="15.75" customHeight="1">
      <c r="B614" s="87"/>
      <c r="H614" s="87"/>
      <c r="I614" s="88"/>
    </row>
    <row r="615" spans="2:9" ht="15.75" customHeight="1">
      <c r="B615" s="87"/>
      <c r="H615" s="87"/>
      <c r="I615" s="88"/>
    </row>
    <row r="616" spans="2:9" ht="15.75" customHeight="1">
      <c r="B616" s="87"/>
      <c r="H616" s="87"/>
      <c r="I616" s="88"/>
    </row>
    <row r="617" spans="2:9" ht="15.75" customHeight="1">
      <c r="B617" s="87"/>
      <c r="H617" s="87"/>
      <c r="I617" s="88"/>
    </row>
    <row r="618" spans="2:9" ht="15.75" customHeight="1">
      <c r="B618" s="87"/>
      <c r="H618" s="87"/>
      <c r="I618" s="88"/>
    </row>
    <row r="619" spans="2:9" ht="15.75" customHeight="1">
      <c r="B619" s="87"/>
      <c r="H619" s="87"/>
      <c r="I619" s="88"/>
    </row>
    <row r="620" spans="2:9" ht="15.75" customHeight="1">
      <c r="B620" s="87"/>
      <c r="H620" s="87"/>
      <c r="I620" s="88"/>
    </row>
    <row r="621" spans="2:9" ht="15.75" customHeight="1">
      <c r="B621" s="87"/>
      <c r="H621" s="87"/>
      <c r="I621" s="88"/>
    </row>
    <row r="622" spans="2:9" ht="15.75" customHeight="1">
      <c r="B622" s="87"/>
      <c r="H622" s="87"/>
      <c r="I622" s="88"/>
    </row>
    <row r="623" spans="2:9" ht="15.75" customHeight="1">
      <c r="B623" s="87"/>
      <c r="H623" s="87"/>
      <c r="I623" s="88"/>
    </row>
    <row r="624" spans="2:9" ht="15.75" customHeight="1">
      <c r="B624" s="87"/>
      <c r="H624" s="87"/>
      <c r="I624" s="88"/>
    </row>
    <row r="625" spans="2:9" ht="15.75" customHeight="1">
      <c r="B625" s="87"/>
      <c r="H625" s="87"/>
      <c r="I625" s="88"/>
    </row>
    <row r="626" spans="2:9" ht="15.75" customHeight="1">
      <c r="B626" s="87"/>
      <c r="H626" s="87"/>
      <c r="I626" s="88"/>
    </row>
    <row r="627" spans="2:9" ht="15.75" customHeight="1">
      <c r="B627" s="87"/>
      <c r="H627" s="87"/>
      <c r="I627" s="88"/>
    </row>
    <row r="628" spans="2:9" ht="15.75" customHeight="1">
      <c r="B628" s="87"/>
      <c r="H628" s="87"/>
      <c r="I628" s="88"/>
    </row>
    <row r="629" spans="2:9" ht="15.75" customHeight="1">
      <c r="B629" s="87"/>
      <c r="H629" s="87"/>
      <c r="I629" s="88"/>
    </row>
    <row r="630" spans="2:9" ht="15.75" customHeight="1">
      <c r="B630" s="87"/>
      <c r="H630" s="87"/>
      <c r="I630" s="88"/>
    </row>
    <row r="631" spans="2:9" ht="15.75" customHeight="1">
      <c r="B631" s="87"/>
      <c r="H631" s="87"/>
      <c r="I631" s="88"/>
    </row>
    <row r="632" spans="2:9" ht="15.75" customHeight="1">
      <c r="B632" s="87"/>
      <c r="H632" s="87"/>
      <c r="I632" s="88"/>
    </row>
    <row r="633" spans="2:9" ht="15.75" customHeight="1">
      <c r="B633" s="87"/>
      <c r="H633" s="87"/>
      <c r="I633" s="88"/>
    </row>
    <row r="634" spans="2:9" ht="15.75" customHeight="1">
      <c r="B634" s="87"/>
      <c r="H634" s="87"/>
      <c r="I634" s="88"/>
    </row>
    <row r="635" spans="2:9" ht="15.75" customHeight="1">
      <c r="B635" s="87"/>
      <c r="H635" s="87"/>
      <c r="I635" s="88"/>
    </row>
    <row r="636" spans="2:9" ht="15.75" customHeight="1">
      <c r="B636" s="87"/>
      <c r="H636" s="87"/>
      <c r="I636" s="88"/>
    </row>
    <row r="637" spans="2:9" ht="15.75" customHeight="1">
      <c r="B637" s="87"/>
      <c r="H637" s="87"/>
      <c r="I637" s="88"/>
    </row>
    <row r="638" spans="2:9" ht="15.75" customHeight="1">
      <c r="B638" s="87"/>
      <c r="H638" s="87"/>
      <c r="I638" s="88"/>
    </row>
    <row r="639" spans="2:9" ht="15.75" customHeight="1">
      <c r="B639" s="87"/>
      <c r="H639" s="87"/>
      <c r="I639" s="88"/>
    </row>
    <row r="640" spans="2:9" ht="15.75" customHeight="1">
      <c r="B640" s="87"/>
      <c r="H640" s="87"/>
      <c r="I640" s="88"/>
    </row>
    <row r="641" spans="2:9" ht="15.75" customHeight="1">
      <c r="B641" s="87"/>
      <c r="H641" s="87"/>
      <c r="I641" s="88"/>
    </row>
    <row r="642" spans="2:9" ht="15.75" customHeight="1">
      <c r="B642" s="87"/>
      <c r="H642" s="87"/>
      <c r="I642" s="88"/>
    </row>
    <row r="643" spans="2:9" ht="15.75" customHeight="1">
      <c r="B643" s="87"/>
      <c r="H643" s="87"/>
      <c r="I643" s="88"/>
    </row>
    <row r="644" spans="2:9" ht="15.75" customHeight="1">
      <c r="B644" s="87"/>
      <c r="H644" s="87"/>
      <c r="I644" s="88"/>
    </row>
    <row r="645" spans="2:9" ht="15.75" customHeight="1">
      <c r="B645" s="87"/>
      <c r="H645" s="87"/>
      <c r="I645" s="88"/>
    </row>
    <row r="646" spans="2:9" ht="15.75" customHeight="1">
      <c r="B646" s="87"/>
      <c r="H646" s="87"/>
      <c r="I646" s="88"/>
    </row>
    <row r="647" spans="2:9" ht="15.75" customHeight="1">
      <c r="B647" s="87"/>
      <c r="H647" s="87"/>
      <c r="I647" s="88"/>
    </row>
    <row r="648" spans="2:9" ht="15.75" customHeight="1">
      <c r="B648" s="87"/>
      <c r="H648" s="87"/>
      <c r="I648" s="88"/>
    </row>
    <row r="649" spans="2:9" ht="15.75" customHeight="1">
      <c r="B649" s="87"/>
      <c r="H649" s="87"/>
      <c r="I649" s="88"/>
    </row>
    <row r="650" spans="2:9" ht="15.75" customHeight="1">
      <c r="B650" s="87"/>
      <c r="H650" s="87"/>
      <c r="I650" s="88"/>
    </row>
    <row r="651" spans="2:9" ht="15.75" customHeight="1">
      <c r="B651" s="87"/>
      <c r="H651" s="87"/>
      <c r="I651" s="88"/>
    </row>
    <row r="652" spans="2:9" ht="15.75" customHeight="1">
      <c r="B652" s="87"/>
      <c r="H652" s="87"/>
      <c r="I652" s="88"/>
    </row>
    <row r="653" spans="2:9" ht="15.75" customHeight="1">
      <c r="B653" s="87"/>
      <c r="H653" s="87"/>
      <c r="I653" s="88"/>
    </row>
    <row r="654" spans="2:9" ht="15.75" customHeight="1">
      <c r="B654" s="87"/>
      <c r="H654" s="87"/>
      <c r="I654" s="88"/>
    </row>
    <row r="655" spans="2:9" ht="15.75" customHeight="1">
      <c r="B655" s="87"/>
      <c r="H655" s="87"/>
      <c r="I655" s="88"/>
    </row>
    <row r="656" spans="2:9" ht="15.75" customHeight="1">
      <c r="B656" s="87"/>
      <c r="H656" s="87"/>
      <c r="I656" s="88"/>
    </row>
    <row r="657" spans="2:9" ht="15.75" customHeight="1">
      <c r="B657" s="87"/>
      <c r="H657" s="87"/>
      <c r="I657" s="88"/>
    </row>
    <row r="658" spans="2:9" ht="15.75" customHeight="1">
      <c r="B658" s="87"/>
      <c r="H658" s="87"/>
      <c r="I658" s="88"/>
    </row>
    <row r="659" spans="2:9" ht="15.75" customHeight="1">
      <c r="B659" s="87"/>
      <c r="H659" s="87"/>
      <c r="I659" s="88"/>
    </row>
    <row r="660" spans="2:9" ht="15.75" customHeight="1">
      <c r="B660" s="87"/>
      <c r="H660" s="87"/>
      <c r="I660" s="88"/>
    </row>
    <row r="661" spans="2:9" ht="15.75" customHeight="1">
      <c r="B661" s="87"/>
      <c r="H661" s="87"/>
      <c r="I661" s="88"/>
    </row>
    <row r="662" spans="2:9" ht="15.75" customHeight="1">
      <c r="B662" s="87"/>
      <c r="H662" s="87"/>
      <c r="I662" s="88"/>
    </row>
    <row r="663" spans="2:9" ht="15.75" customHeight="1">
      <c r="B663" s="87"/>
      <c r="H663" s="87"/>
      <c r="I663" s="88"/>
    </row>
    <row r="664" spans="2:9" ht="15.75" customHeight="1">
      <c r="B664" s="87"/>
      <c r="H664" s="87"/>
      <c r="I664" s="88"/>
    </row>
    <row r="665" spans="2:9" ht="15.75" customHeight="1">
      <c r="B665" s="87"/>
      <c r="H665" s="87"/>
      <c r="I665" s="88"/>
    </row>
    <row r="666" spans="2:9" ht="15.75" customHeight="1">
      <c r="B666" s="87"/>
      <c r="H666" s="87"/>
      <c r="I666" s="88"/>
    </row>
    <row r="667" spans="2:9" ht="15.75" customHeight="1">
      <c r="B667" s="87"/>
      <c r="H667" s="87"/>
      <c r="I667" s="88"/>
    </row>
    <row r="668" spans="2:9" ht="15.75" customHeight="1">
      <c r="B668" s="87"/>
      <c r="H668" s="87"/>
      <c r="I668" s="88"/>
    </row>
    <row r="669" spans="2:9" ht="15.75" customHeight="1">
      <c r="B669" s="87"/>
      <c r="H669" s="87"/>
      <c r="I669" s="88"/>
    </row>
    <row r="670" spans="2:9" ht="15.75" customHeight="1">
      <c r="B670" s="87"/>
      <c r="H670" s="87"/>
      <c r="I670" s="88"/>
    </row>
    <row r="671" spans="2:9" ht="15.75" customHeight="1">
      <c r="B671" s="87"/>
      <c r="H671" s="87"/>
      <c r="I671" s="88"/>
    </row>
    <row r="672" spans="2:9" ht="15.75" customHeight="1">
      <c r="B672" s="87"/>
      <c r="H672" s="87"/>
      <c r="I672" s="88"/>
    </row>
    <row r="673" spans="2:9" ht="15.75" customHeight="1">
      <c r="B673" s="87"/>
      <c r="H673" s="87"/>
      <c r="I673" s="88"/>
    </row>
    <row r="674" spans="2:9" ht="15.75" customHeight="1">
      <c r="B674" s="87"/>
      <c r="H674" s="87"/>
      <c r="I674" s="88"/>
    </row>
    <row r="675" spans="2:9" ht="15.75" customHeight="1">
      <c r="B675" s="87"/>
      <c r="H675" s="87"/>
      <c r="I675" s="88"/>
    </row>
    <row r="676" spans="2:9" ht="15.75" customHeight="1">
      <c r="B676" s="87"/>
      <c r="H676" s="87"/>
      <c r="I676" s="88"/>
    </row>
    <row r="677" spans="2:9" ht="15.75" customHeight="1">
      <c r="B677" s="87"/>
      <c r="H677" s="87"/>
      <c r="I677" s="88"/>
    </row>
    <row r="678" spans="2:9" ht="15.75" customHeight="1">
      <c r="B678" s="87"/>
      <c r="H678" s="87"/>
      <c r="I678" s="88"/>
    </row>
    <row r="679" spans="2:9" ht="15.75" customHeight="1">
      <c r="B679" s="87"/>
      <c r="H679" s="87"/>
      <c r="I679" s="88"/>
    </row>
    <row r="680" spans="2:9" ht="15.75" customHeight="1">
      <c r="B680" s="87"/>
      <c r="H680" s="87"/>
      <c r="I680" s="88"/>
    </row>
    <row r="681" spans="2:9" ht="15.75" customHeight="1">
      <c r="B681" s="87"/>
      <c r="H681" s="87"/>
      <c r="I681" s="88"/>
    </row>
    <row r="682" spans="2:9" ht="15.75" customHeight="1">
      <c r="B682" s="87"/>
      <c r="H682" s="87"/>
      <c r="I682" s="88"/>
    </row>
    <row r="683" spans="2:9" ht="15.75" customHeight="1">
      <c r="B683" s="87"/>
      <c r="H683" s="87"/>
      <c r="I683" s="88"/>
    </row>
    <row r="684" spans="2:9" ht="15.75" customHeight="1">
      <c r="B684" s="87"/>
      <c r="H684" s="87"/>
      <c r="I684" s="88"/>
    </row>
    <row r="685" spans="2:9" ht="15.75" customHeight="1">
      <c r="B685" s="87"/>
      <c r="H685" s="87"/>
      <c r="I685" s="88"/>
    </row>
    <row r="686" spans="2:9" ht="15.75" customHeight="1">
      <c r="B686" s="87"/>
      <c r="H686" s="87"/>
      <c r="I686" s="88"/>
    </row>
    <row r="687" spans="2:9" ht="15.75" customHeight="1">
      <c r="B687" s="87"/>
      <c r="H687" s="87"/>
      <c r="I687" s="88"/>
    </row>
    <row r="688" spans="2:9" ht="15.75" customHeight="1">
      <c r="B688" s="87"/>
      <c r="H688" s="87"/>
      <c r="I688" s="88"/>
    </row>
    <row r="689" spans="2:9" ht="15.75" customHeight="1">
      <c r="B689" s="87"/>
      <c r="H689" s="87"/>
      <c r="I689" s="88"/>
    </row>
    <row r="690" spans="2:9" ht="15.75" customHeight="1">
      <c r="B690" s="87"/>
      <c r="H690" s="87"/>
      <c r="I690" s="88"/>
    </row>
    <row r="691" spans="2:9" ht="15.75" customHeight="1">
      <c r="B691" s="87"/>
      <c r="H691" s="87"/>
      <c r="I691" s="88"/>
    </row>
    <row r="692" spans="2:9" ht="15.75" customHeight="1">
      <c r="B692" s="87"/>
      <c r="H692" s="87"/>
      <c r="I692" s="88"/>
    </row>
    <row r="693" spans="2:9" ht="15.75" customHeight="1">
      <c r="B693" s="87"/>
      <c r="H693" s="87"/>
      <c r="I693" s="88"/>
    </row>
    <row r="694" spans="2:9" ht="15.75" customHeight="1">
      <c r="B694" s="87"/>
      <c r="H694" s="87"/>
      <c r="I694" s="88"/>
    </row>
    <row r="695" spans="2:9" ht="15.75" customHeight="1">
      <c r="B695" s="87"/>
      <c r="H695" s="87"/>
      <c r="I695" s="88"/>
    </row>
    <row r="696" spans="2:9" ht="15.75" customHeight="1">
      <c r="B696" s="87"/>
      <c r="H696" s="87"/>
      <c r="I696" s="88"/>
    </row>
    <row r="697" spans="2:9" ht="15.75" customHeight="1">
      <c r="B697" s="87"/>
      <c r="H697" s="87"/>
      <c r="I697" s="88"/>
    </row>
    <row r="698" spans="2:9" ht="15.75" customHeight="1">
      <c r="B698" s="87"/>
      <c r="H698" s="87"/>
      <c r="I698" s="88"/>
    </row>
    <row r="699" spans="2:9" ht="15.75" customHeight="1">
      <c r="B699" s="87"/>
      <c r="H699" s="87"/>
      <c r="I699" s="88"/>
    </row>
    <row r="700" spans="2:9" ht="15.75" customHeight="1">
      <c r="B700" s="87"/>
      <c r="H700" s="87"/>
      <c r="I700" s="88"/>
    </row>
    <row r="701" spans="2:9" ht="15.75" customHeight="1">
      <c r="B701" s="87"/>
      <c r="H701" s="87"/>
      <c r="I701" s="88"/>
    </row>
    <row r="702" spans="2:9" ht="15.75" customHeight="1">
      <c r="B702" s="87"/>
      <c r="H702" s="87"/>
      <c r="I702" s="88"/>
    </row>
    <row r="703" spans="2:9" ht="15.75" customHeight="1">
      <c r="B703" s="87"/>
      <c r="H703" s="87"/>
      <c r="I703" s="88"/>
    </row>
    <row r="704" spans="2:9" ht="15.75" customHeight="1">
      <c r="B704" s="87"/>
      <c r="H704" s="87"/>
      <c r="I704" s="88"/>
    </row>
    <row r="705" spans="2:9" ht="15.75" customHeight="1">
      <c r="B705" s="87"/>
      <c r="H705" s="87"/>
      <c r="I705" s="88"/>
    </row>
    <row r="706" spans="2:9" ht="15.75" customHeight="1">
      <c r="B706" s="87"/>
      <c r="H706" s="87"/>
      <c r="I706" s="88"/>
    </row>
    <row r="707" spans="2:9" ht="15.75" customHeight="1">
      <c r="B707" s="87"/>
      <c r="H707" s="87"/>
      <c r="I707" s="88"/>
    </row>
    <row r="708" spans="2:9" ht="15.75" customHeight="1">
      <c r="B708" s="87"/>
      <c r="H708" s="87"/>
      <c r="I708" s="88"/>
    </row>
    <row r="709" spans="2:9" ht="15.75" customHeight="1">
      <c r="B709" s="87"/>
      <c r="H709" s="87"/>
      <c r="I709" s="88"/>
    </row>
    <row r="710" spans="2:9" ht="15.75" customHeight="1">
      <c r="B710" s="87"/>
      <c r="H710" s="87"/>
      <c r="I710" s="88"/>
    </row>
    <row r="711" spans="2:9" ht="15.75" customHeight="1">
      <c r="B711" s="87"/>
      <c r="H711" s="87"/>
      <c r="I711" s="88"/>
    </row>
    <row r="712" spans="2:9" ht="15.75" customHeight="1">
      <c r="B712" s="87"/>
      <c r="H712" s="87"/>
      <c r="I712" s="88"/>
    </row>
    <row r="713" spans="2:9" ht="15.75" customHeight="1">
      <c r="B713" s="87"/>
      <c r="H713" s="87"/>
      <c r="I713" s="88"/>
    </row>
    <row r="714" spans="2:9" ht="15.75" customHeight="1">
      <c r="B714" s="87"/>
      <c r="H714" s="87"/>
      <c r="I714" s="88"/>
    </row>
    <row r="715" spans="2:9" ht="15.75" customHeight="1">
      <c r="B715" s="87"/>
      <c r="H715" s="87"/>
      <c r="I715" s="88"/>
    </row>
    <row r="716" spans="2:9" ht="15.75" customHeight="1">
      <c r="B716" s="87"/>
      <c r="H716" s="87"/>
      <c r="I716" s="88"/>
    </row>
    <row r="717" spans="2:9" ht="15.75" customHeight="1">
      <c r="B717" s="87"/>
      <c r="H717" s="87"/>
      <c r="I717" s="88"/>
    </row>
    <row r="718" spans="2:9" ht="15.75" customHeight="1">
      <c r="B718" s="87"/>
      <c r="H718" s="87"/>
      <c r="I718" s="88"/>
    </row>
    <row r="719" spans="2:9" ht="15.75" customHeight="1">
      <c r="B719" s="87"/>
      <c r="H719" s="87"/>
      <c r="I719" s="88"/>
    </row>
    <row r="720" spans="2:9" ht="15.75" customHeight="1">
      <c r="B720" s="87"/>
      <c r="H720" s="87"/>
      <c r="I720" s="88"/>
    </row>
    <row r="721" spans="2:9" ht="15.75" customHeight="1">
      <c r="B721" s="87"/>
      <c r="H721" s="87"/>
      <c r="I721" s="88"/>
    </row>
    <row r="722" spans="2:9" ht="15.75" customHeight="1">
      <c r="B722" s="87"/>
      <c r="H722" s="87"/>
      <c r="I722" s="88"/>
    </row>
    <row r="723" spans="2:9" ht="15.75" customHeight="1">
      <c r="B723" s="87"/>
      <c r="H723" s="87"/>
      <c r="I723" s="88"/>
    </row>
    <row r="724" spans="2:9" ht="15.75" customHeight="1">
      <c r="B724" s="87"/>
      <c r="H724" s="87"/>
      <c r="I724" s="88"/>
    </row>
    <row r="725" spans="2:9" ht="15.75" customHeight="1">
      <c r="B725" s="87"/>
      <c r="H725" s="87"/>
      <c r="I725" s="88"/>
    </row>
    <row r="726" spans="2:9" ht="15.75" customHeight="1">
      <c r="B726" s="87"/>
      <c r="H726" s="87"/>
      <c r="I726" s="88"/>
    </row>
    <row r="727" spans="2:9" ht="15.75" customHeight="1">
      <c r="B727" s="87"/>
      <c r="H727" s="87"/>
      <c r="I727" s="88"/>
    </row>
    <row r="728" spans="2:9" ht="15.75" customHeight="1">
      <c r="B728" s="87"/>
      <c r="H728" s="87"/>
      <c r="I728" s="88"/>
    </row>
    <row r="729" spans="2:9" ht="15.75" customHeight="1">
      <c r="B729" s="87"/>
      <c r="H729" s="87"/>
      <c r="I729" s="88"/>
    </row>
    <row r="730" spans="2:9" ht="15.75" customHeight="1">
      <c r="B730" s="87"/>
      <c r="H730" s="87"/>
      <c r="I730" s="88"/>
    </row>
    <row r="731" spans="2:9" ht="15.75" customHeight="1">
      <c r="B731" s="87"/>
      <c r="H731" s="87"/>
      <c r="I731" s="88"/>
    </row>
    <row r="732" spans="2:9" ht="15.75" customHeight="1">
      <c r="B732" s="87"/>
      <c r="H732" s="87"/>
      <c r="I732" s="88"/>
    </row>
    <row r="733" spans="2:9" ht="15.75" customHeight="1">
      <c r="B733" s="87"/>
      <c r="H733" s="87"/>
      <c r="I733" s="88"/>
    </row>
    <row r="734" spans="2:9" ht="15.75" customHeight="1">
      <c r="B734" s="87"/>
      <c r="H734" s="87"/>
      <c r="I734" s="88"/>
    </row>
    <row r="735" spans="2:9" ht="15.75" customHeight="1">
      <c r="B735" s="87"/>
      <c r="H735" s="87"/>
      <c r="I735" s="88"/>
    </row>
    <row r="736" spans="2:9" ht="15.75" customHeight="1">
      <c r="B736" s="87"/>
      <c r="H736" s="87"/>
      <c r="I736" s="88"/>
    </row>
    <row r="737" spans="2:9" ht="15.75" customHeight="1">
      <c r="B737" s="87"/>
      <c r="H737" s="87"/>
      <c r="I737" s="88"/>
    </row>
    <row r="738" spans="2:9" ht="15.75" customHeight="1">
      <c r="B738" s="87"/>
      <c r="H738" s="87"/>
      <c r="I738" s="88"/>
    </row>
    <row r="739" spans="2:9" ht="15.75" customHeight="1">
      <c r="B739" s="87"/>
      <c r="H739" s="87"/>
      <c r="I739" s="88"/>
    </row>
    <row r="740" spans="2:9" ht="15.75" customHeight="1">
      <c r="B740" s="87"/>
      <c r="H740" s="87"/>
      <c r="I740" s="88"/>
    </row>
    <row r="741" spans="2:9" ht="15.75" customHeight="1">
      <c r="B741" s="87"/>
      <c r="H741" s="87"/>
      <c r="I741" s="88"/>
    </row>
    <row r="742" spans="2:9" ht="15.75" customHeight="1">
      <c r="B742" s="87"/>
      <c r="H742" s="87"/>
      <c r="I742" s="88"/>
    </row>
    <row r="743" spans="2:9" ht="15.75" customHeight="1">
      <c r="B743" s="87"/>
      <c r="H743" s="87"/>
      <c r="I743" s="88"/>
    </row>
    <row r="744" spans="2:9" ht="15.75" customHeight="1">
      <c r="B744" s="87"/>
      <c r="H744" s="87"/>
      <c r="I744" s="88"/>
    </row>
    <row r="745" spans="2:9" ht="15.75" customHeight="1">
      <c r="B745" s="87"/>
      <c r="H745" s="87"/>
      <c r="I745" s="88"/>
    </row>
    <row r="746" spans="2:9" ht="15.75" customHeight="1">
      <c r="B746" s="87"/>
      <c r="H746" s="87"/>
      <c r="I746" s="88"/>
    </row>
    <row r="747" spans="2:9" ht="15.75" customHeight="1">
      <c r="B747" s="87"/>
      <c r="H747" s="87"/>
      <c r="I747" s="88"/>
    </row>
    <row r="748" spans="2:9" ht="15.75" customHeight="1">
      <c r="B748" s="87"/>
      <c r="H748" s="87"/>
      <c r="I748" s="88"/>
    </row>
    <row r="749" spans="2:9" ht="15.75" customHeight="1">
      <c r="B749" s="87"/>
      <c r="H749" s="87"/>
      <c r="I749" s="88"/>
    </row>
    <row r="750" spans="2:9" ht="15.75" customHeight="1">
      <c r="B750" s="87"/>
      <c r="H750" s="87"/>
      <c r="I750" s="88"/>
    </row>
    <row r="751" spans="2:9" ht="15.75" customHeight="1">
      <c r="B751" s="87"/>
      <c r="H751" s="87"/>
      <c r="I751" s="88"/>
    </row>
    <row r="752" spans="2:9" ht="15.75" customHeight="1">
      <c r="B752" s="87"/>
      <c r="H752" s="87"/>
      <c r="I752" s="88"/>
    </row>
    <row r="753" spans="2:9" ht="15.75" customHeight="1">
      <c r="B753" s="87"/>
      <c r="H753" s="87"/>
      <c r="I753" s="88"/>
    </row>
    <row r="754" spans="2:9" ht="15.75" customHeight="1">
      <c r="B754" s="87"/>
      <c r="H754" s="87"/>
      <c r="I754" s="88"/>
    </row>
    <row r="755" spans="2:9" ht="15.75" customHeight="1">
      <c r="B755" s="87"/>
      <c r="H755" s="87"/>
      <c r="I755" s="88"/>
    </row>
    <row r="756" spans="2:9" ht="15.75" customHeight="1">
      <c r="B756" s="87"/>
      <c r="H756" s="87"/>
      <c r="I756" s="88"/>
    </row>
    <row r="757" spans="2:9" ht="15.75" customHeight="1">
      <c r="B757" s="87"/>
      <c r="H757" s="87"/>
      <c r="I757" s="88"/>
    </row>
    <row r="758" spans="2:9" ht="15.75" customHeight="1">
      <c r="B758" s="87"/>
      <c r="H758" s="87"/>
      <c r="I758" s="88"/>
    </row>
    <row r="759" spans="2:9" ht="15.75" customHeight="1">
      <c r="B759" s="87"/>
      <c r="H759" s="87"/>
      <c r="I759" s="88"/>
    </row>
    <row r="760" spans="2:9" ht="15.75" customHeight="1">
      <c r="B760" s="87"/>
      <c r="H760" s="87"/>
      <c r="I760" s="88"/>
    </row>
    <row r="761" spans="2:9" ht="15.75" customHeight="1">
      <c r="B761" s="87"/>
      <c r="H761" s="87"/>
      <c r="I761" s="88"/>
    </row>
    <row r="762" spans="2:9" ht="15.75" customHeight="1">
      <c r="B762" s="87"/>
      <c r="H762" s="87"/>
      <c r="I762" s="88"/>
    </row>
    <row r="763" spans="2:9" ht="15.75" customHeight="1">
      <c r="B763" s="87"/>
      <c r="H763" s="87"/>
      <c r="I763" s="88"/>
    </row>
    <row r="764" spans="2:9" ht="15.75" customHeight="1">
      <c r="B764" s="87"/>
      <c r="H764" s="87"/>
      <c r="I764" s="88"/>
    </row>
    <row r="765" spans="2:9" ht="15.75" customHeight="1">
      <c r="B765" s="87"/>
      <c r="H765" s="87"/>
      <c r="I765" s="88"/>
    </row>
    <row r="766" spans="2:9" ht="15.75" customHeight="1">
      <c r="B766" s="87"/>
      <c r="H766" s="87"/>
      <c r="I766" s="88"/>
    </row>
    <row r="767" spans="2:9" ht="15.75" customHeight="1">
      <c r="B767" s="87"/>
      <c r="H767" s="87"/>
      <c r="I767" s="88"/>
    </row>
    <row r="768" spans="2:9" ht="15.75" customHeight="1">
      <c r="B768" s="87"/>
      <c r="H768" s="87"/>
      <c r="I768" s="88"/>
    </row>
    <row r="769" spans="2:9" ht="15.75" customHeight="1">
      <c r="B769" s="87"/>
      <c r="H769" s="87"/>
      <c r="I769" s="88"/>
    </row>
    <row r="770" spans="2:9" ht="15.75" customHeight="1">
      <c r="B770" s="87"/>
      <c r="H770" s="87"/>
      <c r="I770" s="88"/>
    </row>
    <row r="771" spans="2:9" ht="15.75" customHeight="1">
      <c r="B771" s="87"/>
      <c r="H771" s="87"/>
      <c r="I771" s="88"/>
    </row>
    <row r="772" spans="2:9" ht="15.75" customHeight="1">
      <c r="B772" s="87"/>
      <c r="H772" s="87"/>
      <c r="I772" s="88"/>
    </row>
    <row r="773" spans="2:9" ht="15.75" customHeight="1">
      <c r="B773" s="87"/>
      <c r="H773" s="87"/>
      <c r="I773" s="88"/>
    </row>
    <row r="774" spans="2:9" ht="15.75" customHeight="1">
      <c r="B774" s="87"/>
      <c r="H774" s="87"/>
      <c r="I774" s="88"/>
    </row>
    <row r="775" spans="2:9" ht="15.75" customHeight="1">
      <c r="B775" s="87"/>
      <c r="H775" s="87"/>
      <c r="I775" s="88"/>
    </row>
    <row r="776" spans="2:9" ht="15.75" customHeight="1">
      <c r="B776" s="87"/>
      <c r="H776" s="87"/>
      <c r="I776" s="88"/>
    </row>
    <row r="777" spans="2:9" ht="15.75" customHeight="1">
      <c r="B777" s="87"/>
      <c r="H777" s="87"/>
      <c r="I777" s="88"/>
    </row>
    <row r="778" spans="2:9" ht="15.75" customHeight="1">
      <c r="B778" s="87"/>
      <c r="H778" s="87"/>
      <c r="I778" s="88"/>
    </row>
    <row r="779" spans="2:9" ht="15.75" customHeight="1">
      <c r="B779" s="87"/>
      <c r="H779" s="87"/>
      <c r="I779" s="88"/>
    </row>
    <row r="780" spans="2:9" ht="15.75" customHeight="1">
      <c r="B780" s="87"/>
      <c r="H780" s="87"/>
      <c r="I780" s="88"/>
    </row>
    <row r="781" spans="2:9" ht="15.75" customHeight="1">
      <c r="B781" s="87"/>
      <c r="H781" s="87"/>
      <c r="I781" s="88"/>
    </row>
    <row r="782" spans="2:9" ht="15.75" customHeight="1">
      <c r="B782" s="87"/>
      <c r="H782" s="87"/>
      <c r="I782" s="88"/>
    </row>
    <row r="783" spans="2:9" ht="15.75" customHeight="1">
      <c r="B783" s="87"/>
      <c r="H783" s="87"/>
      <c r="I783" s="88"/>
    </row>
    <row r="784" spans="2:9" ht="15.75" customHeight="1">
      <c r="B784" s="87"/>
      <c r="H784" s="87"/>
      <c r="I784" s="88"/>
    </row>
    <row r="785" spans="2:9" ht="15.75" customHeight="1">
      <c r="B785" s="87"/>
      <c r="H785" s="87"/>
      <c r="I785" s="88"/>
    </row>
    <row r="786" spans="2:9" ht="15.75" customHeight="1">
      <c r="B786" s="87"/>
      <c r="H786" s="87"/>
      <c r="I786" s="88"/>
    </row>
    <row r="787" spans="2:9" ht="15.75" customHeight="1">
      <c r="B787" s="87"/>
      <c r="H787" s="87"/>
      <c r="I787" s="88"/>
    </row>
    <row r="788" spans="2:9" ht="15.75" customHeight="1">
      <c r="B788" s="87"/>
      <c r="H788" s="87"/>
      <c r="I788" s="88"/>
    </row>
    <row r="789" spans="2:9" ht="15.75" customHeight="1">
      <c r="B789" s="87"/>
      <c r="H789" s="87"/>
      <c r="I789" s="88"/>
    </row>
    <row r="790" spans="2:9" ht="15.75" customHeight="1">
      <c r="B790" s="87"/>
      <c r="H790" s="87"/>
      <c r="I790" s="88"/>
    </row>
    <row r="791" spans="2:9" ht="15.75" customHeight="1">
      <c r="B791" s="87"/>
      <c r="H791" s="87"/>
      <c r="I791" s="88"/>
    </row>
    <row r="792" spans="2:9" ht="15.75" customHeight="1">
      <c r="B792" s="87"/>
      <c r="H792" s="87"/>
      <c r="I792" s="88"/>
    </row>
    <row r="793" spans="2:9" ht="15.75" customHeight="1">
      <c r="B793" s="87"/>
      <c r="H793" s="87"/>
      <c r="I793" s="88"/>
    </row>
    <row r="794" spans="2:9" ht="15.75" customHeight="1">
      <c r="B794" s="87"/>
      <c r="H794" s="87"/>
      <c r="I794" s="88"/>
    </row>
    <row r="795" spans="2:9" ht="15.75" customHeight="1">
      <c r="B795" s="87"/>
      <c r="H795" s="87"/>
      <c r="I795" s="88"/>
    </row>
    <row r="796" spans="2:9" ht="15.75" customHeight="1">
      <c r="B796" s="87"/>
      <c r="H796" s="87"/>
      <c r="I796" s="88"/>
    </row>
    <row r="797" spans="2:9" ht="15.75" customHeight="1">
      <c r="B797" s="87"/>
      <c r="H797" s="87"/>
      <c r="I797" s="88"/>
    </row>
    <row r="798" spans="2:9" ht="15.75" customHeight="1">
      <c r="B798" s="87"/>
      <c r="H798" s="87"/>
      <c r="I798" s="88"/>
    </row>
    <row r="799" spans="2:9" ht="15.75" customHeight="1">
      <c r="B799" s="87"/>
      <c r="H799" s="87"/>
      <c r="I799" s="88"/>
    </row>
    <row r="800" spans="2:9" ht="15.75" customHeight="1">
      <c r="B800" s="87"/>
      <c r="H800" s="87"/>
      <c r="I800" s="88"/>
    </row>
    <row r="801" spans="2:9" ht="15.75" customHeight="1">
      <c r="B801" s="87"/>
      <c r="H801" s="87"/>
      <c r="I801" s="88"/>
    </row>
    <row r="802" spans="2:9" ht="15.75" customHeight="1">
      <c r="B802" s="87"/>
      <c r="H802" s="87"/>
      <c r="I802" s="88"/>
    </row>
    <row r="803" spans="2:9" ht="15.75" customHeight="1">
      <c r="B803" s="87"/>
      <c r="H803" s="87"/>
      <c r="I803" s="88"/>
    </row>
    <row r="804" spans="2:9" ht="15.75" customHeight="1">
      <c r="B804" s="87"/>
      <c r="H804" s="87"/>
      <c r="I804" s="88"/>
    </row>
    <row r="805" spans="2:9" ht="15.75" customHeight="1">
      <c r="B805" s="87"/>
      <c r="H805" s="87"/>
      <c r="I805" s="88"/>
    </row>
    <row r="806" spans="2:9" ht="15.75" customHeight="1">
      <c r="B806" s="87"/>
      <c r="H806" s="87"/>
      <c r="I806" s="88"/>
    </row>
    <row r="807" spans="2:9" ht="15.75" customHeight="1">
      <c r="B807" s="87"/>
      <c r="H807" s="87"/>
      <c r="I807" s="88"/>
    </row>
    <row r="808" spans="2:9" ht="15.75" customHeight="1">
      <c r="B808" s="87"/>
      <c r="H808" s="87"/>
      <c r="I808" s="88"/>
    </row>
    <row r="809" spans="2:9" ht="15.75" customHeight="1">
      <c r="B809" s="87"/>
      <c r="H809" s="87"/>
      <c r="I809" s="88"/>
    </row>
    <row r="810" spans="2:9" ht="15.75" customHeight="1">
      <c r="B810" s="87"/>
      <c r="H810" s="87"/>
      <c r="I810" s="88"/>
    </row>
    <row r="811" spans="2:9" ht="15.75" customHeight="1">
      <c r="B811" s="87"/>
      <c r="H811" s="87"/>
      <c r="I811" s="88"/>
    </row>
    <row r="812" spans="2:9" ht="15.75" customHeight="1">
      <c r="B812" s="87"/>
      <c r="H812" s="87"/>
      <c r="I812" s="88"/>
    </row>
    <row r="813" spans="2:9" ht="15.75" customHeight="1">
      <c r="B813" s="87"/>
      <c r="H813" s="87"/>
      <c r="I813" s="88"/>
    </row>
    <row r="814" spans="2:9" ht="15.75" customHeight="1">
      <c r="B814" s="87"/>
      <c r="H814" s="87"/>
      <c r="I814" s="88"/>
    </row>
    <row r="815" spans="2:9" ht="15.75" customHeight="1">
      <c r="B815" s="87"/>
      <c r="H815" s="87"/>
      <c r="I815" s="88"/>
    </row>
    <row r="816" spans="2:9" ht="15.75" customHeight="1">
      <c r="B816" s="87"/>
      <c r="H816" s="87"/>
      <c r="I816" s="88"/>
    </row>
    <row r="817" spans="2:9" ht="15.75" customHeight="1">
      <c r="B817" s="87"/>
      <c r="H817" s="87"/>
      <c r="I817" s="88"/>
    </row>
    <row r="818" spans="2:9" ht="15.75" customHeight="1">
      <c r="B818" s="87"/>
      <c r="H818" s="87"/>
      <c r="I818" s="88"/>
    </row>
    <row r="819" spans="2:9" ht="15.75" customHeight="1">
      <c r="B819" s="87"/>
      <c r="H819" s="87"/>
      <c r="I819" s="88"/>
    </row>
    <row r="820" spans="2:9" ht="15.75" customHeight="1">
      <c r="B820" s="87"/>
      <c r="H820" s="87"/>
      <c r="I820" s="88"/>
    </row>
    <row r="821" spans="2:9" ht="15.75" customHeight="1">
      <c r="B821" s="87"/>
      <c r="H821" s="87"/>
      <c r="I821" s="88"/>
    </row>
    <row r="822" spans="2:9" ht="15.75" customHeight="1">
      <c r="B822" s="87"/>
      <c r="H822" s="87"/>
      <c r="I822" s="88"/>
    </row>
    <row r="823" spans="2:9" ht="15.75" customHeight="1">
      <c r="B823" s="87"/>
      <c r="H823" s="87"/>
      <c r="I823" s="88"/>
    </row>
    <row r="824" spans="2:9" ht="15.75" customHeight="1">
      <c r="B824" s="87"/>
      <c r="H824" s="87"/>
      <c r="I824" s="88"/>
    </row>
    <row r="825" spans="2:9" ht="15.75" customHeight="1">
      <c r="B825" s="87"/>
      <c r="H825" s="87"/>
      <c r="I825" s="88"/>
    </row>
    <row r="826" spans="2:9" ht="15.75" customHeight="1">
      <c r="B826" s="87"/>
      <c r="H826" s="87"/>
      <c r="I826" s="88"/>
    </row>
    <row r="827" spans="2:9" ht="15.75" customHeight="1">
      <c r="B827" s="87"/>
      <c r="H827" s="87"/>
      <c r="I827" s="88"/>
    </row>
    <row r="828" spans="2:9" ht="15.75" customHeight="1">
      <c r="B828" s="87"/>
      <c r="H828" s="87"/>
      <c r="I828" s="88"/>
    </row>
    <row r="829" spans="2:9" ht="15.75" customHeight="1">
      <c r="B829" s="87"/>
      <c r="H829" s="87"/>
      <c r="I829" s="88"/>
    </row>
    <row r="830" spans="2:9" ht="15.75" customHeight="1">
      <c r="B830" s="87"/>
      <c r="H830" s="87"/>
      <c r="I830" s="88"/>
    </row>
    <row r="831" spans="2:9" ht="15.75" customHeight="1">
      <c r="B831" s="87"/>
      <c r="H831" s="87"/>
      <c r="I831" s="88"/>
    </row>
    <row r="832" spans="2:9" ht="15.75" customHeight="1">
      <c r="B832" s="87"/>
      <c r="H832" s="87"/>
      <c r="I832" s="88"/>
    </row>
    <row r="833" spans="2:9" ht="15.75" customHeight="1">
      <c r="B833" s="87"/>
      <c r="H833" s="87"/>
      <c r="I833" s="88"/>
    </row>
    <row r="834" spans="2:9" ht="15.75" customHeight="1">
      <c r="B834" s="87"/>
      <c r="H834" s="87"/>
      <c r="I834" s="88"/>
    </row>
    <row r="835" spans="2:9" ht="15.75" customHeight="1">
      <c r="B835" s="87"/>
      <c r="H835" s="87"/>
      <c r="I835" s="88"/>
    </row>
    <row r="836" spans="2:9" ht="15.75" customHeight="1">
      <c r="B836" s="87"/>
      <c r="H836" s="87"/>
      <c r="I836" s="88"/>
    </row>
    <row r="837" spans="2:9" ht="15.75" customHeight="1">
      <c r="B837" s="87"/>
      <c r="H837" s="87"/>
      <c r="I837" s="88"/>
    </row>
    <row r="838" spans="2:9" ht="15.75" customHeight="1">
      <c r="B838" s="87"/>
      <c r="H838" s="87"/>
      <c r="I838" s="88"/>
    </row>
    <row r="839" spans="2:9" ht="15.75" customHeight="1">
      <c r="B839" s="87"/>
      <c r="H839" s="87"/>
      <c r="I839" s="88"/>
    </row>
    <row r="840" spans="2:9" ht="15.75" customHeight="1">
      <c r="B840" s="87"/>
      <c r="H840" s="87"/>
      <c r="I840" s="88"/>
    </row>
    <row r="841" spans="2:9" ht="15.75" customHeight="1">
      <c r="B841" s="87"/>
      <c r="H841" s="87"/>
      <c r="I841" s="88"/>
    </row>
    <row r="842" spans="2:9" ht="15.75" customHeight="1">
      <c r="B842" s="87"/>
      <c r="H842" s="87"/>
      <c r="I842" s="88"/>
    </row>
    <row r="843" spans="2:9" ht="15.75" customHeight="1">
      <c r="B843" s="87"/>
      <c r="H843" s="87"/>
      <c r="I843" s="88"/>
    </row>
    <row r="844" spans="2:9" ht="15.75" customHeight="1">
      <c r="B844" s="87"/>
      <c r="H844" s="87"/>
      <c r="I844" s="88"/>
    </row>
    <row r="845" spans="2:9" ht="15.75" customHeight="1">
      <c r="B845" s="87"/>
      <c r="H845" s="87"/>
      <c r="I845" s="88"/>
    </row>
    <row r="846" spans="2:9" ht="15.75" customHeight="1">
      <c r="B846" s="87"/>
      <c r="H846" s="87"/>
      <c r="I846" s="88"/>
    </row>
    <row r="847" spans="2:9" ht="15.75" customHeight="1">
      <c r="B847" s="87"/>
      <c r="H847" s="87"/>
      <c r="I847" s="88"/>
    </row>
    <row r="848" spans="2:9" ht="15.75" customHeight="1">
      <c r="B848" s="87"/>
      <c r="H848" s="87"/>
      <c r="I848" s="88"/>
    </row>
    <row r="849" spans="2:9" ht="15.75" customHeight="1">
      <c r="B849" s="87"/>
      <c r="H849" s="87"/>
      <c r="I849" s="88"/>
    </row>
    <row r="850" spans="2:9" ht="15.75" customHeight="1">
      <c r="B850" s="87"/>
      <c r="H850" s="87"/>
      <c r="I850" s="88"/>
    </row>
    <row r="851" spans="2:9" ht="15.75" customHeight="1">
      <c r="B851" s="87"/>
      <c r="H851" s="87"/>
      <c r="I851" s="88"/>
    </row>
    <row r="852" spans="2:9" ht="15.75" customHeight="1">
      <c r="B852" s="87"/>
      <c r="H852" s="87"/>
      <c r="I852" s="88"/>
    </row>
    <row r="853" spans="2:9" ht="15.75" customHeight="1">
      <c r="B853" s="87"/>
      <c r="H853" s="87"/>
      <c r="I853" s="88"/>
    </row>
    <row r="854" spans="2:9" ht="15.75" customHeight="1">
      <c r="B854" s="87"/>
      <c r="H854" s="87"/>
      <c r="I854" s="88"/>
    </row>
    <row r="855" spans="2:9" ht="15.75" customHeight="1">
      <c r="B855" s="87"/>
      <c r="H855" s="87"/>
      <c r="I855" s="88"/>
    </row>
    <row r="856" spans="2:9" ht="15.75" customHeight="1">
      <c r="B856" s="87"/>
      <c r="H856" s="87"/>
      <c r="I856" s="88"/>
    </row>
    <row r="857" spans="2:9" ht="15.75" customHeight="1">
      <c r="B857" s="87"/>
      <c r="H857" s="87"/>
      <c r="I857" s="88"/>
    </row>
    <row r="858" spans="2:9" ht="15.75" customHeight="1">
      <c r="B858" s="87"/>
      <c r="H858" s="87"/>
      <c r="I858" s="88"/>
    </row>
    <row r="859" spans="2:9" ht="15.75" customHeight="1">
      <c r="B859" s="87"/>
      <c r="H859" s="87"/>
      <c r="I859" s="88"/>
    </row>
    <row r="860" spans="2:9" ht="15.75" customHeight="1">
      <c r="B860" s="87"/>
      <c r="H860" s="87"/>
      <c r="I860" s="88"/>
    </row>
    <row r="861" spans="2:9" ht="15.75" customHeight="1">
      <c r="B861" s="87"/>
      <c r="H861" s="87"/>
      <c r="I861" s="88"/>
    </row>
    <row r="862" spans="2:9" ht="15.75" customHeight="1">
      <c r="B862" s="87"/>
      <c r="H862" s="87"/>
      <c r="I862" s="88"/>
    </row>
    <row r="863" spans="2:9" ht="15.75" customHeight="1">
      <c r="B863" s="87"/>
      <c r="H863" s="87"/>
      <c r="I863" s="88"/>
    </row>
    <row r="864" spans="2:9" ht="15.75" customHeight="1">
      <c r="B864" s="87"/>
      <c r="H864" s="87"/>
      <c r="I864" s="88"/>
    </row>
    <row r="865" spans="2:9" ht="15.75" customHeight="1">
      <c r="B865" s="87"/>
      <c r="H865" s="87"/>
      <c r="I865" s="88"/>
    </row>
    <row r="866" spans="2:9" ht="15.75" customHeight="1">
      <c r="B866" s="87"/>
      <c r="H866" s="87"/>
      <c r="I866" s="88"/>
    </row>
    <row r="867" spans="2:9" ht="15.75" customHeight="1">
      <c r="B867" s="87"/>
      <c r="H867" s="87"/>
      <c r="I867" s="88"/>
    </row>
    <row r="868" spans="2:9" ht="15.75" customHeight="1">
      <c r="B868" s="87"/>
      <c r="H868" s="87"/>
      <c r="I868" s="88"/>
    </row>
    <row r="869" spans="2:9" ht="15.75" customHeight="1">
      <c r="B869" s="87"/>
      <c r="H869" s="87"/>
      <c r="I869" s="88"/>
    </row>
    <row r="870" spans="2:9" ht="15.75" customHeight="1">
      <c r="B870" s="87"/>
      <c r="H870" s="87"/>
      <c r="I870" s="88"/>
    </row>
    <row r="871" spans="2:9" ht="15.75" customHeight="1">
      <c r="B871" s="87"/>
      <c r="H871" s="87"/>
      <c r="I871" s="88"/>
    </row>
    <row r="872" spans="2:9" ht="15.75" customHeight="1">
      <c r="B872" s="87"/>
      <c r="H872" s="87"/>
      <c r="I872" s="88"/>
    </row>
    <row r="873" spans="2:9" ht="15.75" customHeight="1">
      <c r="B873" s="87"/>
      <c r="H873" s="87"/>
      <c r="I873" s="88"/>
    </row>
    <row r="874" spans="2:9" ht="15.75" customHeight="1">
      <c r="B874" s="87"/>
      <c r="H874" s="87"/>
      <c r="I874" s="88"/>
    </row>
    <row r="875" spans="2:9" ht="15.75" customHeight="1">
      <c r="B875" s="87"/>
      <c r="H875" s="87"/>
      <c r="I875" s="88"/>
    </row>
    <row r="876" spans="2:9" ht="15.75" customHeight="1">
      <c r="B876" s="87"/>
      <c r="H876" s="87"/>
      <c r="I876" s="88"/>
    </row>
    <row r="877" spans="2:9" ht="15.75" customHeight="1">
      <c r="B877" s="87"/>
      <c r="H877" s="87"/>
      <c r="I877" s="88"/>
    </row>
    <row r="878" spans="2:9" ht="15.75" customHeight="1">
      <c r="B878" s="87"/>
      <c r="H878" s="87"/>
      <c r="I878" s="88"/>
    </row>
    <row r="879" spans="2:9" ht="15.75" customHeight="1">
      <c r="B879" s="87"/>
      <c r="H879" s="87"/>
      <c r="I879" s="88"/>
    </row>
    <row r="880" spans="2:9" ht="15.75" customHeight="1">
      <c r="B880" s="87"/>
      <c r="H880" s="87"/>
      <c r="I880" s="88"/>
    </row>
    <row r="881" spans="2:9" ht="15.75" customHeight="1">
      <c r="B881" s="87"/>
      <c r="H881" s="87"/>
      <c r="I881" s="88"/>
    </row>
    <row r="882" spans="2:9" ht="15.75" customHeight="1">
      <c r="B882" s="87"/>
      <c r="H882" s="87"/>
      <c r="I882" s="88"/>
    </row>
    <row r="883" spans="2:9" ht="15.75" customHeight="1">
      <c r="B883" s="87"/>
      <c r="H883" s="87"/>
      <c r="I883" s="88"/>
    </row>
    <row r="884" spans="2:9" ht="15.75" customHeight="1">
      <c r="B884" s="87"/>
      <c r="H884" s="87"/>
      <c r="I884" s="88"/>
    </row>
    <row r="885" spans="2:9" ht="15.75" customHeight="1">
      <c r="B885" s="87"/>
      <c r="H885" s="87"/>
      <c r="I885" s="88"/>
    </row>
    <row r="886" spans="2:9" ht="15.75" customHeight="1">
      <c r="B886" s="87"/>
      <c r="H886" s="87"/>
      <c r="I886" s="88"/>
    </row>
    <row r="887" spans="2:9" ht="15.75" customHeight="1">
      <c r="B887" s="87"/>
      <c r="H887" s="87"/>
      <c r="I887" s="88"/>
    </row>
    <row r="888" spans="2:9" ht="15.75" customHeight="1">
      <c r="B888" s="87"/>
      <c r="H888" s="87"/>
      <c r="I888" s="88"/>
    </row>
    <row r="889" spans="2:9" ht="15.75" customHeight="1">
      <c r="B889" s="87"/>
      <c r="H889" s="87"/>
      <c r="I889" s="88"/>
    </row>
    <row r="890" spans="2:9" ht="15.75" customHeight="1">
      <c r="B890" s="87"/>
      <c r="H890" s="87"/>
      <c r="I890" s="88"/>
    </row>
    <row r="891" spans="2:9" ht="15.75" customHeight="1">
      <c r="B891" s="87"/>
      <c r="H891" s="87"/>
      <c r="I891" s="88"/>
    </row>
    <row r="892" spans="2:9" ht="15.75" customHeight="1">
      <c r="B892" s="87"/>
      <c r="H892" s="87"/>
      <c r="I892" s="88"/>
    </row>
    <row r="893" spans="2:9" ht="15.75" customHeight="1">
      <c r="B893" s="87"/>
      <c r="H893" s="87"/>
      <c r="I893" s="88"/>
    </row>
    <row r="894" spans="2:9" ht="15.75" customHeight="1">
      <c r="B894" s="87"/>
      <c r="H894" s="87"/>
      <c r="I894" s="88"/>
    </row>
    <row r="895" spans="2:9" ht="15.75" customHeight="1">
      <c r="B895" s="87"/>
      <c r="H895" s="87"/>
      <c r="I895" s="88"/>
    </row>
    <row r="896" spans="2:9" ht="15.75" customHeight="1">
      <c r="B896" s="87"/>
      <c r="H896" s="87"/>
      <c r="I896" s="88"/>
    </row>
    <row r="897" spans="2:9" ht="15.75" customHeight="1">
      <c r="B897" s="87"/>
      <c r="H897" s="87"/>
      <c r="I897" s="88"/>
    </row>
    <row r="898" spans="2:9" ht="15.75" customHeight="1">
      <c r="B898" s="87"/>
      <c r="H898" s="87"/>
      <c r="I898" s="88"/>
    </row>
    <row r="899" spans="2:9" ht="15.75" customHeight="1">
      <c r="B899" s="87"/>
      <c r="H899" s="87"/>
      <c r="I899" s="88"/>
    </row>
    <row r="900" spans="2:9" ht="15.75" customHeight="1">
      <c r="B900" s="87"/>
      <c r="H900" s="87"/>
      <c r="I900" s="88"/>
    </row>
    <row r="901" spans="2:9" ht="15.75" customHeight="1">
      <c r="B901" s="87"/>
      <c r="H901" s="87"/>
      <c r="I901" s="88"/>
    </row>
    <row r="902" spans="2:9" ht="15.75" customHeight="1">
      <c r="B902" s="87"/>
      <c r="H902" s="87"/>
      <c r="I902" s="88"/>
    </row>
    <row r="903" spans="2:9" ht="15.75" customHeight="1">
      <c r="B903" s="87"/>
      <c r="H903" s="87"/>
      <c r="I903" s="88"/>
    </row>
    <row r="904" spans="2:9" ht="15.75" customHeight="1">
      <c r="B904" s="87"/>
      <c r="H904" s="87"/>
      <c r="I904" s="88"/>
    </row>
    <row r="905" spans="2:9" ht="15.75" customHeight="1">
      <c r="B905" s="87"/>
      <c r="H905" s="87"/>
      <c r="I905" s="88"/>
    </row>
    <row r="906" spans="2:9" ht="15.75" customHeight="1">
      <c r="B906" s="87"/>
      <c r="H906" s="87"/>
      <c r="I906" s="88"/>
    </row>
    <row r="907" spans="2:9" ht="15.75" customHeight="1">
      <c r="B907" s="87"/>
      <c r="H907" s="87"/>
      <c r="I907" s="88"/>
    </row>
    <row r="908" spans="2:9" ht="15.75" customHeight="1">
      <c r="B908" s="87"/>
      <c r="H908" s="87"/>
      <c r="I908" s="88"/>
    </row>
    <row r="909" spans="2:9" ht="15.75" customHeight="1">
      <c r="B909" s="87"/>
      <c r="H909" s="87"/>
      <c r="I909" s="88"/>
    </row>
    <row r="910" spans="2:9" ht="15.75" customHeight="1">
      <c r="B910" s="87"/>
      <c r="H910" s="87"/>
      <c r="I910" s="88"/>
    </row>
    <row r="911" spans="2:9" ht="15.75" customHeight="1">
      <c r="B911" s="87"/>
      <c r="H911" s="87"/>
      <c r="I911" s="88"/>
    </row>
    <row r="912" spans="2:9" ht="15.75" customHeight="1">
      <c r="B912" s="87"/>
      <c r="H912" s="87"/>
      <c r="I912" s="88"/>
    </row>
    <row r="913" spans="2:9" ht="15.75" customHeight="1">
      <c r="B913" s="87"/>
      <c r="H913" s="87"/>
      <c r="I913" s="88"/>
    </row>
    <row r="914" spans="2:9" ht="15.75" customHeight="1">
      <c r="B914" s="87"/>
      <c r="H914" s="87"/>
      <c r="I914" s="88"/>
    </row>
    <row r="915" spans="2:9" ht="15.75" customHeight="1">
      <c r="B915" s="87"/>
      <c r="H915" s="87"/>
      <c r="I915" s="88"/>
    </row>
    <row r="916" spans="2:9" ht="15.75" customHeight="1">
      <c r="B916" s="87"/>
      <c r="H916" s="87"/>
      <c r="I916" s="88"/>
    </row>
    <row r="917" spans="2:9" ht="15.75" customHeight="1">
      <c r="B917" s="87"/>
      <c r="H917" s="87"/>
      <c r="I917" s="88"/>
    </row>
    <row r="918" spans="2:9" ht="15.75" customHeight="1">
      <c r="B918" s="87"/>
      <c r="H918" s="87"/>
      <c r="I918" s="88"/>
    </row>
    <row r="919" spans="2:9" ht="15.75" customHeight="1">
      <c r="B919" s="87"/>
      <c r="H919" s="87"/>
      <c r="I919" s="88"/>
    </row>
    <row r="920" spans="2:9" ht="15.75" customHeight="1">
      <c r="B920" s="87"/>
      <c r="H920" s="87"/>
      <c r="I920" s="88"/>
    </row>
    <row r="921" spans="2:9" ht="15.75" customHeight="1">
      <c r="B921" s="87"/>
      <c r="H921" s="87"/>
      <c r="I921" s="88"/>
    </row>
    <row r="922" spans="2:9" ht="15.75" customHeight="1">
      <c r="B922" s="87"/>
      <c r="H922" s="87"/>
      <c r="I922" s="88"/>
    </row>
    <row r="923" spans="2:9" ht="15.75" customHeight="1">
      <c r="B923" s="87"/>
      <c r="H923" s="87"/>
      <c r="I923" s="88"/>
    </row>
    <row r="924" spans="2:9" ht="15.75" customHeight="1">
      <c r="B924" s="87"/>
      <c r="H924" s="87"/>
      <c r="I924" s="88"/>
    </row>
    <row r="925" spans="2:9" ht="15.75" customHeight="1">
      <c r="B925" s="87"/>
      <c r="H925" s="87"/>
      <c r="I925" s="88"/>
    </row>
    <row r="926" spans="2:9" ht="15.75" customHeight="1">
      <c r="B926" s="87"/>
      <c r="H926" s="87"/>
      <c r="I926" s="88"/>
    </row>
    <row r="927" spans="2:9" ht="15.75" customHeight="1">
      <c r="B927" s="87"/>
      <c r="H927" s="87"/>
      <c r="I927" s="88"/>
    </row>
    <row r="928" spans="2:9" ht="15.75" customHeight="1">
      <c r="B928" s="87"/>
      <c r="H928" s="87"/>
      <c r="I928" s="88"/>
    </row>
    <row r="929" spans="2:9" ht="15.75" customHeight="1">
      <c r="B929" s="87"/>
      <c r="H929" s="87"/>
      <c r="I929" s="88"/>
    </row>
    <row r="930" spans="2:9" ht="15.75" customHeight="1">
      <c r="B930" s="87"/>
      <c r="H930" s="87"/>
      <c r="I930" s="88"/>
    </row>
    <row r="931" spans="2:9" ht="15.75" customHeight="1">
      <c r="B931" s="87"/>
      <c r="H931" s="87"/>
      <c r="I931" s="88"/>
    </row>
    <row r="932" spans="2:9" ht="15.75" customHeight="1">
      <c r="B932" s="87"/>
      <c r="H932" s="87"/>
      <c r="I932" s="88"/>
    </row>
    <row r="933" spans="2:9" ht="15.75" customHeight="1">
      <c r="B933" s="87"/>
      <c r="H933" s="87"/>
      <c r="I933" s="88"/>
    </row>
    <row r="934" spans="2:9" ht="15.75" customHeight="1">
      <c r="B934" s="87"/>
      <c r="H934" s="87"/>
      <c r="I934" s="88"/>
    </row>
    <row r="935" spans="2:9" ht="15.75" customHeight="1">
      <c r="B935" s="87"/>
      <c r="H935" s="87"/>
      <c r="I935" s="88"/>
    </row>
    <row r="936" spans="2:9" ht="15.75" customHeight="1">
      <c r="B936" s="87"/>
      <c r="H936" s="87"/>
      <c r="I936" s="88"/>
    </row>
    <row r="937" spans="2:9" ht="15.75" customHeight="1">
      <c r="B937" s="87"/>
      <c r="H937" s="87"/>
      <c r="I937" s="88"/>
    </row>
    <row r="938" spans="2:9" ht="15.75" customHeight="1">
      <c r="B938" s="87"/>
      <c r="H938" s="87"/>
      <c r="I938" s="88"/>
    </row>
    <row r="939" spans="2:9" ht="15.75" customHeight="1">
      <c r="B939" s="87"/>
      <c r="H939" s="87"/>
      <c r="I939" s="88"/>
    </row>
    <row r="940" spans="2:9" ht="15.75" customHeight="1">
      <c r="B940" s="87"/>
      <c r="H940" s="87"/>
      <c r="I940" s="88"/>
    </row>
    <row r="941" spans="2:9" ht="15.75" customHeight="1">
      <c r="B941" s="87"/>
      <c r="H941" s="87"/>
      <c r="I941" s="88"/>
    </row>
    <row r="942" spans="2:9" ht="15.75" customHeight="1">
      <c r="B942" s="87"/>
      <c r="H942" s="87"/>
      <c r="I942" s="88"/>
    </row>
    <row r="943" spans="2:9" ht="15.75" customHeight="1">
      <c r="B943" s="87"/>
      <c r="H943" s="87"/>
      <c r="I943" s="88"/>
    </row>
    <row r="944" spans="2:9" ht="15.75" customHeight="1">
      <c r="B944" s="87"/>
      <c r="H944" s="87"/>
      <c r="I944" s="88"/>
    </row>
    <row r="945" spans="2:9" ht="15.75" customHeight="1">
      <c r="B945" s="87"/>
      <c r="H945" s="87"/>
      <c r="I945" s="88"/>
    </row>
    <row r="946" spans="2:9" ht="15.75" customHeight="1">
      <c r="B946" s="87"/>
      <c r="H946" s="87"/>
      <c r="I946" s="88"/>
    </row>
    <row r="947" spans="2:9" ht="15.75" customHeight="1">
      <c r="B947" s="87"/>
      <c r="H947" s="87"/>
      <c r="I947" s="88"/>
    </row>
    <row r="948" spans="2:9" ht="15.75" customHeight="1">
      <c r="B948" s="87"/>
      <c r="H948" s="87"/>
      <c r="I948" s="88"/>
    </row>
    <row r="949" spans="2:9" ht="15.75" customHeight="1">
      <c r="B949" s="87"/>
      <c r="H949" s="87"/>
      <c r="I949" s="88"/>
    </row>
    <row r="950" spans="2:9" ht="15.75" customHeight="1">
      <c r="B950" s="87"/>
      <c r="H950" s="87"/>
      <c r="I950" s="88"/>
    </row>
    <row r="951" spans="2:9" ht="15.75" customHeight="1">
      <c r="B951" s="87"/>
      <c r="H951" s="87"/>
      <c r="I951" s="88"/>
    </row>
    <row r="952" spans="2:9" ht="15.75" customHeight="1">
      <c r="B952" s="87"/>
      <c r="H952" s="87"/>
      <c r="I952" s="88"/>
    </row>
    <row r="953" spans="2:9" ht="15.75" customHeight="1">
      <c r="B953" s="87"/>
      <c r="H953" s="87"/>
      <c r="I953" s="88"/>
    </row>
    <row r="954" spans="2:9" ht="15.75" customHeight="1">
      <c r="B954" s="87"/>
      <c r="H954" s="87"/>
      <c r="I954" s="88"/>
    </row>
    <row r="955" spans="2:9" ht="15.75" customHeight="1">
      <c r="B955" s="87"/>
      <c r="H955" s="87"/>
      <c r="I955" s="88"/>
    </row>
    <row r="956" spans="2:9" ht="15.75" customHeight="1">
      <c r="B956" s="87"/>
      <c r="H956" s="87"/>
      <c r="I956" s="88"/>
    </row>
    <row r="957" spans="2:9" ht="15.75" customHeight="1">
      <c r="B957" s="87"/>
      <c r="H957" s="87"/>
      <c r="I957" s="88"/>
    </row>
    <row r="958" spans="2:9" ht="15.75" customHeight="1">
      <c r="B958" s="87"/>
      <c r="H958" s="87"/>
      <c r="I958" s="88"/>
    </row>
    <row r="959" spans="2:9" ht="15.75" customHeight="1">
      <c r="B959" s="87"/>
      <c r="H959" s="87"/>
      <c r="I959" s="88"/>
    </row>
    <row r="960" spans="2:9" ht="15.75" customHeight="1">
      <c r="B960" s="87"/>
      <c r="H960" s="87"/>
      <c r="I960" s="88"/>
    </row>
    <row r="961" spans="2:9" ht="15.75" customHeight="1">
      <c r="B961" s="87"/>
      <c r="H961" s="87"/>
      <c r="I961" s="88"/>
    </row>
    <row r="962" spans="2:9" ht="15.75" customHeight="1">
      <c r="B962" s="87"/>
      <c r="H962" s="87"/>
      <c r="I962" s="88"/>
    </row>
    <row r="963" spans="2:9" ht="15.75" customHeight="1">
      <c r="B963" s="87"/>
      <c r="H963" s="87"/>
      <c r="I963" s="88"/>
    </row>
    <row r="964" spans="2:9" ht="15.75" customHeight="1">
      <c r="B964" s="87"/>
      <c r="H964" s="87"/>
      <c r="I964" s="88"/>
    </row>
    <row r="965" spans="2:9" ht="15.75" customHeight="1">
      <c r="B965" s="87"/>
      <c r="H965" s="87"/>
      <c r="I965" s="88"/>
    </row>
    <row r="966" spans="2:9" ht="15.75" customHeight="1">
      <c r="B966" s="87"/>
      <c r="H966" s="87"/>
      <c r="I966" s="88"/>
    </row>
    <row r="967" spans="2:9" ht="15.75" customHeight="1">
      <c r="B967" s="87"/>
      <c r="H967" s="87"/>
      <c r="I967" s="88"/>
    </row>
    <row r="968" spans="2:9" ht="15.75" customHeight="1">
      <c r="B968" s="87"/>
      <c r="H968" s="87"/>
      <c r="I968" s="88"/>
    </row>
    <row r="969" spans="2:9" ht="15.75" customHeight="1">
      <c r="B969" s="87"/>
      <c r="H969" s="87"/>
      <c r="I969" s="88"/>
    </row>
    <row r="970" spans="2:9" ht="15.75" customHeight="1">
      <c r="B970" s="87"/>
      <c r="H970" s="87"/>
      <c r="I970" s="88"/>
    </row>
    <row r="971" spans="2:9" ht="15.75" customHeight="1">
      <c r="B971" s="87"/>
      <c r="H971" s="87"/>
      <c r="I971" s="88"/>
    </row>
    <row r="972" spans="2:9" ht="15.75" customHeight="1">
      <c r="B972" s="87"/>
      <c r="H972" s="87"/>
      <c r="I972" s="88"/>
    </row>
    <row r="973" spans="2:9" ht="15.75" customHeight="1">
      <c r="B973" s="87"/>
      <c r="H973" s="87"/>
      <c r="I973" s="88"/>
    </row>
    <row r="974" spans="2:9" ht="15.75" customHeight="1">
      <c r="B974" s="87"/>
      <c r="H974" s="87"/>
      <c r="I974" s="88"/>
    </row>
    <row r="975" spans="2:9" ht="15.75" customHeight="1">
      <c r="B975" s="87"/>
      <c r="H975" s="87"/>
      <c r="I975" s="88"/>
    </row>
    <row r="976" spans="2:9" ht="15.75" customHeight="1">
      <c r="B976" s="87"/>
      <c r="H976" s="87"/>
      <c r="I976" s="88"/>
    </row>
    <row r="977" spans="2:9" ht="15.75" customHeight="1">
      <c r="B977" s="87"/>
      <c r="H977" s="87"/>
      <c r="I977" s="88"/>
    </row>
    <row r="978" spans="2:9" ht="15.75" customHeight="1">
      <c r="B978" s="87"/>
      <c r="H978" s="87"/>
      <c r="I978" s="88"/>
    </row>
    <row r="979" spans="2:9" ht="15.75" customHeight="1">
      <c r="B979" s="87"/>
      <c r="H979" s="87"/>
      <c r="I979" s="88"/>
    </row>
    <row r="980" spans="2:9" ht="15.75" customHeight="1">
      <c r="B980" s="87"/>
      <c r="H980" s="87"/>
      <c r="I980" s="88"/>
    </row>
    <row r="981" spans="2:9" ht="15.75" customHeight="1">
      <c r="B981" s="87"/>
      <c r="H981" s="87"/>
      <c r="I981" s="88"/>
    </row>
    <row r="982" spans="2:9" ht="15.75" customHeight="1">
      <c r="B982" s="87"/>
      <c r="H982" s="87"/>
      <c r="I982" s="88"/>
    </row>
    <row r="983" spans="2:9" ht="15.75" customHeight="1">
      <c r="B983" s="87"/>
      <c r="H983" s="87"/>
      <c r="I983" s="88"/>
    </row>
    <row r="984" spans="2:9" ht="15.75" customHeight="1">
      <c r="B984" s="87"/>
      <c r="H984" s="87"/>
      <c r="I984" s="88"/>
    </row>
    <row r="985" spans="2:9" ht="15.75" customHeight="1">
      <c r="B985" s="87"/>
      <c r="H985" s="87"/>
      <c r="I985" s="88"/>
    </row>
    <row r="986" spans="2:9" ht="15.75" customHeight="1">
      <c r="B986" s="87"/>
      <c r="H986" s="87"/>
      <c r="I986" s="88"/>
    </row>
  </sheetData>
  <sheetProtection selectLockedCells="1" selectUnlockedCells="1"/>
  <dataValidations disablePrompts="1" count="1">
    <dataValidation type="custom" allowBlank="1" showInputMessage="1" showErrorMessage="1" prompt="ITEM JÁ EXISTE - O item que você tentou adicionar já foi adicionado anteriormente." sqref="C153 C182 C275 D411">
      <formula1>COUNTIF(INDIRECT("PRODUTO[Item]"),$B153)&lt;2</formula1>
    </dataValidation>
  </dataValidations>
  <hyperlinks>
    <hyperlink ref="M1" location="'Instruções'!A1" display="Dúvidas?"/>
  </hyperlinks>
  <pageMargins left="0.511811024" right="0.511811024" top="0.78740157499999996" bottom="0.78740157499999996" header="0" footer="0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dimension ref="A1:Z1094"/>
  <sheetViews>
    <sheetView showGridLines="0" topLeftCell="A163" workbookViewId="0">
      <selection activeCell="B179" sqref="B179"/>
    </sheetView>
  </sheetViews>
  <sheetFormatPr defaultColWidth="14.42578125" defaultRowHeight="15" customHeight="1"/>
  <cols>
    <col min="1" max="1" width="14.42578125" customWidth="1"/>
    <col min="2" max="2" width="30.7109375" bestFit="1" customWidth="1"/>
    <col min="3" max="3" width="21.5703125" customWidth="1"/>
    <col min="4" max="6" width="18.28515625" customWidth="1"/>
    <col min="7" max="7" width="21.42578125" customWidth="1"/>
    <col min="8" max="8" width="22" customWidth="1"/>
    <col min="9" max="9" width="15.85546875" customWidth="1"/>
    <col min="10" max="10" width="19.28515625" customWidth="1"/>
    <col min="11" max="26" width="8.7109375" customWidth="1"/>
  </cols>
  <sheetData>
    <row r="1" spans="1:26" ht="48.75" customHeight="1">
      <c r="A1" s="21"/>
      <c r="B1" s="22" t="s">
        <v>54</v>
      </c>
      <c r="D1" s="2"/>
      <c r="E1" s="2"/>
      <c r="F1" s="2"/>
      <c r="G1" s="2"/>
      <c r="H1" s="2"/>
      <c r="I1" s="2"/>
      <c r="J1" s="20"/>
      <c r="K1" s="2"/>
      <c r="L1" s="89" t="s">
        <v>23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3.75" customHeight="1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4" spans="1:26" ht="15" customHeight="1">
      <c r="B4" s="197" t="s">
        <v>55</v>
      </c>
      <c r="C4" s="195"/>
      <c r="D4" s="195"/>
      <c r="E4" s="195"/>
      <c r="F4" s="32" t="str">
        <f>IF(COUNTA('CONT. ESTOQUE'!#REF!)=COUNTA(PROD!$B$7:$B$19),"Sim!","Não! Tabela de Controle de Estoque defasada, acrescentar produto faltante.")</f>
        <v>Não! Tabela de Controle de Estoque defasada, acrescentar produto faltante.</v>
      </c>
    </row>
    <row r="5" spans="1:26" ht="15" customHeight="1">
      <c r="B5" s="30"/>
      <c r="C5" s="31"/>
      <c r="D5" s="31"/>
      <c r="E5" s="31"/>
      <c r="F5" s="31"/>
      <c r="G5" s="31"/>
    </row>
    <row r="6" spans="1:26" ht="35.25" customHeight="1" thickBot="1">
      <c r="B6" s="90" t="s">
        <v>24</v>
      </c>
      <c r="C6" s="90" t="s">
        <v>16</v>
      </c>
      <c r="D6" s="90" t="s">
        <v>18</v>
      </c>
      <c r="E6" s="90" t="s">
        <v>56</v>
      </c>
      <c r="F6" s="90" t="s">
        <v>30</v>
      </c>
      <c r="G6" s="90" t="s">
        <v>57</v>
      </c>
      <c r="H6" s="90" t="s">
        <v>58</v>
      </c>
      <c r="I6" s="90" t="s">
        <v>59</v>
      </c>
      <c r="J6" s="90" t="s">
        <v>60</v>
      </c>
    </row>
    <row r="7" spans="1:26" s="114" customFormat="1" ht="15.75" customHeight="1">
      <c r="B7" s="120" t="str">
        <f>PROD!B7</f>
        <v>VT100</v>
      </c>
      <c r="C7" s="92">
        <f>IF('CONT. ESTOQUE'!$B7&lt;&gt;"",SUMIF(ENTRADAS!$C$7:$C$1002,'CONT. ESTOQUE'!$B7,ENTRADAS!$E$7:$E$1002),"")</f>
        <v>0</v>
      </c>
      <c r="D7" s="92">
        <f>IF('CONT. ESTOQUE'!$B7&lt;&gt;"",SUMIF(SAÍDAS!$C$7:$C$800,'CONT. ESTOQUE'!$B7,SAÍDAS!$J$7:$J$800),"")</f>
        <v>0</v>
      </c>
      <c r="E7" s="92">
        <f>IFERROR('CONT. ESTOQUE'!$C7-'CONT. ESTOQUE'!$D7,"")</f>
        <v>0</v>
      </c>
      <c r="F7" s="92">
        <f>IFERROR(VLOOKUP('CONT. ESTOQUE'!$B7,PROD!$B$6:$G$1095,4,0),"")</f>
        <v>0</v>
      </c>
      <c r="G7" s="92" t="str">
        <f>IF('CONT. ESTOQUE'!$B7&lt;&gt;"",IF('CONT. ESTOQUE'!$E7=0,"Sem Estoque",IF('CONT. ESTOQUE'!$E7&lt;'CONT. ESTOQUE'!$F7,"Estoque Perigoso","Estoque Confortável")),"")</f>
        <v>Sem Estoque</v>
      </c>
      <c r="H7" s="93">
        <f>SUMIF(SAÍDAS!$C$7:$C$289,'CONT. ESTOQUE'!$B7,SAÍDAS!$L$7:$L$289)</f>
        <v>0</v>
      </c>
      <c r="I7" s="93">
        <f>SUMIF(ENTRADAS!$C$8:$C$1002,'CONT. ESTOQUE'!$B7,ENTRADAS!$H$7:$H$1002)</f>
        <v>0</v>
      </c>
      <c r="J7" s="94">
        <f>'CONT. ESTOQUE'!$H7-'CONT. ESTOQUE'!$I7</f>
        <v>0</v>
      </c>
    </row>
    <row r="8" spans="1:26" s="114" customFormat="1" ht="15.75" customHeight="1">
      <c r="B8" s="91" t="str">
        <f>PROD!B8</f>
        <v>VT-266</v>
      </c>
      <c r="C8" s="92">
        <v>40</v>
      </c>
      <c r="D8" s="92">
        <f>IF('CONT. ESTOQUE'!$B8&lt;&gt;"",SUMIF(SAÍDAS!$C$7:$C$800,'CONT. ESTOQUE'!$B8,SAÍDAS!$J$7:$J$800),"")</f>
        <v>12</v>
      </c>
      <c r="E8" s="92">
        <f>IFERROR('CONT. ESTOQUE'!$C8-'CONT. ESTOQUE'!$D8,"")</f>
        <v>28</v>
      </c>
      <c r="F8" s="92">
        <f>IFERROR(VLOOKUP('CONT. ESTOQUE'!$B8,PROD!$B$6:$G$1095,4,0),"")</f>
        <v>0</v>
      </c>
      <c r="G8" s="92" t="str">
        <f>IF('CONT. ESTOQUE'!$B8&lt;&gt;"",IF('CONT. ESTOQUE'!$E8=0,"Sem Estoque",IF('CONT. ESTOQUE'!$E8&lt;'CONT. ESTOQUE'!$F8,"Estoque Perigoso","Estoque Confortável")),"")</f>
        <v>Estoque Confortável</v>
      </c>
      <c r="H8" s="93">
        <f>SUMIF(SAÍDAS!$C$7:$C$289,'CONT. ESTOQUE'!$B8,SAÍDAS!$L$7:$L$289)</f>
        <v>0</v>
      </c>
      <c r="I8" s="93">
        <f>SUMIF(ENTRADAS!$C$8:$C$1002,'CONT. ESTOQUE'!$B8,ENTRADAS!$H$7:$H$1002)</f>
        <v>0</v>
      </c>
      <c r="J8" s="94">
        <f>'CONT. ESTOQUE'!$H8-'CONT. ESTOQUE'!$I8</f>
        <v>0</v>
      </c>
    </row>
    <row r="9" spans="1:26" s="114" customFormat="1" ht="15.75" customHeight="1">
      <c r="B9" s="91" t="str">
        <f>PROD!B9</f>
        <v>VT-258</v>
      </c>
      <c r="C9" s="92">
        <v>13</v>
      </c>
      <c r="D9" s="92">
        <f>IF('CONT. ESTOQUE'!$B9&lt;&gt;"",SUMIF(SAÍDAS!$C$7:$C$800,'CONT. ESTOQUE'!$B9,SAÍDAS!$J$7:$J$800),"")</f>
        <v>6</v>
      </c>
      <c r="E9" s="92">
        <f>IFERROR('CONT. ESTOQUE'!$C9-'CONT. ESTOQUE'!$D9,"")</f>
        <v>7</v>
      </c>
      <c r="F9" s="92">
        <f>IFERROR(VLOOKUP('CONT. ESTOQUE'!$B9,PROD!$B$6:$G$1095,4,0),"")</f>
        <v>0</v>
      </c>
      <c r="G9" s="92" t="str">
        <f>IF('CONT. ESTOQUE'!$B9&lt;&gt;"",IF('CONT. ESTOQUE'!$E9=0,"Sem Estoque",IF('CONT. ESTOQUE'!$E9&lt;'CONT. ESTOQUE'!$F9,"Estoque Perigoso","Estoque Confortável")),"")</f>
        <v>Estoque Confortável</v>
      </c>
      <c r="H9" s="93">
        <f>SUMIF(SAÍDAS!$C$7:$C$289,'CONT. ESTOQUE'!$B9,SAÍDAS!$L$7:$L$289)</f>
        <v>0</v>
      </c>
      <c r="I9" s="93">
        <f>SUMIF(ENTRADAS!$C$8:$C$1002,'CONT. ESTOQUE'!$B9,ENTRADAS!$H$7:$H$1002)</f>
        <v>0</v>
      </c>
      <c r="J9" s="94">
        <f>'CONT. ESTOQUE'!$H9-'CONT. ESTOQUE'!$I9</f>
        <v>0</v>
      </c>
    </row>
    <row r="10" spans="1:26" s="114" customFormat="1" ht="15.75" customHeight="1">
      <c r="B10" s="91" t="str">
        <f>PROD!B10</f>
        <v>VT-250</v>
      </c>
      <c r="C10" s="92">
        <f>IF('CONT. ESTOQUE'!$B10&lt;&gt;"",SUMIF(ENTRADAS!$C$7:$C$1002,'CONT. ESTOQUE'!$B10,ENTRADAS!$E$7:$E$1002),"")</f>
        <v>26</v>
      </c>
      <c r="D10" s="92">
        <f>IF('CONT. ESTOQUE'!$B10&lt;&gt;"",SUMIF(SAÍDAS!$C$7:$C$800,'CONT. ESTOQUE'!$B10,SAÍDAS!$J$7:$J$800),"")</f>
        <v>9</v>
      </c>
      <c r="E10" s="92">
        <f>IFERROR('CONT. ESTOQUE'!$C10-'CONT. ESTOQUE'!$D10,"")</f>
        <v>17</v>
      </c>
      <c r="F10" s="92">
        <f>IFERROR(VLOOKUP('CONT. ESTOQUE'!$B10,PROD!$B$6:$G$1095,4,0),"")</f>
        <v>0</v>
      </c>
      <c r="G10" s="92" t="str">
        <f>IF('CONT. ESTOQUE'!$B10&lt;&gt;"",IF('CONT. ESTOQUE'!$E10=0,"Sem Estoque",IF('CONT. ESTOQUE'!$E10&lt;'CONT. ESTOQUE'!$F10,"Estoque Perigoso","Estoque Confortável")),"")</f>
        <v>Estoque Confortável</v>
      </c>
      <c r="H10" s="93">
        <f>SUMIF(SAÍDAS!$C$7:$C$289,'CONT. ESTOQUE'!$B10,SAÍDAS!$L$7:$L$289)</f>
        <v>0</v>
      </c>
      <c r="I10" s="93">
        <f>SUMIF(ENTRADAS!$C$8:$C$1002,'CONT. ESTOQUE'!$B10,ENTRADAS!$H$7:$H$1002)</f>
        <v>0</v>
      </c>
      <c r="J10" s="94">
        <f>'CONT. ESTOQUE'!$H10-'CONT. ESTOQUE'!$I10</f>
        <v>0</v>
      </c>
    </row>
    <row r="11" spans="1:26" s="114" customFormat="1" ht="15.75" customHeight="1">
      <c r="B11" s="91" t="str">
        <f>PROD!B11</f>
        <v>VT-242</v>
      </c>
      <c r="C11" s="92">
        <v>9</v>
      </c>
      <c r="D11" s="92">
        <f>IF('CONT. ESTOQUE'!$B11&lt;&gt;"",SUMIF(SAÍDAS!$C$7:$C$800,'CONT. ESTOQUE'!$B11,SAÍDAS!$J$7:$J$800),"")</f>
        <v>2</v>
      </c>
      <c r="E11" s="92">
        <f>IFERROR('CONT. ESTOQUE'!$C11-'CONT. ESTOQUE'!$D11,"")</f>
        <v>7</v>
      </c>
      <c r="F11" s="92">
        <f>IFERROR(VLOOKUP('CONT. ESTOQUE'!$B11,PROD!$B$6:$G$1095,4,0),"")</f>
        <v>0</v>
      </c>
      <c r="G11" s="92" t="str">
        <f>IF('CONT. ESTOQUE'!$B11&lt;&gt;"",IF('CONT. ESTOQUE'!$E11=0,"Sem Estoque",IF('CONT. ESTOQUE'!$E11&lt;'CONT. ESTOQUE'!$F11,"Estoque Perigoso","Estoque Confortável")),"")</f>
        <v>Estoque Confortável</v>
      </c>
      <c r="H11" s="93">
        <f>SUMIF(SAÍDAS!$C$7:$C$289,'CONT. ESTOQUE'!$B11,SAÍDAS!$L$7:$L$289)</f>
        <v>0</v>
      </c>
      <c r="I11" s="93">
        <f>SUMIF(ENTRADAS!$C$8:$C$1002,'CONT. ESTOQUE'!$B11,ENTRADAS!$H$7:$H$1002)</f>
        <v>0</v>
      </c>
      <c r="J11" s="94">
        <f>'CONT. ESTOQUE'!$H11-'CONT. ESTOQUE'!$I11</f>
        <v>0</v>
      </c>
    </row>
    <row r="12" spans="1:26" s="114" customFormat="1" ht="15.75" customHeight="1">
      <c r="B12" s="91" t="str">
        <f>PROD!B12</f>
        <v>VT-234</v>
      </c>
      <c r="C12" s="92">
        <v>5</v>
      </c>
      <c r="D12" s="92">
        <f>IF('CONT. ESTOQUE'!$B12&lt;&gt;"",SUMIF(SAÍDAS!$C$7:$C$800,'CONT. ESTOQUE'!$B12,SAÍDAS!$J$7:$J$800),"")</f>
        <v>1</v>
      </c>
      <c r="E12" s="92">
        <f>IFERROR('CONT. ESTOQUE'!$C12-'CONT. ESTOQUE'!$D12,"")</f>
        <v>4</v>
      </c>
      <c r="F12" s="92">
        <f>IFERROR(VLOOKUP('CONT. ESTOQUE'!$B12,PROD!$B$6:$G$1095,4,0),"")</f>
        <v>0</v>
      </c>
      <c r="G12" s="92" t="str">
        <f>IF('CONT. ESTOQUE'!$B12&lt;&gt;"",IF('CONT. ESTOQUE'!$E12=0,"Sem Estoque",IF('CONT. ESTOQUE'!$E12&lt;'CONT. ESTOQUE'!$F12,"Estoque Perigoso","Estoque Confortável")),"")</f>
        <v>Estoque Confortável</v>
      </c>
      <c r="H12" s="93">
        <f>SUMIF(SAÍDAS!$C$7:$C$289,'CONT. ESTOQUE'!$B12,SAÍDAS!$L$7:$L$289)</f>
        <v>0</v>
      </c>
      <c r="I12" s="93">
        <f>SUMIF(ENTRADAS!$C$8:$C$1002,'CONT. ESTOQUE'!$B12,ENTRADAS!$H$7:$H$1002)</f>
        <v>0</v>
      </c>
      <c r="J12" s="94">
        <f>'CONT. ESTOQUE'!$H12-'CONT. ESTOQUE'!$I12</f>
        <v>0</v>
      </c>
    </row>
    <row r="13" spans="1:26" s="114" customFormat="1" ht="15.75" customHeight="1">
      <c r="B13" s="91" t="str">
        <f>PROD!B13</f>
        <v>VT-226</v>
      </c>
      <c r="C13" s="92">
        <f>IF('CONT. ESTOQUE'!$B13&lt;&gt;"",SUMIF(ENTRADAS!$C$7:$C$1002,'CONT. ESTOQUE'!$B13,ENTRADAS!$E$7:$E$1002),"")</f>
        <v>0</v>
      </c>
      <c r="D13" s="92">
        <f>IF('CONT. ESTOQUE'!$B13&lt;&gt;"",SUMIF(SAÍDAS!$C$7:$C$800,'CONT. ESTOQUE'!$B13,SAÍDAS!$J$7:$J$800),"")</f>
        <v>1</v>
      </c>
      <c r="E13" s="92">
        <f>IFERROR('CONT. ESTOQUE'!$C13-'CONT. ESTOQUE'!$D13,"")</f>
        <v>-1</v>
      </c>
      <c r="F13" s="92">
        <f>IFERROR(VLOOKUP('CONT. ESTOQUE'!$B13,PROD!$B$6:$G$1095,4,0),"")</f>
        <v>0</v>
      </c>
      <c r="G13" s="92" t="str">
        <f>IF('CONT. ESTOQUE'!$B13&lt;&gt;"",IF('CONT. ESTOQUE'!$E13=0,"Sem Estoque",IF('CONT. ESTOQUE'!$E13&lt;'CONT. ESTOQUE'!$F13,"Estoque Perigoso","Estoque Confortável")),"")</f>
        <v>Estoque Perigoso</v>
      </c>
      <c r="H13" s="93">
        <f>SUMIF(SAÍDAS!$C$7:$C$289,'CONT. ESTOQUE'!$B13,SAÍDAS!$L$7:$L$289)</f>
        <v>0</v>
      </c>
      <c r="I13" s="93">
        <f>SUMIF(ENTRADAS!$C$8:$C$1002,'CONT. ESTOQUE'!$B13,ENTRADAS!$H$7:$H$1002)</f>
        <v>0</v>
      </c>
      <c r="J13" s="94">
        <f>'CONT. ESTOQUE'!$H13-'CONT. ESTOQUE'!$I13</f>
        <v>0</v>
      </c>
    </row>
    <row r="14" spans="1:26" s="114" customFormat="1" ht="15.75" customHeight="1">
      <c r="B14" s="91" t="str">
        <f>PROD!B14</f>
        <v>VT-218</v>
      </c>
      <c r="C14" s="92">
        <f>IF('CONT. ESTOQUE'!$B14&lt;&gt;"",SUMIF(ENTRADAS!$C$7:$C$1002,'CONT. ESTOQUE'!$B14,ENTRADAS!$E$7:$E$1002),"")</f>
        <v>0</v>
      </c>
      <c r="D14" s="92">
        <f>IF('CONT. ESTOQUE'!$B14&lt;&gt;"",SUMIF(SAÍDAS!$C$7:$C$800,'CONT. ESTOQUE'!$B14,SAÍDAS!$J$7:$J$800),"")</f>
        <v>0</v>
      </c>
      <c r="E14" s="92">
        <f>IFERROR('CONT. ESTOQUE'!$C14-'CONT. ESTOQUE'!$D14,"")</f>
        <v>0</v>
      </c>
      <c r="F14" s="92">
        <f>IFERROR(VLOOKUP('CONT. ESTOQUE'!$B14,PROD!$B$6:$G$1095,4,0),"")</f>
        <v>0</v>
      </c>
      <c r="G14" s="92" t="str">
        <f>IF('CONT. ESTOQUE'!$B14&lt;&gt;"",IF('CONT. ESTOQUE'!$E14=0,"Sem Estoque",IF('CONT. ESTOQUE'!$E14&lt;'CONT. ESTOQUE'!$F14,"Estoque Perigoso","Estoque Confortável")),"")</f>
        <v>Sem Estoque</v>
      </c>
      <c r="H14" s="93">
        <f>SUMIF(SAÍDAS!$C$7:$C$289,'CONT. ESTOQUE'!$B14,SAÍDAS!$L$7:$L$289)</f>
        <v>0</v>
      </c>
      <c r="I14" s="93">
        <f>SUMIF(ENTRADAS!$C$8:$C$1002,'CONT. ESTOQUE'!$B14,ENTRADAS!$H$7:$H$1002)</f>
        <v>0</v>
      </c>
      <c r="J14" s="94">
        <f>'CONT. ESTOQUE'!$H14-'CONT. ESTOQUE'!$I14</f>
        <v>0</v>
      </c>
    </row>
    <row r="15" spans="1:26" s="121" customFormat="1" ht="15.75" customHeight="1">
      <c r="B15" s="120" t="str">
        <f>PROD!B15</f>
        <v>-</v>
      </c>
      <c r="C15" s="122">
        <f>IF('CONT. ESTOQUE'!$B15&lt;&gt;"",SUMIF(ENTRADAS!$C$7:$C$1002,'CONT. ESTOQUE'!$B15,ENTRADAS!$E$7:$E$1002),"")</f>
        <v>0</v>
      </c>
      <c r="D15" s="92">
        <f>IF('CONT. ESTOQUE'!$B15&lt;&gt;"",SUMIF(SAÍDAS!$C$7:$C$800,'CONT. ESTOQUE'!$B15,SAÍDAS!$J$7:$J$800),"")</f>
        <v>0</v>
      </c>
      <c r="E15" s="122">
        <f>IFERROR('CONT. ESTOQUE'!$C15-'CONT. ESTOQUE'!$D15,"")</f>
        <v>0</v>
      </c>
      <c r="F15" s="122">
        <f>IFERROR(VLOOKUP('CONT. ESTOQUE'!$B15,PROD!$B$6:$G$1095,4,0),"")</f>
        <v>0</v>
      </c>
      <c r="G15" s="122" t="str">
        <f>IF('CONT. ESTOQUE'!$B15&lt;&gt;"",IF('CONT. ESTOQUE'!$E15=0,"Sem Estoque",IF('CONT. ESTOQUE'!$E15&lt;'CONT. ESTOQUE'!$F15,"Estoque Perigoso","Estoque Confortável")),"")</f>
        <v>Sem Estoque</v>
      </c>
      <c r="H15" s="123">
        <f>SUMIF(SAÍDAS!$C$7:$C$289,'CONT. ESTOQUE'!$B15,SAÍDAS!$L$7:$L$289)</f>
        <v>0</v>
      </c>
      <c r="I15" s="123">
        <f>SUMIF(ENTRADAS!$C$8:$C$1002,'CONT. ESTOQUE'!$B15,ENTRADAS!$H$7:$H$1002)</f>
        <v>0</v>
      </c>
      <c r="J15" s="124">
        <f>'CONT. ESTOQUE'!$H15-'CONT. ESTOQUE'!$I15</f>
        <v>0</v>
      </c>
    </row>
    <row r="16" spans="1:26" s="114" customFormat="1" ht="15.75" customHeight="1">
      <c r="B16" s="120" t="str">
        <f>PROD!B16</f>
        <v>VL110LA</v>
      </c>
      <c r="C16" s="92">
        <f>IF('CONT. ESTOQUE'!$B16&lt;&gt;"",SUMIF(ENTRADAS!$C$7:$C$1002,'CONT. ESTOQUE'!$B16,ENTRADAS!$E$7:$E$1002),"")</f>
        <v>0</v>
      </c>
      <c r="D16" s="92">
        <f>IF('CONT. ESTOQUE'!$B16&lt;&gt;"",SUMIF(SAÍDAS!$C$7:$C$800,'CONT. ESTOQUE'!$B16,SAÍDAS!$J$7:$J$800),"")</f>
        <v>0</v>
      </c>
      <c r="E16" s="92">
        <f>IFERROR('CONT. ESTOQUE'!$C16-'CONT. ESTOQUE'!$D16,"")</f>
        <v>0</v>
      </c>
      <c r="F16" s="92">
        <f>IFERROR(VLOOKUP('CONT. ESTOQUE'!$B16,PROD!$B$6:$G$1095,4,0),"")</f>
        <v>0</v>
      </c>
      <c r="G16" s="92" t="str">
        <f>IF('CONT. ESTOQUE'!$B16&lt;&gt;"",IF('CONT. ESTOQUE'!$E16=0,"Sem Estoque",IF('CONT. ESTOQUE'!$E16&lt;'CONT. ESTOQUE'!$F16,"Estoque Perigoso","Estoque Confortável")),"")</f>
        <v>Sem Estoque</v>
      </c>
      <c r="H16" s="93">
        <f>SUMIF(SAÍDAS!$C$7:$C$289,'CONT. ESTOQUE'!$B16,SAÍDAS!$L$7:$L$289)</f>
        <v>0</v>
      </c>
      <c r="I16" s="93">
        <f>SUMIF(ENTRADAS!$C$8:$C$1002,'CONT. ESTOQUE'!$B16,ENTRADAS!$H$7:$H$1002)</f>
        <v>0</v>
      </c>
      <c r="J16" s="94">
        <f>'CONT. ESTOQUE'!$H16-'CONT. ESTOQUE'!$I16</f>
        <v>0</v>
      </c>
    </row>
    <row r="17" spans="2:10" s="114" customFormat="1" ht="15.75" customHeight="1">
      <c r="B17" s="91" t="str">
        <f>PROD!B17</f>
        <v>LA-300</v>
      </c>
      <c r="C17" s="92">
        <f>IF('CONT. ESTOQUE'!$B17&lt;&gt;"",SUMIF(ENTRADAS!$C$7:$C$1002,'CONT. ESTOQUE'!$B17,ENTRADAS!$E$7:$E$1002),"")</f>
        <v>2</v>
      </c>
      <c r="D17" s="92">
        <f>IF('CONT. ESTOQUE'!$B17&lt;&gt;"",SUMIF(SAÍDAS!$C$7:$C$800,'CONT. ESTOQUE'!$B17,SAÍDAS!$J$7:$J$800),"")</f>
        <v>0</v>
      </c>
      <c r="E17" s="92">
        <f>IFERROR('CONT. ESTOQUE'!$C17-'CONT. ESTOQUE'!$D17,"")</f>
        <v>2</v>
      </c>
      <c r="F17" s="92">
        <f>IFERROR(VLOOKUP('CONT. ESTOQUE'!$B17,PROD!$B$6:$G$1095,4,0),"")</f>
        <v>0</v>
      </c>
      <c r="G17" s="92" t="str">
        <f>IF('CONT. ESTOQUE'!$B17&lt;&gt;"",IF('CONT. ESTOQUE'!$E17=0,"Sem Estoque",IF('CONT. ESTOQUE'!$E17&lt;'CONT. ESTOQUE'!$F17,"Estoque Perigoso","Estoque Confortável")),"")</f>
        <v>Estoque Confortável</v>
      </c>
      <c r="H17" s="93">
        <f>SUMIF(SAÍDAS!$C$7:$C$289,'CONT. ESTOQUE'!$B17,SAÍDAS!$L$7:$L$289)</f>
        <v>0</v>
      </c>
      <c r="I17" s="93">
        <f>SUMIF(ENTRADAS!$C$8:$C$1002,'CONT. ESTOQUE'!$B17,ENTRADAS!$H$7:$H$1002)</f>
        <v>0</v>
      </c>
      <c r="J17" s="94">
        <f>'CONT. ESTOQUE'!$H17-'CONT. ESTOQUE'!$I17</f>
        <v>0</v>
      </c>
    </row>
    <row r="18" spans="2:10" s="114" customFormat="1" ht="15.75" customHeight="1">
      <c r="B18" s="91" t="str">
        <f>PROD!B18</f>
        <v>LA-258</v>
      </c>
      <c r="C18" s="92">
        <f>IF('CONT. ESTOQUE'!$B18&lt;&gt;"",SUMIF(ENTRADAS!$C$7:$C$1002,'CONT. ESTOQUE'!$B18,ENTRADAS!$E$7:$E$1002),"")</f>
        <v>6</v>
      </c>
      <c r="D18" s="92">
        <f>IF('CONT. ESTOQUE'!$B18&lt;&gt;"",SUMIF(SAÍDAS!$C$7:$C$800,'CONT. ESTOQUE'!$B18,SAÍDAS!$J$7:$J$800),"")</f>
        <v>0</v>
      </c>
      <c r="E18" s="92">
        <f>IFERROR('CONT. ESTOQUE'!$C18-'CONT. ESTOQUE'!$D18,"")</f>
        <v>6</v>
      </c>
      <c r="F18" s="92">
        <f>IFERROR(VLOOKUP('CONT. ESTOQUE'!$B18,PROD!$B$6:$G$1095,4,0),"")</f>
        <v>0</v>
      </c>
      <c r="G18" s="92" t="str">
        <f>IF('CONT. ESTOQUE'!$B18&lt;&gt;"",IF('CONT. ESTOQUE'!$E18=0,"Sem Estoque",IF('CONT. ESTOQUE'!$E18&lt;'CONT. ESTOQUE'!$F18,"Estoque Perigoso","Estoque Confortável")),"")</f>
        <v>Estoque Confortável</v>
      </c>
      <c r="H18" s="93">
        <f>SUMIF(SAÍDAS!$C$7:$C$289,'CONT. ESTOQUE'!$B18,SAÍDAS!$L$7:$L$289)</f>
        <v>0</v>
      </c>
      <c r="I18" s="93">
        <f>SUMIF(ENTRADAS!$C$8:$C$1002,'CONT. ESTOQUE'!$B18,ENTRADAS!$H$7:$H$1002)</f>
        <v>0</v>
      </c>
      <c r="J18" s="94">
        <f>'CONT. ESTOQUE'!$H18-'CONT. ESTOQUE'!$I18</f>
        <v>0</v>
      </c>
    </row>
    <row r="19" spans="2:10" s="114" customFormat="1" ht="15.75" customHeight="1">
      <c r="B19" s="91" t="str">
        <f>PROD!B19</f>
        <v>LA-250</v>
      </c>
      <c r="C19" s="92">
        <f>IF('CONT. ESTOQUE'!$B19&lt;&gt;"",SUMIF(ENTRADAS!$C$7:$C$1002,'CONT. ESTOQUE'!$B19,ENTRADAS!$E$7:$E$1002),"")</f>
        <v>13</v>
      </c>
      <c r="D19" s="92">
        <f>IF('CONT. ESTOQUE'!$B19&lt;&gt;"",SUMIF(SAÍDAS!$C$7:$C$800,'CONT. ESTOQUE'!$B19,SAÍDAS!$J$7:$J$800),"")</f>
        <v>12</v>
      </c>
      <c r="E19" s="92">
        <f>IFERROR('CONT. ESTOQUE'!$C19-'CONT. ESTOQUE'!$D19,"")</f>
        <v>1</v>
      </c>
      <c r="F19" s="92">
        <f>IFERROR(VLOOKUP('CONT. ESTOQUE'!$B19,PROD!$B$6:$G$1095,4,0),"")</f>
        <v>0</v>
      </c>
      <c r="G19" s="92" t="str">
        <f>IF('CONT. ESTOQUE'!$B19&lt;&gt;"",IF('CONT. ESTOQUE'!$E19=0,"Sem Estoque",IF('CONT. ESTOQUE'!$E19&lt;'CONT. ESTOQUE'!$F19,"Estoque Perigoso","Estoque Confortável")),"")</f>
        <v>Estoque Confortável</v>
      </c>
      <c r="H19" s="93">
        <f>SUMIF(SAÍDAS!$C$7:$C$289,'CONT. ESTOQUE'!$B19,SAÍDAS!$L$7:$L$289)</f>
        <v>0</v>
      </c>
      <c r="I19" s="93">
        <f>SUMIF(ENTRADAS!$C$8:$C$1002,'CONT. ESTOQUE'!$B19,ENTRADAS!$H$7:$H$1002)</f>
        <v>0</v>
      </c>
      <c r="J19" s="94">
        <f>'CONT. ESTOQUE'!$H19-'CONT. ESTOQUE'!$I19</f>
        <v>0</v>
      </c>
    </row>
    <row r="20" spans="2:10" s="114" customFormat="1" ht="15.75" customHeight="1">
      <c r="B20" s="91" t="str">
        <f>PROD!B20</f>
        <v>LA-242</v>
      </c>
      <c r="C20" s="92">
        <f>IF('CONT. ESTOQUE'!$B20&lt;&gt;"",SUMIF(ENTRADAS!$C$7:$C$1002,'CONT. ESTOQUE'!$B20,ENTRADAS!$E$7:$E$1002),"")</f>
        <v>122</v>
      </c>
      <c r="D20" s="92">
        <f>IF('CONT. ESTOQUE'!$B20&lt;&gt;"",SUMIF(SAÍDAS!$C$7:$C$800,'CONT. ESTOQUE'!$B20,SAÍDAS!$J$7:$J$800),"")</f>
        <v>32</v>
      </c>
      <c r="E20" s="92">
        <f>IFERROR('CONT. ESTOQUE'!$C20-'CONT. ESTOQUE'!$D20,"")</f>
        <v>90</v>
      </c>
      <c r="F20" s="92">
        <f>IFERROR(VLOOKUP('CONT. ESTOQUE'!$B20,PROD!$B$6:$G$1095,4,0),"")</f>
        <v>0</v>
      </c>
      <c r="G20" s="92" t="str">
        <f>IF('CONT. ESTOQUE'!$B20&lt;&gt;"",IF('CONT. ESTOQUE'!$E20=0,"Sem Estoque",IF('CONT. ESTOQUE'!$E20&lt;'CONT. ESTOQUE'!$F20,"Estoque Perigoso","Estoque Confortável")),"")</f>
        <v>Estoque Confortável</v>
      </c>
      <c r="H20" s="93">
        <f>SUMIF(SAÍDAS!$C$7:$C$289,'CONT. ESTOQUE'!$B20,SAÍDAS!$L$7:$L$289)</f>
        <v>0</v>
      </c>
      <c r="I20" s="93">
        <f>SUMIF(ENTRADAS!$C$8:$C$1002,'CONT. ESTOQUE'!$B20,ENTRADAS!$H$7:$H$1002)</f>
        <v>0</v>
      </c>
      <c r="J20" s="94">
        <f>'CONT. ESTOQUE'!$H20-'CONT. ESTOQUE'!$I20</f>
        <v>0</v>
      </c>
    </row>
    <row r="21" spans="2:10" s="114" customFormat="1" ht="15.75" customHeight="1">
      <c r="B21" s="91" t="str">
        <f>PROD!B21</f>
        <v>LA-234</v>
      </c>
      <c r="C21" s="92">
        <f>IF('CONT. ESTOQUE'!$B21&lt;&gt;"",SUMIF(ENTRADAS!$C$7:$C$1002,'CONT. ESTOQUE'!$B21,ENTRADAS!$E$7:$E$1002),"")</f>
        <v>154</v>
      </c>
      <c r="D21" s="92">
        <f>IF('CONT. ESTOQUE'!$B21&lt;&gt;"",SUMIF(SAÍDAS!$C$7:$C$800,'CONT. ESTOQUE'!$B21,SAÍDAS!$J$7:$J$800),"")</f>
        <v>65</v>
      </c>
      <c r="E21" s="92">
        <f>IFERROR('CONT. ESTOQUE'!$C21-'CONT. ESTOQUE'!$D21,"")</f>
        <v>89</v>
      </c>
      <c r="F21" s="92">
        <f>IFERROR(VLOOKUP('CONT. ESTOQUE'!$B21,PROD!$B$6:$G$1095,4,0),"")</f>
        <v>0</v>
      </c>
      <c r="G21" s="92" t="str">
        <f>IF('CONT. ESTOQUE'!$B21&lt;&gt;"",IF('CONT. ESTOQUE'!$E21=0,"Sem Estoque",IF('CONT. ESTOQUE'!$E21&lt;'CONT. ESTOQUE'!$F21,"Estoque Perigoso","Estoque Confortável")),"")</f>
        <v>Estoque Confortável</v>
      </c>
      <c r="H21" s="93">
        <f>SUMIF(SAÍDAS!$C$7:$C$289,'CONT. ESTOQUE'!$B21,SAÍDAS!$L$7:$L$289)</f>
        <v>0</v>
      </c>
      <c r="I21" s="93">
        <f>SUMIF(ENTRADAS!$C$8:$C$1002,'CONT. ESTOQUE'!$B21,ENTRADAS!$H$7:$H$1002)</f>
        <v>0</v>
      </c>
      <c r="J21" s="94">
        <f>'CONT. ESTOQUE'!$H21-'CONT. ESTOQUE'!$I21</f>
        <v>0</v>
      </c>
    </row>
    <row r="22" spans="2:10" s="114" customFormat="1" ht="15.75" customHeight="1">
      <c r="B22" s="91" t="str">
        <f>PROD!B22</f>
        <v>LA-226</v>
      </c>
      <c r="C22" s="92">
        <f>IF('CONT. ESTOQUE'!$B22&lt;&gt;"",SUMIF(ENTRADAS!$C$7:$C$1002,'CONT. ESTOQUE'!$B22,ENTRADAS!$E$7:$E$1002),"")</f>
        <v>47</v>
      </c>
      <c r="D22" s="92">
        <f>IF('CONT. ESTOQUE'!$B22&lt;&gt;"",SUMIF(SAÍDAS!$C$7:$C$800,'CONT. ESTOQUE'!$B22,SAÍDAS!$J$7:$J$800),"")</f>
        <v>21</v>
      </c>
      <c r="E22" s="92">
        <f>IFERROR('CONT. ESTOQUE'!$C22-'CONT. ESTOQUE'!$D22,"")</f>
        <v>26</v>
      </c>
      <c r="F22" s="92">
        <f>IFERROR(VLOOKUP('CONT. ESTOQUE'!$B22,PROD!$B$6:$G$1095,4,0),"")</f>
        <v>0</v>
      </c>
      <c r="G22" s="92" t="str">
        <f>IF('CONT. ESTOQUE'!$B22&lt;&gt;"",IF('CONT. ESTOQUE'!$E22=0,"Sem Estoque",IF('CONT. ESTOQUE'!$E22&lt;'CONT. ESTOQUE'!$F22,"Estoque Perigoso","Estoque Confortável")),"")</f>
        <v>Estoque Confortável</v>
      </c>
      <c r="H22" s="93">
        <f>SUMIF(SAÍDAS!$C$7:$C$289,'CONT. ESTOQUE'!$B22,SAÍDAS!$L$7:$L$289)</f>
        <v>0</v>
      </c>
      <c r="I22" s="93">
        <f>SUMIF(ENTRADAS!$C$8:$C$1002,'CONT. ESTOQUE'!$B22,ENTRADAS!$H$7:$H$1002)</f>
        <v>0</v>
      </c>
      <c r="J22" s="94">
        <f>'CONT. ESTOQUE'!$H22-'CONT. ESTOQUE'!$I22</f>
        <v>0</v>
      </c>
    </row>
    <row r="23" spans="2:10" s="114" customFormat="1" ht="15.75" customHeight="1">
      <c r="B23" s="91" t="str">
        <f>PROD!B23</f>
        <v>LA-218</v>
      </c>
      <c r="C23" s="92">
        <f>IF('CONT. ESTOQUE'!$B23&lt;&gt;"",SUMIF(ENTRADAS!$C$7:$C$1002,'CONT. ESTOQUE'!$B23,ENTRADAS!$E$7:$E$1002),"")</f>
        <v>29</v>
      </c>
      <c r="D23" s="92">
        <f>IF('CONT. ESTOQUE'!$B23&lt;&gt;"",SUMIF(SAÍDAS!$C$7:$C$800,'CONT. ESTOQUE'!$B23,SAÍDAS!$J$7:$J$800),"")</f>
        <v>28</v>
      </c>
      <c r="E23" s="92">
        <f>IFERROR('CONT. ESTOQUE'!$C23-'CONT. ESTOQUE'!$D23,"")</f>
        <v>1</v>
      </c>
      <c r="F23" s="92">
        <f>IFERROR(VLOOKUP('CONT. ESTOQUE'!$B23,PROD!$B$6:$G$1095,4,0),"")</f>
        <v>0</v>
      </c>
      <c r="G23" s="92" t="str">
        <f>IF('CONT. ESTOQUE'!$B23&lt;&gt;"",IF('CONT. ESTOQUE'!$E23=0,"Sem Estoque",IF('CONT. ESTOQUE'!$E23&lt;'CONT. ESTOQUE'!$F23,"Estoque Perigoso","Estoque Confortável")),"")</f>
        <v>Estoque Confortável</v>
      </c>
      <c r="H23" s="93">
        <f>SUMIF(SAÍDAS!$C$7:$C$289,'CONT. ESTOQUE'!$B23,SAÍDAS!$L$7:$L$289)</f>
        <v>0</v>
      </c>
      <c r="I23" s="93">
        <f>SUMIF(ENTRADAS!$C$8:$C$1002,'CONT. ESTOQUE'!$B23,ENTRADAS!$H$7:$H$1002)</f>
        <v>0</v>
      </c>
      <c r="J23" s="94">
        <f>'CONT. ESTOQUE'!$H23-'CONT. ESTOQUE'!$I23</f>
        <v>0</v>
      </c>
    </row>
    <row r="24" spans="2:10" s="121" customFormat="1" ht="15.75" customHeight="1">
      <c r="B24" s="120" t="str">
        <f>PROD!B24</f>
        <v>-</v>
      </c>
      <c r="C24" s="122">
        <f>IF('CONT. ESTOQUE'!$B24&lt;&gt;"",SUMIF(ENTRADAS!$C$7:$C$1002,'CONT. ESTOQUE'!$B24,ENTRADAS!$E$7:$E$1002),"")</f>
        <v>0</v>
      </c>
      <c r="D24" s="92">
        <f>IF('CONT. ESTOQUE'!$B24&lt;&gt;"",SUMIF(SAÍDAS!$C$7:$C$800,'CONT. ESTOQUE'!$B24,SAÍDAS!$J$7:$J$800),"")</f>
        <v>0</v>
      </c>
      <c r="E24" s="122">
        <f>IFERROR('CONT. ESTOQUE'!$C24-'CONT. ESTOQUE'!$D24,"")</f>
        <v>0</v>
      </c>
      <c r="F24" s="122">
        <f>IFERROR(VLOOKUP('CONT. ESTOQUE'!$B24,PROD!$B$6:$G$1095,4,0),"")</f>
        <v>0</v>
      </c>
      <c r="G24" s="122" t="str">
        <f>IF('CONT. ESTOQUE'!$B24&lt;&gt;"",IF('CONT. ESTOQUE'!$E24=0,"Sem Estoque",IF('CONT. ESTOQUE'!$E24&lt;'CONT. ESTOQUE'!$F24,"Estoque Perigoso","Estoque Confortável")),"")</f>
        <v>Sem Estoque</v>
      </c>
      <c r="H24" s="123">
        <f>SUMIF(SAÍDAS!$C$7:$C$289,'CONT. ESTOQUE'!$B24,SAÍDAS!$L$7:$L$289)</f>
        <v>0</v>
      </c>
      <c r="I24" s="123">
        <f>SUMIF(ENTRADAS!$C$8:$C$1002,'CONT. ESTOQUE'!$B24,ENTRADAS!$H$7:$H$1002)</f>
        <v>0</v>
      </c>
      <c r="J24" s="124">
        <f>'CONT. ESTOQUE'!$H24-'CONT. ESTOQUE'!$I24</f>
        <v>0</v>
      </c>
    </row>
    <row r="25" spans="2:10" s="114" customFormat="1" ht="15.75" customHeight="1">
      <c r="B25" s="120" t="str">
        <f>PROD!B25</f>
        <v>VL110L</v>
      </c>
      <c r="C25" s="92">
        <f>IF('CONT. ESTOQUE'!$B25&lt;&gt;"",SUMIF(ENTRADAS!$C$7:$C$1002,'CONT. ESTOQUE'!$B25,ENTRADAS!$E$7:$E$1002),"")</f>
        <v>0</v>
      </c>
      <c r="D25" s="92">
        <f>IF('CONT. ESTOQUE'!$B25&lt;&gt;"",SUMIF(SAÍDAS!$C$7:$C$800,'CONT. ESTOQUE'!$B25,SAÍDAS!$J$7:$J$800),"")</f>
        <v>0</v>
      </c>
      <c r="E25" s="92">
        <f>IFERROR('CONT. ESTOQUE'!$C25-'CONT. ESTOQUE'!$D25,"")</f>
        <v>0</v>
      </c>
      <c r="F25" s="92">
        <f>IFERROR(VLOOKUP('CONT. ESTOQUE'!$B25,PROD!$B$6:$G$1095,4,0),"")</f>
        <v>0</v>
      </c>
      <c r="G25" s="92" t="str">
        <f>IF('CONT. ESTOQUE'!$B25&lt;&gt;"",IF('CONT. ESTOQUE'!$E25=0,"Sem Estoque",IF('CONT. ESTOQUE'!$E25&lt;'CONT. ESTOQUE'!$F25,"Estoque Perigoso","Estoque Confortável")),"")</f>
        <v>Sem Estoque</v>
      </c>
      <c r="H25" s="93">
        <f>SUMIF(SAÍDAS!$C$7:$C$289,'CONT. ESTOQUE'!$B25,SAÍDAS!$L$7:$L$289)</f>
        <v>0</v>
      </c>
      <c r="I25" s="93">
        <f>SUMIF(ENTRADAS!$C$8:$C$1002,'CONT. ESTOQUE'!$B25,ENTRADAS!$H$7:$H$1002)</f>
        <v>0</v>
      </c>
      <c r="J25" s="94">
        <f>'CONT. ESTOQUE'!$H25-'CONT. ESTOQUE'!$I25</f>
        <v>0</v>
      </c>
    </row>
    <row r="26" spans="2:10" s="129" customFormat="1" ht="15.75" customHeight="1">
      <c r="B26" s="91" t="str">
        <f>PROD!B26</f>
        <v>VL-266</v>
      </c>
      <c r="C26" s="92">
        <f>IF('CONT. ESTOQUE'!$B26&lt;&gt;"",SUMIF(ENTRADAS!$C$7:$C$1002,'CONT. ESTOQUE'!$B26,ENTRADAS!$E$7:$E$1002),"")</f>
        <v>7</v>
      </c>
      <c r="D26" s="92">
        <f>IF('CONT. ESTOQUE'!$B26&lt;&gt;"",SUMIF(SAÍDAS!$C$7:$C$800,'CONT. ESTOQUE'!$B26,SAÍDAS!$J$7:$J$800),"")</f>
        <v>3</v>
      </c>
      <c r="E26" s="92">
        <f>IFERROR('CONT. ESTOQUE'!$C26-'CONT. ESTOQUE'!$D26,"")</f>
        <v>4</v>
      </c>
      <c r="F26" s="92">
        <f>IFERROR(VLOOKUP('CONT. ESTOQUE'!$B26,PROD!$B$6:$G$1095,4,0),"")</f>
        <v>0</v>
      </c>
      <c r="G26" s="92" t="str">
        <f>IF('CONT. ESTOQUE'!$B26&lt;&gt;"",IF('CONT. ESTOQUE'!$E26=0,"Sem Estoque",IF('CONT. ESTOQUE'!$E26&lt;'CONT. ESTOQUE'!$F26,"Estoque Perigoso","Estoque Confortável")),"")</f>
        <v>Estoque Confortável</v>
      </c>
      <c r="H26" s="93">
        <f>SUMIF(SAÍDAS!$C$7:$C$289,'CONT. ESTOQUE'!$B26,SAÍDAS!$L$7:$L$289)</f>
        <v>0</v>
      </c>
      <c r="I26" s="93">
        <f>SUMIF(ENTRADAS!$C$8:$C$1002,'CONT. ESTOQUE'!$B26,ENTRADAS!$H$7:$H$1002)</f>
        <v>0</v>
      </c>
      <c r="J26" s="94">
        <f>'CONT. ESTOQUE'!$H26-'CONT. ESTOQUE'!$I26</f>
        <v>0</v>
      </c>
    </row>
    <row r="27" spans="2:10" s="114" customFormat="1" ht="15.75" customHeight="1">
      <c r="B27" s="91" t="str">
        <f>PROD!B27</f>
        <v>VL-258</v>
      </c>
      <c r="C27" s="92">
        <f>IF('CONT. ESTOQUE'!$B27&lt;&gt;"",SUMIF(ENTRADAS!$C$7:$C$1002,'CONT. ESTOQUE'!$B27,ENTRADAS!$E$7:$E$1002),"")</f>
        <v>29</v>
      </c>
      <c r="D27" s="92">
        <f>IF('CONT. ESTOQUE'!$B27&lt;&gt;"",SUMIF(SAÍDAS!$C$7:$C$800,'CONT. ESTOQUE'!$B27,SAÍDAS!$J$7:$J$800),"")</f>
        <v>5</v>
      </c>
      <c r="E27" s="92">
        <f>IFERROR('CONT. ESTOQUE'!$C27-'CONT. ESTOQUE'!$D27,"")</f>
        <v>24</v>
      </c>
      <c r="F27" s="92">
        <f>IFERROR(VLOOKUP('CONT. ESTOQUE'!$B27,PROD!$B$6:$G$1095,4,0),"")</f>
        <v>0</v>
      </c>
      <c r="G27" s="92" t="str">
        <f>IF('CONT. ESTOQUE'!$B27&lt;&gt;"",IF('CONT. ESTOQUE'!$E27=0,"Sem Estoque",IF('CONT. ESTOQUE'!$E27&lt;'CONT. ESTOQUE'!$F27,"Estoque Perigoso","Estoque Confortável")),"")</f>
        <v>Estoque Confortável</v>
      </c>
      <c r="H27" s="93">
        <f>SUMIF(SAÍDAS!$C$7:$C$289,'CONT. ESTOQUE'!$B27,SAÍDAS!$L$7:$L$289)</f>
        <v>0</v>
      </c>
      <c r="I27" s="93">
        <f>SUMIF(ENTRADAS!$C$8:$C$1002,'CONT. ESTOQUE'!$B27,ENTRADAS!$H$7:$H$1002)</f>
        <v>0</v>
      </c>
      <c r="J27" s="94">
        <f>'CONT. ESTOQUE'!$H27-'CONT. ESTOQUE'!$I27</f>
        <v>0</v>
      </c>
    </row>
    <row r="28" spans="2:10" s="114" customFormat="1" ht="15.75" customHeight="1">
      <c r="B28" s="91" t="str">
        <f>PROD!B28</f>
        <v>VL-250</v>
      </c>
      <c r="C28" s="92">
        <f>IF('CONT. ESTOQUE'!$B28&lt;&gt;"",SUMIF(ENTRADAS!$C$7:$C$1002,'CONT. ESTOQUE'!$B28,ENTRADAS!$E$7:$E$1002),"")</f>
        <v>38</v>
      </c>
      <c r="D28" s="92">
        <f>IF('CONT. ESTOQUE'!$B28&lt;&gt;"",SUMIF(SAÍDAS!$C$7:$C$800,'CONT. ESTOQUE'!$B28,SAÍDAS!$J$7:$J$800),"")</f>
        <v>20</v>
      </c>
      <c r="E28" s="92">
        <f>IFERROR('CONT. ESTOQUE'!$C28-'CONT. ESTOQUE'!$D28,"")</f>
        <v>18</v>
      </c>
      <c r="F28" s="92">
        <f>IFERROR(VLOOKUP('CONT. ESTOQUE'!$B28,PROD!$B$6:$G$1095,4,0),"")</f>
        <v>0</v>
      </c>
      <c r="G28" s="92" t="str">
        <f>IF('CONT. ESTOQUE'!$B28&lt;&gt;"",IF('CONT. ESTOQUE'!$E28=0,"Sem Estoque",IF('CONT. ESTOQUE'!$E28&lt;'CONT. ESTOQUE'!$F28,"Estoque Perigoso","Estoque Confortável")),"")</f>
        <v>Estoque Confortável</v>
      </c>
      <c r="H28" s="93">
        <f>SUMIF(SAÍDAS!$C$7:$C$289,'CONT. ESTOQUE'!$B28,SAÍDAS!$L$7:$L$289)</f>
        <v>0</v>
      </c>
      <c r="I28" s="93">
        <f>SUMIF(ENTRADAS!$C$8:$C$1002,'CONT. ESTOQUE'!$B28,ENTRADAS!$H$7:$H$1002)</f>
        <v>0</v>
      </c>
      <c r="J28" s="94">
        <f>'CONT. ESTOQUE'!$H28-'CONT. ESTOQUE'!$I28</f>
        <v>0</v>
      </c>
    </row>
    <row r="29" spans="2:10" ht="15.75" customHeight="1">
      <c r="B29" s="91" t="str">
        <f>PROD!B29</f>
        <v>VL-242</v>
      </c>
      <c r="C29" s="92">
        <f>IF('CONT. ESTOQUE'!$B29&lt;&gt;"",SUMIF(ENTRADAS!$C$7:$C$1002,'CONT. ESTOQUE'!$B29,ENTRADAS!$E$7:$E$1002),"")</f>
        <v>76</v>
      </c>
      <c r="D29" s="92">
        <f>IF('CONT. ESTOQUE'!$B29&lt;&gt;"",SUMIF(SAÍDAS!$C$7:$C$800,'CONT. ESTOQUE'!$B29,SAÍDAS!$J$7:$J$800),"")</f>
        <v>12</v>
      </c>
      <c r="E29" s="92">
        <f>IFERROR('CONT. ESTOQUE'!$C29-'CONT. ESTOQUE'!$D29,"")</f>
        <v>64</v>
      </c>
      <c r="F29" s="92">
        <f>IFERROR(VLOOKUP('CONT. ESTOQUE'!$B29,PROD!$B$6:$G$1095,4,0),"")</f>
        <v>0</v>
      </c>
      <c r="G29" s="92" t="str">
        <f>IF('CONT. ESTOQUE'!$B29&lt;&gt;"",IF('CONT. ESTOQUE'!$E29=0,"Sem Estoque",IF('CONT. ESTOQUE'!$E29&lt;'CONT. ESTOQUE'!$F29,"Estoque Perigoso","Estoque Confortável")),"")</f>
        <v>Estoque Confortável</v>
      </c>
      <c r="H29" s="93">
        <f>SUMIF(SAÍDAS!$C$7:$C$289,'CONT. ESTOQUE'!$B29,SAÍDAS!$L$7:$L$289)</f>
        <v>0</v>
      </c>
      <c r="I29" s="93">
        <f>SUMIF(ENTRADAS!$C$8:$C$1002,'CONT. ESTOQUE'!$B29,ENTRADAS!$H$7:$H$1002)</f>
        <v>0</v>
      </c>
      <c r="J29" s="94">
        <f>'CONT. ESTOQUE'!$H29-'CONT. ESTOQUE'!$I29</f>
        <v>0</v>
      </c>
    </row>
    <row r="30" spans="2:10" ht="15.75" customHeight="1">
      <c r="B30" s="91" t="str">
        <f>PROD!B30</f>
        <v>VL-234</v>
      </c>
      <c r="C30" s="92">
        <f>IF('CONT. ESTOQUE'!$B30&lt;&gt;"",SUMIF(ENTRADAS!$C$7:$C$1002,'CONT. ESTOQUE'!$B30,ENTRADAS!$E$7:$E$1002),"")</f>
        <v>47</v>
      </c>
      <c r="D30" s="92">
        <f>IF('CONT. ESTOQUE'!$B30&lt;&gt;"",SUMIF(SAÍDAS!$C$7:$C$800,'CONT. ESTOQUE'!$B30,SAÍDAS!$J$7:$J$800),"")</f>
        <v>13</v>
      </c>
      <c r="E30" s="92">
        <f>IFERROR('CONT. ESTOQUE'!$C30-'CONT. ESTOQUE'!$D30,"")</f>
        <v>34</v>
      </c>
      <c r="F30" s="92">
        <f>IFERROR(VLOOKUP('CONT. ESTOQUE'!$B30,PROD!$B$6:$G$1095,4,0),"")</f>
        <v>0</v>
      </c>
      <c r="G30" s="92" t="str">
        <f>IF('CONT. ESTOQUE'!$B30&lt;&gt;"",IF('CONT. ESTOQUE'!$E30=0,"Sem Estoque",IF('CONT. ESTOQUE'!$E30&lt;'CONT. ESTOQUE'!$F30,"Estoque Perigoso","Estoque Confortável")),"")</f>
        <v>Estoque Confortável</v>
      </c>
      <c r="H30" s="93">
        <f>SUMIF(SAÍDAS!$C$7:$C$289,'CONT. ESTOQUE'!$B30,SAÍDAS!$L$7:$L$289)</f>
        <v>0</v>
      </c>
      <c r="I30" s="93">
        <f>SUMIF(ENTRADAS!$C$8:$C$1002,'CONT. ESTOQUE'!$B30,ENTRADAS!$H$7:$H$1002)</f>
        <v>0</v>
      </c>
      <c r="J30" s="94">
        <f>'CONT. ESTOQUE'!$H30-'CONT. ESTOQUE'!$I30</f>
        <v>0</v>
      </c>
    </row>
    <row r="31" spans="2:10" ht="15.75" customHeight="1">
      <c r="B31" s="91" t="str">
        <f>PROD!B31</f>
        <v>VL-226</v>
      </c>
      <c r="C31" s="92">
        <f>IF('CONT. ESTOQUE'!$B31&lt;&gt;"",SUMIF(ENTRADAS!$C$7:$C$1002,'CONT. ESTOQUE'!$B31,ENTRADAS!$E$7:$E$1002),"")</f>
        <v>42</v>
      </c>
      <c r="D31" s="92">
        <f>IF('CONT. ESTOQUE'!$B31&lt;&gt;"",SUMIF(SAÍDAS!$C$7:$C$800,'CONT. ESTOQUE'!$B31,SAÍDAS!$J$7:$J$800),"")</f>
        <v>12</v>
      </c>
      <c r="E31" s="92">
        <f>IFERROR('CONT. ESTOQUE'!$C31-'CONT. ESTOQUE'!$D31,"")</f>
        <v>30</v>
      </c>
      <c r="F31" s="92">
        <f>IFERROR(VLOOKUP('CONT. ESTOQUE'!$B31,PROD!$B$6:$G$1095,4,0),"")</f>
        <v>0</v>
      </c>
      <c r="G31" s="92" t="str">
        <f>IF('CONT. ESTOQUE'!$B31&lt;&gt;"",IF('CONT. ESTOQUE'!$E31=0,"Sem Estoque",IF('CONT. ESTOQUE'!$E31&lt;'CONT. ESTOQUE'!$F31,"Estoque Perigoso","Estoque Confortável")),"")</f>
        <v>Estoque Confortável</v>
      </c>
      <c r="H31" s="93">
        <f>SUMIF(SAÍDAS!$C$7:$C$289,'CONT. ESTOQUE'!$B31,SAÍDAS!$L$7:$L$289)</f>
        <v>0</v>
      </c>
      <c r="I31" s="93">
        <f>SUMIF(ENTRADAS!$C$8:$C$1002,'CONT. ESTOQUE'!$B31,ENTRADAS!$H$7:$H$1002)</f>
        <v>0</v>
      </c>
      <c r="J31" s="94">
        <f>'CONT. ESTOQUE'!$H31-'CONT. ESTOQUE'!$I31</f>
        <v>0</v>
      </c>
    </row>
    <row r="32" spans="2:10" ht="15.75" customHeight="1">
      <c r="B32" s="91" t="str">
        <f>PROD!B32</f>
        <v>VL-218</v>
      </c>
      <c r="C32" s="92">
        <f>IF('CONT. ESTOQUE'!$B32&lt;&gt;"",SUMIF(ENTRADAS!$C$7:$C$1002,'CONT. ESTOQUE'!$B32,ENTRADAS!$E$7:$E$1002),"")</f>
        <v>18</v>
      </c>
      <c r="D32" s="92">
        <f>IF('CONT. ESTOQUE'!$B32&lt;&gt;"",SUMIF(SAÍDAS!$C$7:$C$800,'CONT. ESTOQUE'!$B32,SAÍDAS!$J$7:$J$800),"")</f>
        <v>4</v>
      </c>
      <c r="E32" s="92">
        <f>IFERROR('CONT. ESTOQUE'!$C32-'CONT. ESTOQUE'!$D32,"")</f>
        <v>14</v>
      </c>
      <c r="F32" s="92">
        <f>IFERROR(VLOOKUP('CONT. ESTOQUE'!$B32,PROD!$B$6:$G$1095,4,0),"")</f>
        <v>0</v>
      </c>
      <c r="G32" s="92" t="str">
        <f>IF('CONT. ESTOQUE'!$B32&lt;&gt;"",IF('CONT. ESTOQUE'!$E32=0,"Sem Estoque",IF('CONT. ESTOQUE'!$E32&lt;'CONT. ESTOQUE'!$F32,"Estoque Perigoso","Estoque Confortável")),"")</f>
        <v>Estoque Confortável</v>
      </c>
      <c r="H32" s="93">
        <f>SUMIF(SAÍDAS!$C$7:$C$289,'CONT. ESTOQUE'!$B32,SAÍDAS!$L$7:$L$289)</f>
        <v>0</v>
      </c>
      <c r="I32" s="93">
        <f>SUMIF(ENTRADAS!$C$8:$C$1002,'CONT. ESTOQUE'!$B32,ENTRADAS!$H$7:$H$1002)</f>
        <v>0</v>
      </c>
      <c r="J32" s="94">
        <f>'CONT. ESTOQUE'!$H32-'CONT. ESTOQUE'!$I32</f>
        <v>0</v>
      </c>
    </row>
    <row r="33" spans="2:10" ht="15.75" customHeight="1">
      <c r="B33" s="91" t="str">
        <f>PROD!B33</f>
        <v>VL-210</v>
      </c>
      <c r="C33" s="92">
        <f>IF('CONT. ESTOQUE'!$B33&lt;&gt;"",SUMIF(ENTRADAS!$C$7:$C$1002,'CONT. ESTOQUE'!$B33,ENTRADAS!$E$7:$E$1002),"")</f>
        <v>3</v>
      </c>
      <c r="D33" s="92">
        <f>IF('CONT. ESTOQUE'!$B33&lt;&gt;"",SUMIF(SAÍDAS!$C$7:$C$800,'CONT. ESTOQUE'!$B33,SAÍDAS!$J$7:$J$800),"")</f>
        <v>1</v>
      </c>
      <c r="E33" s="92">
        <f>IFERROR('CONT. ESTOQUE'!$C33-'CONT. ESTOQUE'!$D33,"")</f>
        <v>2</v>
      </c>
      <c r="F33" s="92">
        <f>IFERROR(VLOOKUP('CONT. ESTOQUE'!$B33,PROD!$B$6:$G$1095,4,0),"")</f>
        <v>0</v>
      </c>
      <c r="G33" s="92" t="str">
        <f>IF('CONT. ESTOQUE'!$B33&lt;&gt;"",IF('CONT. ESTOQUE'!$E33=0,"Sem Estoque",IF('CONT. ESTOQUE'!$E33&lt;'CONT. ESTOQUE'!$F33,"Estoque Perigoso","Estoque Confortável")),"")</f>
        <v>Estoque Confortável</v>
      </c>
      <c r="H33" s="93">
        <f>SUMIF(SAÍDAS!$C$7:$C$289,'CONT. ESTOQUE'!$B33,SAÍDAS!$L$7:$L$289)</f>
        <v>0</v>
      </c>
      <c r="I33" s="93">
        <f>SUMIF(ENTRADAS!$C$8:$C$1002,'CONT. ESTOQUE'!$B33,ENTRADAS!$H$7:$H$1002)</f>
        <v>0</v>
      </c>
      <c r="J33" s="94">
        <f>'CONT. ESTOQUE'!$H33-'CONT. ESTOQUE'!$I33</f>
        <v>0</v>
      </c>
    </row>
    <row r="34" spans="2:10" s="131" customFormat="1" ht="15.75" customHeight="1">
      <c r="B34" s="91" t="str">
        <f>PROD!B34</f>
        <v>VL-200</v>
      </c>
      <c r="C34" s="92">
        <f>IF('CONT. ESTOQUE'!$B34&lt;&gt;"",SUMIF(ENTRADAS!$C$7:$C$1002,'CONT. ESTOQUE'!$B34,ENTRADAS!$E$7:$E$1002),"")</f>
        <v>3</v>
      </c>
      <c r="D34" s="92">
        <f>IF('CONT. ESTOQUE'!$B34&lt;&gt;"",SUMIF(SAÍDAS!$C$7:$C$800,'CONT. ESTOQUE'!$B34,SAÍDAS!$J$7:$J$800),"")</f>
        <v>0</v>
      </c>
      <c r="E34" s="92">
        <f>IFERROR('CONT. ESTOQUE'!$C34-'CONT. ESTOQUE'!$D34,"")</f>
        <v>3</v>
      </c>
      <c r="F34" s="92">
        <f>IFERROR(VLOOKUP('CONT. ESTOQUE'!$B34,PROD!$B$6:$G$1095,4,0),"")</f>
        <v>0</v>
      </c>
      <c r="G34" s="92" t="str">
        <f>IF('CONT. ESTOQUE'!$B34&lt;&gt;"",IF('CONT. ESTOQUE'!$E34=0,"Sem Estoque",IF('CONT. ESTOQUE'!$E34&lt;'CONT. ESTOQUE'!$F34,"Estoque Perigoso","Estoque Confortável")),"")</f>
        <v>Estoque Confortável</v>
      </c>
      <c r="H34" s="93">
        <f>SUMIF(SAÍDAS!$C$7:$C$289,'CONT. ESTOQUE'!$B34,SAÍDAS!$L$7:$L$289)</f>
        <v>0</v>
      </c>
      <c r="I34" s="93">
        <f>SUMIF(ENTRADAS!$C$8:$C$1002,'CONT. ESTOQUE'!$B34,ENTRADAS!$H$7:$H$1002)</f>
        <v>0</v>
      </c>
      <c r="J34" s="94">
        <f>'CONT. ESTOQUE'!$H34-'CONT. ESTOQUE'!$I34</f>
        <v>0</v>
      </c>
    </row>
    <row r="35" spans="2:10" s="131" customFormat="1" ht="15.75" customHeight="1">
      <c r="B35" s="91" t="str">
        <f>PROD!B35</f>
        <v>VL-190</v>
      </c>
      <c r="C35" s="92">
        <f>IF('CONT. ESTOQUE'!$B35&lt;&gt;"",SUMIF(ENTRADAS!$C$7:$C$1002,'CONT. ESTOQUE'!$B35,ENTRADAS!$E$7:$E$1002),"")</f>
        <v>0</v>
      </c>
      <c r="D35" s="92">
        <f>IF('CONT. ESTOQUE'!$B35&lt;&gt;"",SUMIF(SAÍDAS!$C$7:$C$800,'CONT. ESTOQUE'!$B35,SAÍDAS!$J$7:$J$800),"")</f>
        <v>0</v>
      </c>
      <c r="E35" s="92">
        <f>IFERROR('CONT. ESTOQUE'!$C35-'CONT. ESTOQUE'!$D35,"")</f>
        <v>0</v>
      </c>
      <c r="F35" s="92">
        <f>IFERROR(VLOOKUP('CONT. ESTOQUE'!$B35,PROD!$B$6:$G$1095,4,0),"")</f>
        <v>0</v>
      </c>
      <c r="G35" s="92" t="str">
        <f>IF('CONT. ESTOQUE'!$B35&lt;&gt;"",IF('CONT. ESTOQUE'!$E35=0,"Sem Estoque",IF('CONT. ESTOQUE'!$E35&lt;'CONT. ESTOQUE'!$F35,"Estoque Perigoso","Estoque Confortável")),"")</f>
        <v>Sem Estoque</v>
      </c>
      <c r="H35" s="93">
        <f>SUMIF(SAÍDAS!$C$7:$C$289,'CONT. ESTOQUE'!$B35,SAÍDAS!$L$7:$L$289)</f>
        <v>0</v>
      </c>
      <c r="I35" s="93">
        <f>SUMIF(ENTRADAS!$C$8:$C$1002,'CONT. ESTOQUE'!$B35,ENTRADAS!$H$7:$H$1002)</f>
        <v>0</v>
      </c>
      <c r="J35" s="94">
        <f>'CONT. ESTOQUE'!$H35-'CONT. ESTOQUE'!$I35</f>
        <v>0</v>
      </c>
    </row>
    <row r="36" spans="2:10" s="131" customFormat="1" ht="15.75" customHeight="1">
      <c r="B36" s="91" t="str">
        <f>PROD!B36</f>
        <v>VL-180</v>
      </c>
      <c r="C36" s="92">
        <f>IF('CONT. ESTOQUE'!$B36&lt;&gt;"",SUMIF(ENTRADAS!$C$7:$C$1002,'CONT. ESTOQUE'!$B36,ENTRADAS!$E$7:$E$1002),"")</f>
        <v>1</v>
      </c>
      <c r="D36" s="92">
        <f>IF('CONT. ESTOQUE'!$B36&lt;&gt;"",SUMIF(SAÍDAS!$C$7:$C$800,'CONT. ESTOQUE'!$B36,SAÍDAS!$J$7:$J$800),"")</f>
        <v>0</v>
      </c>
      <c r="E36" s="92">
        <f>IFERROR('CONT. ESTOQUE'!$C36-'CONT. ESTOQUE'!$D36,"")</f>
        <v>1</v>
      </c>
      <c r="F36" s="92">
        <f>IFERROR(VLOOKUP('CONT. ESTOQUE'!$B36,PROD!$B$6:$G$1095,4,0),"")</f>
        <v>0</v>
      </c>
      <c r="G36" s="92" t="str">
        <f>IF('CONT. ESTOQUE'!$B36&lt;&gt;"",IF('CONT. ESTOQUE'!$E36=0,"Sem Estoque",IF('CONT. ESTOQUE'!$E36&lt;'CONT. ESTOQUE'!$F36,"Estoque Perigoso","Estoque Confortável")),"")</f>
        <v>Estoque Confortável</v>
      </c>
      <c r="H36" s="93">
        <f>SUMIF(SAÍDAS!$C$7:$C$289,'CONT. ESTOQUE'!$B36,SAÍDAS!$L$7:$L$289)</f>
        <v>0</v>
      </c>
      <c r="I36" s="93">
        <f>SUMIF(ENTRADAS!$C$8:$C$1002,'CONT. ESTOQUE'!$B36,ENTRADAS!$H$7:$H$1002)</f>
        <v>0</v>
      </c>
      <c r="J36" s="94">
        <f>'CONT. ESTOQUE'!$H36-'CONT. ESTOQUE'!$I36</f>
        <v>0</v>
      </c>
    </row>
    <row r="37" spans="2:10" s="121" customFormat="1" ht="15.75" customHeight="1">
      <c r="B37" s="120" t="str">
        <f>PROD!B37</f>
        <v>-</v>
      </c>
      <c r="C37" s="122">
        <f>IF('CONT. ESTOQUE'!$B37&lt;&gt;"",SUMIF(ENTRADAS!$C$7:$C$1002,'CONT. ESTOQUE'!$B37,ENTRADAS!$E$7:$E$1002),"")</f>
        <v>0</v>
      </c>
      <c r="D37" s="92">
        <f>IF('CONT. ESTOQUE'!$B37&lt;&gt;"",SUMIF(SAÍDAS!$C$7:$C$800,'CONT. ESTOQUE'!$B37,SAÍDAS!$J$7:$J$800),"")</f>
        <v>0</v>
      </c>
      <c r="E37" s="122">
        <f>IFERROR('CONT. ESTOQUE'!$C37-'CONT. ESTOQUE'!$D37,"")</f>
        <v>0</v>
      </c>
      <c r="F37" s="122">
        <f>IFERROR(VLOOKUP('CONT. ESTOQUE'!$B37,PROD!$B$6:$G$1095,4,0),"")</f>
        <v>0</v>
      </c>
      <c r="G37" s="122" t="str">
        <f>IF('CONT. ESTOQUE'!$B37&lt;&gt;"",IF('CONT. ESTOQUE'!$E37=0,"Sem Estoque",IF('CONT. ESTOQUE'!$E37&lt;'CONT. ESTOQUE'!$F37,"Estoque Perigoso","Estoque Confortável")),"")</f>
        <v>Sem Estoque</v>
      </c>
      <c r="H37" s="123">
        <f>SUMIF(SAÍDAS!$C$7:$C$289,'CONT. ESTOQUE'!$B37,SAÍDAS!$L$7:$L$289)</f>
        <v>0</v>
      </c>
      <c r="I37" s="123">
        <f>SUMIF(ENTRADAS!$C$8:$C$1002,'CONT. ESTOQUE'!$B37,ENTRADAS!$H$7:$H$1002)</f>
        <v>0</v>
      </c>
      <c r="J37" s="124">
        <f>'CONT. ESTOQUE'!$H37-'CONT. ESTOQUE'!$I37</f>
        <v>0</v>
      </c>
    </row>
    <row r="38" spans="2:10" s="114" customFormat="1" ht="15.75" customHeight="1">
      <c r="B38" s="120" t="str">
        <f>PROD!B38</f>
        <v>VL130</v>
      </c>
      <c r="C38" s="92">
        <f>IF('CONT. ESTOQUE'!$B38&lt;&gt;"",SUMIF(ENTRADAS!$C$7:$C$1002,'CONT. ESTOQUE'!$B38,ENTRADAS!$E$7:$E$1002),"")</f>
        <v>0</v>
      </c>
      <c r="D38" s="92">
        <f>IF('CONT. ESTOQUE'!$B38&lt;&gt;"",SUMIF(SAÍDAS!$C$7:$C$800,'CONT. ESTOQUE'!$B38,SAÍDAS!$J$7:$J$800),"")</f>
        <v>0</v>
      </c>
      <c r="E38" s="92">
        <f>IFERROR('CONT. ESTOQUE'!$C38-'CONT. ESTOQUE'!$D38,"")</f>
        <v>0</v>
      </c>
      <c r="F38" s="92">
        <f>IFERROR(VLOOKUP('CONT. ESTOQUE'!$B38,PROD!$B$6:$G$1095,4,0),"")</f>
        <v>0</v>
      </c>
      <c r="G38" s="92" t="str">
        <f>IF('CONT. ESTOQUE'!$B38&lt;&gt;"",IF('CONT. ESTOQUE'!$E38=0,"Sem Estoque",IF('CONT. ESTOQUE'!$E38&lt;'CONT. ESTOQUE'!$F38,"Estoque Perigoso","Estoque Confortável")),"")</f>
        <v>Sem Estoque</v>
      </c>
      <c r="H38" s="93">
        <f>SUMIF(SAÍDAS!$C$7:$C$289,'CONT. ESTOQUE'!$B38,SAÍDAS!$L$7:$L$289)</f>
        <v>0</v>
      </c>
      <c r="I38" s="93">
        <f>SUMIF(ENTRADAS!$C$8:$C$1002,'CONT. ESTOQUE'!$B38,ENTRADAS!$H$7:$H$1002)</f>
        <v>0</v>
      </c>
      <c r="J38" s="94">
        <f>'CONT. ESTOQUE'!$H38-'CONT. ESTOQUE'!$I38</f>
        <v>0</v>
      </c>
    </row>
    <row r="39" spans="2:10" s="114" customFormat="1" ht="15.75" customHeight="1">
      <c r="B39" s="91" t="str">
        <f>PROD!B39</f>
        <v>130-258</v>
      </c>
      <c r="C39" s="92">
        <f>IF('CONT. ESTOQUE'!$B39&lt;&gt;"",SUMIF(ENTRADAS!$C$7:$C$1002,'CONT. ESTOQUE'!$B39,ENTRADAS!$E$7:$E$1002),"")</f>
        <v>4</v>
      </c>
      <c r="D39" s="92">
        <f>IF('CONT. ESTOQUE'!$B39&lt;&gt;"",SUMIF(SAÍDAS!$C$7:$C$800,'CONT. ESTOQUE'!$B39,SAÍDAS!$J$7:$J$800),"")</f>
        <v>2</v>
      </c>
      <c r="E39" s="92">
        <f>IFERROR('CONT. ESTOQUE'!$C39-'CONT. ESTOQUE'!$D39,"")</f>
        <v>2</v>
      </c>
      <c r="F39" s="92">
        <f>IFERROR(VLOOKUP('CONT. ESTOQUE'!$B39,PROD!$B$6:$G$1095,4,0),"")</f>
        <v>0</v>
      </c>
      <c r="G39" s="92" t="str">
        <f>IF('CONT. ESTOQUE'!$B39&lt;&gt;"",IF('CONT. ESTOQUE'!$E39=0,"Sem Estoque",IF('CONT. ESTOQUE'!$E39&lt;'CONT. ESTOQUE'!$F39,"Estoque Perigoso","Estoque Confortável")),"")</f>
        <v>Estoque Confortável</v>
      </c>
      <c r="H39" s="93">
        <f>SUMIF(SAÍDAS!$C$7:$C$289,'CONT. ESTOQUE'!$B39,SAÍDAS!$L$7:$L$289)</f>
        <v>0</v>
      </c>
      <c r="I39" s="93">
        <f>SUMIF(ENTRADAS!$C$8:$C$1002,'CONT. ESTOQUE'!$B39,ENTRADAS!$H$7:$H$1002)</f>
        <v>0</v>
      </c>
      <c r="J39" s="94">
        <f>'CONT. ESTOQUE'!$H39-'CONT. ESTOQUE'!$I39</f>
        <v>0</v>
      </c>
    </row>
    <row r="40" spans="2:10" s="129" customFormat="1" ht="15.75" customHeight="1">
      <c r="B40" s="91" t="str">
        <f>PROD!B40</f>
        <v>130-250</v>
      </c>
      <c r="C40" s="92">
        <f>IF('CONT. ESTOQUE'!$B40&lt;&gt;"",SUMIF(ENTRADAS!$C$7:$C$1002,'CONT. ESTOQUE'!$B40,ENTRADAS!$E$7:$E$1002),"")</f>
        <v>5</v>
      </c>
      <c r="D40" s="92">
        <f>IF('CONT. ESTOQUE'!$B40&lt;&gt;"",SUMIF(SAÍDAS!$C$7:$C$800,'CONT. ESTOQUE'!$B40,SAÍDAS!$J$7:$J$800),"")</f>
        <v>1</v>
      </c>
      <c r="E40" s="92">
        <f>IFERROR('CONT. ESTOQUE'!$C40-'CONT. ESTOQUE'!$D40,"")</f>
        <v>4</v>
      </c>
      <c r="F40" s="92">
        <f>IFERROR(VLOOKUP('CONT. ESTOQUE'!$B40,PROD!$B$6:$G$1095,4,0),"")</f>
        <v>0</v>
      </c>
      <c r="G40" s="92" t="str">
        <f>IF('CONT. ESTOQUE'!$B40&lt;&gt;"",IF('CONT. ESTOQUE'!$E40=0,"Sem Estoque",IF('CONT. ESTOQUE'!$E40&lt;'CONT. ESTOQUE'!$F40,"Estoque Perigoso","Estoque Confortável")),"")</f>
        <v>Estoque Confortável</v>
      </c>
      <c r="H40" s="93">
        <f>SUMIF(SAÍDAS!$C$7:$C$289,'CONT. ESTOQUE'!$B40,SAÍDAS!$L$7:$L$289)</f>
        <v>0</v>
      </c>
      <c r="I40" s="93">
        <f>SUMIF(ENTRADAS!$C$8:$C$1002,'CONT. ESTOQUE'!$B40,ENTRADAS!$H$7:$H$1002)</f>
        <v>0</v>
      </c>
      <c r="J40" s="94">
        <f>'CONT. ESTOQUE'!$H40-'CONT. ESTOQUE'!$I40</f>
        <v>0</v>
      </c>
    </row>
    <row r="41" spans="2:10" s="114" customFormat="1" ht="15.75" customHeight="1">
      <c r="B41" s="91" t="str">
        <f>PROD!B41</f>
        <v>130-242</v>
      </c>
      <c r="C41" s="92">
        <f>IF('CONT. ESTOQUE'!$B41&lt;&gt;"",SUMIF(ENTRADAS!$C$7:$C$1002,'CONT. ESTOQUE'!$B41,ENTRADAS!$E$7:$E$1002),"")</f>
        <v>4</v>
      </c>
      <c r="D41" s="92">
        <f>IF('CONT. ESTOQUE'!$B41&lt;&gt;"",SUMIF(SAÍDAS!$C$7:$C$800,'CONT. ESTOQUE'!$B41,SAÍDAS!$J$7:$J$800),"")</f>
        <v>0</v>
      </c>
      <c r="E41" s="92">
        <f>IFERROR('CONT. ESTOQUE'!$C41-'CONT. ESTOQUE'!$D41,"")</f>
        <v>4</v>
      </c>
      <c r="F41" s="92">
        <f>IFERROR(VLOOKUP('CONT. ESTOQUE'!$B41,PROD!$B$6:$G$1095,4,0),"")</f>
        <v>0</v>
      </c>
      <c r="G41" s="92" t="str">
        <f>IF('CONT. ESTOQUE'!$B41&lt;&gt;"",IF('CONT. ESTOQUE'!$E41=0,"Sem Estoque",IF('CONT. ESTOQUE'!$E41&lt;'CONT. ESTOQUE'!$F41,"Estoque Perigoso","Estoque Confortável")),"")</f>
        <v>Estoque Confortável</v>
      </c>
      <c r="H41" s="93">
        <f>SUMIF(SAÍDAS!$C$7:$C$289,'CONT. ESTOQUE'!$B41,SAÍDAS!$L$7:$L$289)</f>
        <v>0</v>
      </c>
      <c r="I41" s="93">
        <f>SUMIF(ENTRADAS!$C$8:$C$1002,'CONT. ESTOQUE'!$B41,ENTRADAS!$H$7:$H$1002)</f>
        <v>0</v>
      </c>
      <c r="J41" s="94">
        <f>'CONT. ESTOQUE'!$H41-'CONT. ESTOQUE'!$I41</f>
        <v>0</v>
      </c>
    </row>
    <row r="42" spans="2:10" s="129" customFormat="1" ht="15.75" customHeight="1">
      <c r="B42" s="91" t="str">
        <f>PROD!B42</f>
        <v>130-234</v>
      </c>
      <c r="C42" s="92">
        <f>IF('CONT. ESTOQUE'!$B42&lt;&gt;"",SUMIF(ENTRADAS!$C$7:$C$1002,'CONT. ESTOQUE'!$B42,ENTRADAS!$E$7:$E$1002),"")</f>
        <v>5</v>
      </c>
      <c r="D42" s="92">
        <f>IF('CONT. ESTOQUE'!$B42&lt;&gt;"",SUMIF(SAÍDAS!$C$7:$C$800,'CONT. ESTOQUE'!$B42,SAÍDAS!$J$7:$J$800),"")</f>
        <v>3</v>
      </c>
      <c r="E42" s="92">
        <f>IFERROR('CONT. ESTOQUE'!$C42-'CONT. ESTOQUE'!$D42,"")</f>
        <v>2</v>
      </c>
      <c r="F42" s="92">
        <f>IFERROR(VLOOKUP('CONT. ESTOQUE'!$B42,PROD!$B$6:$G$1095,4,0),"")</f>
        <v>0</v>
      </c>
      <c r="G42" s="92" t="str">
        <f>IF('CONT. ESTOQUE'!$B42&lt;&gt;"",IF('CONT. ESTOQUE'!$E42=0,"Sem Estoque",IF('CONT. ESTOQUE'!$E42&lt;'CONT. ESTOQUE'!$F42,"Estoque Perigoso","Estoque Confortável")),"")</f>
        <v>Estoque Confortável</v>
      </c>
      <c r="H42" s="93">
        <f>SUMIF(SAÍDAS!$C$7:$C$289,'CONT. ESTOQUE'!$B42,SAÍDAS!$L$7:$L$289)</f>
        <v>0</v>
      </c>
      <c r="I42" s="93">
        <f>SUMIF(ENTRADAS!$C$8:$C$1002,'CONT. ESTOQUE'!$B42,ENTRADAS!$H$7:$H$1002)</f>
        <v>0</v>
      </c>
      <c r="J42" s="94">
        <f>'CONT. ESTOQUE'!$H42-'CONT. ESTOQUE'!$I42</f>
        <v>0</v>
      </c>
    </row>
    <row r="43" spans="2:10" s="114" customFormat="1" ht="15.75" customHeight="1">
      <c r="B43" s="91" t="str">
        <f>PROD!B43</f>
        <v>130-226</v>
      </c>
      <c r="C43" s="92">
        <f>IF('CONT. ESTOQUE'!$B43&lt;&gt;"",SUMIF(ENTRADAS!$C$7:$C$1002,'CONT. ESTOQUE'!$B43,ENTRADAS!$E$7:$E$1002),"")</f>
        <v>4</v>
      </c>
      <c r="D43" s="92">
        <f>IF('CONT. ESTOQUE'!$B43&lt;&gt;"",SUMIF(SAÍDAS!$C$7:$C$800,'CONT. ESTOQUE'!$B43,SAÍDAS!$J$7:$J$800),"")</f>
        <v>2</v>
      </c>
      <c r="E43" s="92">
        <f>IFERROR('CONT. ESTOQUE'!$C43-'CONT. ESTOQUE'!$D43,"")</f>
        <v>2</v>
      </c>
      <c r="F43" s="92">
        <f>IFERROR(VLOOKUP('CONT. ESTOQUE'!$B43,PROD!$B$6:$G$1095,4,0),"")</f>
        <v>0</v>
      </c>
      <c r="G43" s="92" t="str">
        <f>IF('CONT. ESTOQUE'!$B43&lt;&gt;"",IF('CONT. ESTOQUE'!$E43=0,"Sem Estoque",IF('CONT. ESTOQUE'!$E43&lt;'CONT. ESTOQUE'!$F43,"Estoque Perigoso","Estoque Confortável")),"")</f>
        <v>Estoque Confortável</v>
      </c>
      <c r="H43" s="93">
        <f>SUMIF(SAÍDAS!$C$7:$C$289,'CONT. ESTOQUE'!$B43,SAÍDAS!$L$7:$L$289)</f>
        <v>0</v>
      </c>
      <c r="I43" s="93">
        <f>SUMIF(ENTRADAS!$C$8:$C$1002,'CONT. ESTOQUE'!$B43,ENTRADAS!$H$7:$H$1002)</f>
        <v>0</v>
      </c>
      <c r="J43" s="94">
        <f>'CONT. ESTOQUE'!$H43-'CONT. ESTOQUE'!$I43</f>
        <v>0</v>
      </c>
    </row>
    <row r="44" spans="2:10" s="129" customFormat="1" ht="15.75" customHeight="1">
      <c r="B44" s="91" t="str">
        <f>PROD!B44</f>
        <v>130-218</v>
      </c>
      <c r="C44" s="92">
        <f>IF('CONT. ESTOQUE'!$B44&lt;&gt;"",SUMIF(ENTRADAS!$C$7:$C$1002,'CONT. ESTOQUE'!$B44,ENTRADAS!$E$7:$E$1002),"")</f>
        <v>4</v>
      </c>
      <c r="D44" s="92">
        <f>IF('CONT. ESTOQUE'!$B44&lt;&gt;"",SUMIF(SAÍDAS!$C$7:$C$800,'CONT. ESTOQUE'!$B44,SAÍDAS!$J$7:$J$800),"")</f>
        <v>0</v>
      </c>
      <c r="E44" s="92">
        <f>IFERROR('CONT. ESTOQUE'!$C44-'CONT. ESTOQUE'!$D44,"")</f>
        <v>4</v>
      </c>
      <c r="F44" s="92">
        <f>IFERROR(VLOOKUP('CONT. ESTOQUE'!$B44,PROD!$B$6:$G$1095,4,0),"")</f>
        <v>0</v>
      </c>
      <c r="G44" s="92" t="str">
        <f>IF('CONT. ESTOQUE'!$B44&lt;&gt;"",IF('CONT. ESTOQUE'!$E44=0,"Sem Estoque",IF('CONT. ESTOQUE'!$E44&lt;'CONT. ESTOQUE'!$F44,"Estoque Perigoso","Estoque Confortável")),"")</f>
        <v>Estoque Confortável</v>
      </c>
      <c r="H44" s="93">
        <f>SUMIF(SAÍDAS!$C$7:$C$289,'CONT. ESTOQUE'!$B44,SAÍDAS!$L$7:$L$289)</f>
        <v>0</v>
      </c>
      <c r="I44" s="93">
        <f>SUMIF(ENTRADAS!$C$8:$C$1002,'CONT. ESTOQUE'!$B44,ENTRADAS!$H$7:$H$1002)</f>
        <v>0</v>
      </c>
      <c r="J44" s="94">
        <f>'CONT. ESTOQUE'!$H44-'CONT. ESTOQUE'!$I44</f>
        <v>0</v>
      </c>
    </row>
    <row r="45" spans="2:10" s="114" customFormat="1" ht="15.75" customHeight="1">
      <c r="B45" s="120" t="str">
        <f>PROD!B45</f>
        <v>-</v>
      </c>
      <c r="C45" s="122">
        <f>IF('CONT. ESTOQUE'!$B45&lt;&gt;"",SUMIF(ENTRADAS!$C$7:$C$1002,'CONT. ESTOQUE'!$B45,ENTRADAS!$E$7:$E$1002),"")</f>
        <v>0</v>
      </c>
      <c r="D45" s="92">
        <f>IF('CONT. ESTOQUE'!$B45&lt;&gt;"",SUMIF(SAÍDAS!$C$7:$C$800,'CONT. ESTOQUE'!$B45,SAÍDAS!$J$7:$J$800),"")</f>
        <v>0</v>
      </c>
      <c r="E45" s="122">
        <f>IFERROR('CONT. ESTOQUE'!$C45-'CONT. ESTOQUE'!$D45,"")</f>
        <v>0</v>
      </c>
      <c r="F45" s="122">
        <f>IFERROR(VLOOKUP('CONT. ESTOQUE'!$B45,PROD!$B$6:$G$1095,4,0),"")</f>
        <v>0</v>
      </c>
      <c r="G45" s="122" t="str">
        <f>IF('CONT. ESTOQUE'!$B45&lt;&gt;"",IF('CONT. ESTOQUE'!$E45=0,"Sem Estoque",IF('CONT. ESTOQUE'!$E45&lt;'CONT. ESTOQUE'!$F45,"Estoque Perigoso","Estoque Confortável")),"")</f>
        <v>Sem Estoque</v>
      </c>
      <c r="H45" s="123">
        <f>SUMIF(SAÍDAS!$C$7:$C$289,'CONT. ESTOQUE'!$B45,SAÍDAS!$L$7:$L$289)</f>
        <v>0</v>
      </c>
      <c r="I45" s="123">
        <f>SUMIF(ENTRADAS!$C$8:$C$1002,'CONT. ESTOQUE'!$B45,ENTRADAS!$H$7:$H$1002)</f>
        <v>0</v>
      </c>
      <c r="J45" s="124">
        <f>'CONT. ESTOQUE'!$H45-'CONT. ESTOQUE'!$I45</f>
        <v>0</v>
      </c>
    </row>
    <row r="46" spans="2:10" ht="15.75" customHeight="1">
      <c r="B46" s="120" t="str">
        <f>PROD!B46</f>
        <v>VL100</v>
      </c>
      <c r="C46" s="92">
        <f>IF('CONT. ESTOQUE'!$B46&lt;&gt;"",SUMIF(ENTRADAS!$C$7:$C$1002,'CONT. ESTOQUE'!$B46,ENTRADAS!$E$7:$E$1002),"")</f>
        <v>0</v>
      </c>
      <c r="D46" s="92">
        <f>IF('CONT. ESTOQUE'!$B46&lt;&gt;"",SUMIF(SAÍDAS!$C$7:$C$800,'CONT. ESTOQUE'!$B46,SAÍDAS!$J$7:$J$800),"")</f>
        <v>0</v>
      </c>
      <c r="E46" s="92">
        <f>IFERROR('CONT. ESTOQUE'!$C46-'CONT. ESTOQUE'!$D46,"")</f>
        <v>0</v>
      </c>
      <c r="F46" s="92">
        <f>IFERROR(VLOOKUP('CONT. ESTOQUE'!$B46,PROD!$B$6:$G$1095,4,0),"")</f>
        <v>0</v>
      </c>
      <c r="G46" s="92" t="str">
        <f>IF('CONT. ESTOQUE'!$B46&lt;&gt;"",IF('CONT. ESTOQUE'!$E46=0,"Sem Estoque",IF('CONT. ESTOQUE'!$E46&lt;'CONT. ESTOQUE'!$F46,"Estoque Perigoso","Estoque Confortável")),"")</f>
        <v>Sem Estoque</v>
      </c>
      <c r="H46" s="93">
        <f>SUMIF(SAÍDAS!$C$7:$C$289,'CONT. ESTOQUE'!$B46,SAÍDAS!$L$7:$L$289)</f>
        <v>0</v>
      </c>
      <c r="I46" s="93">
        <f>SUMIF(ENTRADAS!$C$8:$C$1002,'CONT. ESTOQUE'!$B46,ENTRADAS!$H$7:$H$1002)</f>
        <v>0</v>
      </c>
      <c r="J46" s="94">
        <f>'CONT. ESTOQUE'!$H46-'CONT. ESTOQUE'!$I46</f>
        <v>0</v>
      </c>
    </row>
    <row r="47" spans="2:10" ht="15.75" customHeight="1">
      <c r="B47" s="91" t="str">
        <f>PROD!B47</f>
        <v>VL100-258</v>
      </c>
      <c r="C47" s="92">
        <f>IF('CONT. ESTOQUE'!$B47&lt;&gt;"",SUMIF(ENTRADAS!$C$7:$C$1002,'CONT. ESTOQUE'!$B47,ENTRADAS!$E$7:$E$1002),"")</f>
        <v>6</v>
      </c>
      <c r="D47" s="92">
        <f>IF('CONT. ESTOQUE'!$B47&lt;&gt;"",SUMIF(SAÍDAS!$C$7:$C$800,'CONT. ESTOQUE'!$B47,SAÍDAS!$J$7:$J$800),"")</f>
        <v>2</v>
      </c>
      <c r="E47" s="92">
        <f>IFERROR('CONT. ESTOQUE'!$C47-'CONT. ESTOQUE'!$D47,"")</f>
        <v>4</v>
      </c>
      <c r="F47" s="92">
        <f>IFERROR(VLOOKUP('CONT. ESTOQUE'!$B47,PROD!$B$6:$G$1095,4,0),"")</f>
        <v>0</v>
      </c>
      <c r="G47" s="92" t="str">
        <f>IF('CONT. ESTOQUE'!$B47&lt;&gt;"",IF('CONT. ESTOQUE'!$E47=0,"Sem Estoque",IF('CONT. ESTOQUE'!$E47&lt;'CONT. ESTOQUE'!$F47,"Estoque Perigoso","Estoque Confortável")),"")</f>
        <v>Estoque Confortável</v>
      </c>
      <c r="H47" s="93">
        <f>SUMIF(SAÍDAS!$C$7:$C$289,'CONT. ESTOQUE'!$B47,SAÍDAS!$L$7:$L$289)</f>
        <v>0</v>
      </c>
      <c r="I47" s="93">
        <f>SUMIF(ENTRADAS!$C$8:$C$1002,'CONT. ESTOQUE'!$B47,ENTRADAS!$H$7:$H$1002)</f>
        <v>0</v>
      </c>
      <c r="J47" s="94">
        <f>'CONT. ESTOQUE'!$H47-'CONT. ESTOQUE'!$I47</f>
        <v>0</v>
      </c>
    </row>
    <row r="48" spans="2:10" ht="15.75" customHeight="1">
      <c r="B48" s="91" t="str">
        <f>PROD!B48</f>
        <v>VL100-250</v>
      </c>
      <c r="C48" s="92">
        <f>IF('CONT. ESTOQUE'!$B48&lt;&gt;"",SUMIF(ENTRADAS!$C$7:$C$1002,'CONT. ESTOQUE'!$B48,ENTRADAS!$E$7:$E$1002),"")</f>
        <v>6</v>
      </c>
      <c r="D48" s="92">
        <f>IF('CONT. ESTOQUE'!$B48&lt;&gt;"",SUMIF(SAÍDAS!$C$7:$C$800,'CONT. ESTOQUE'!$B48,SAÍDAS!$J$7:$J$800),"")</f>
        <v>3</v>
      </c>
      <c r="E48" s="92">
        <f>IFERROR('CONT. ESTOQUE'!$C48-'CONT. ESTOQUE'!$D48,"")</f>
        <v>3</v>
      </c>
      <c r="F48" s="92">
        <f>IFERROR(VLOOKUP('CONT. ESTOQUE'!$B48,PROD!$B$6:$G$1095,4,0),"")</f>
        <v>0</v>
      </c>
      <c r="G48" s="92" t="str">
        <f>IF('CONT. ESTOQUE'!$B48&lt;&gt;"",IF('CONT. ESTOQUE'!$E48=0,"Sem Estoque",IF('CONT. ESTOQUE'!$E48&lt;'CONT. ESTOQUE'!$F48,"Estoque Perigoso","Estoque Confortável")),"")</f>
        <v>Estoque Confortável</v>
      </c>
      <c r="H48" s="93">
        <f>SUMIF(SAÍDAS!$C$7:$C$289,'CONT. ESTOQUE'!$B48,SAÍDAS!$L$7:$L$289)</f>
        <v>0</v>
      </c>
      <c r="I48" s="93">
        <f>SUMIF(ENTRADAS!$C$8:$C$1002,'CONT. ESTOQUE'!$B48,ENTRADAS!$H$7:$H$1002)</f>
        <v>0</v>
      </c>
      <c r="J48" s="94">
        <f>'CONT. ESTOQUE'!$H48-'CONT. ESTOQUE'!$I48</f>
        <v>0</v>
      </c>
    </row>
    <row r="49" spans="2:10" ht="15.75" customHeight="1">
      <c r="B49" s="91" t="str">
        <f>PROD!B49</f>
        <v>VL100-242</v>
      </c>
      <c r="C49" s="92">
        <f>IF('CONT. ESTOQUE'!$B49&lt;&gt;"",SUMIF(ENTRADAS!$C$7:$C$1002,'CONT. ESTOQUE'!$B49,ENTRADAS!$E$7:$E$1002),"")</f>
        <v>7</v>
      </c>
      <c r="D49" s="92">
        <f>IF('CONT. ESTOQUE'!$B49&lt;&gt;"",SUMIF(SAÍDAS!$C$7:$C$800,'CONT. ESTOQUE'!$B49,SAÍDAS!$J$7:$J$800),"")</f>
        <v>1</v>
      </c>
      <c r="E49" s="92">
        <f>IFERROR('CONT. ESTOQUE'!$C49-'CONT. ESTOQUE'!$D49,"")</f>
        <v>6</v>
      </c>
      <c r="F49" s="92">
        <f>IFERROR(VLOOKUP('CONT. ESTOQUE'!$B49,PROD!$B$6:$G$1095,4,0),"")</f>
        <v>0</v>
      </c>
      <c r="G49" s="92" t="str">
        <f>IF('CONT. ESTOQUE'!$B49&lt;&gt;"",IF('CONT. ESTOQUE'!$E49=0,"Sem Estoque",IF('CONT. ESTOQUE'!$E49&lt;'CONT. ESTOQUE'!$F49,"Estoque Perigoso","Estoque Confortável")),"")</f>
        <v>Estoque Confortável</v>
      </c>
      <c r="H49" s="93">
        <f>SUMIF(SAÍDAS!$C$7:$C$289,'CONT. ESTOQUE'!$B49,SAÍDAS!$L$7:$L$289)</f>
        <v>0</v>
      </c>
      <c r="I49" s="93">
        <f>SUMIF(ENTRADAS!$C$8:$C$1002,'CONT. ESTOQUE'!$B49,ENTRADAS!$H$7:$H$1002)</f>
        <v>0</v>
      </c>
      <c r="J49" s="94">
        <f>'CONT. ESTOQUE'!$H49-'CONT. ESTOQUE'!$I49</f>
        <v>0</v>
      </c>
    </row>
    <row r="50" spans="2:10" ht="15.75" customHeight="1">
      <c r="B50" s="91" t="str">
        <f>PROD!B50</f>
        <v>VL100-234</v>
      </c>
      <c r="C50" s="92">
        <f>IF('CONT. ESTOQUE'!$B50&lt;&gt;"",SUMIF(ENTRADAS!$C$7:$C$1002,'CONT. ESTOQUE'!$B50,ENTRADAS!$E$7:$E$1002),"")</f>
        <v>9</v>
      </c>
      <c r="D50" s="92">
        <f>IF('CONT. ESTOQUE'!$B50&lt;&gt;"",SUMIF(SAÍDAS!$C$7:$C$800,'CONT. ESTOQUE'!$B50,SAÍDAS!$J$7:$J$800),"")</f>
        <v>3</v>
      </c>
      <c r="E50" s="92">
        <f>IFERROR('CONT. ESTOQUE'!$C50-'CONT. ESTOQUE'!$D50,"")</f>
        <v>6</v>
      </c>
      <c r="F50" s="92">
        <f>IFERROR(VLOOKUP('CONT. ESTOQUE'!$B50,PROD!$B$6:$G$1095,4,0),"")</f>
        <v>0</v>
      </c>
      <c r="G50" s="92" t="str">
        <f>IF('CONT. ESTOQUE'!$B50&lt;&gt;"",IF('CONT. ESTOQUE'!$E50=0,"Sem Estoque",IF('CONT. ESTOQUE'!$E50&lt;'CONT. ESTOQUE'!$F50,"Estoque Perigoso","Estoque Confortável")),"")</f>
        <v>Estoque Confortável</v>
      </c>
      <c r="H50" s="93">
        <f>SUMIF(SAÍDAS!$C$7:$C$289,'CONT. ESTOQUE'!$B50,SAÍDAS!$L$7:$L$289)</f>
        <v>0</v>
      </c>
      <c r="I50" s="93">
        <f>SUMIF(ENTRADAS!$C$8:$C$1002,'CONT. ESTOQUE'!$B50,ENTRADAS!$H$7:$H$1002)</f>
        <v>0</v>
      </c>
      <c r="J50" s="94">
        <f>'CONT. ESTOQUE'!$H50-'CONT. ESTOQUE'!$I50</f>
        <v>0</v>
      </c>
    </row>
    <row r="51" spans="2:10" ht="15.75" customHeight="1">
      <c r="B51" s="91" t="str">
        <f>PROD!B51</f>
        <v>VL100-226</v>
      </c>
      <c r="C51" s="92">
        <f>IF('CONT. ESTOQUE'!$B51&lt;&gt;"",SUMIF(ENTRADAS!$C$7:$C$1002,'CONT. ESTOQUE'!$B51,ENTRADAS!$E$7:$E$1002),"")</f>
        <v>9</v>
      </c>
      <c r="D51" s="92">
        <f>IF('CONT. ESTOQUE'!$B51&lt;&gt;"",SUMIF(SAÍDAS!$C$7:$C$800,'CONT. ESTOQUE'!$B51,SAÍDAS!$J$7:$J$800),"")</f>
        <v>2</v>
      </c>
      <c r="E51" s="92">
        <f>IFERROR('CONT. ESTOQUE'!$C51-'CONT. ESTOQUE'!$D51,"")</f>
        <v>7</v>
      </c>
      <c r="F51" s="92">
        <f>IFERROR(VLOOKUP('CONT. ESTOQUE'!$B51,PROD!$B$6:$G$1095,4,0),"")</f>
        <v>0</v>
      </c>
      <c r="G51" s="92" t="str">
        <f>IF('CONT. ESTOQUE'!$B51&lt;&gt;"",IF('CONT. ESTOQUE'!$E51=0,"Sem Estoque",IF('CONT. ESTOQUE'!$E51&lt;'CONT. ESTOQUE'!$F51,"Estoque Perigoso","Estoque Confortável")),"")</f>
        <v>Estoque Confortável</v>
      </c>
      <c r="H51" s="93">
        <f>SUMIF(SAÍDAS!$C$7:$C$289,'CONT. ESTOQUE'!$B51,SAÍDAS!$L$7:$L$289)</f>
        <v>0</v>
      </c>
      <c r="I51" s="93">
        <f>SUMIF(ENTRADAS!$C$8:$C$1002,'CONT. ESTOQUE'!$B51,ENTRADAS!$H$7:$H$1002)</f>
        <v>0</v>
      </c>
      <c r="J51" s="94">
        <f>'CONT. ESTOQUE'!$H51-'CONT. ESTOQUE'!$I51</f>
        <v>0</v>
      </c>
    </row>
    <row r="52" spans="2:10" ht="15.75" customHeight="1">
      <c r="B52" s="91" t="str">
        <f>PROD!B52</f>
        <v>VL100-218</v>
      </c>
      <c r="C52" s="92">
        <f>IF('CONT. ESTOQUE'!$B52&lt;&gt;"",SUMIF(ENTRADAS!$C$7:$C$1002,'CONT. ESTOQUE'!$B52,ENTRADAS!$E$7:$E$1002),"")</f>
        <v>4</v>
      </c>
      <c r="D52" s="92">
        <f>IF('CONT. ESTOQUE'!$B52&lt;&gt;"",SUMIF(SAÍDAS!$C$7:$C$800,'CONT. ESTOQUE'!$B52,SAÍDAS!$J$7:$J$800),"")</f>
        <v>0</v>
      </c>
      <c r="E52" s="92">
        <f>IFERROR('CONT. ESTOQUE'!$C52-'CONT. ESTOQUE'!$D52,"")</f>
        <v>4</v>
      </c>
      <c r="F52" s="92">
        <f>IFERROR(VLOOKUP('CONT. ESTOQUE'!$B52,PROD!$B$6:$G$1095,4,0),"")</f>
        <v>0</v>
      </c>
      <c r="G52" s="92" t="str">
        <f>IF('CONT. ESTOQUE'!$B52&lt;&gt;"",IF('CONT. ESTOQUE'!$E52=0,"Sem Estoque",IF('CONT. ESTOQUE'!$E52&lt;'CONT. ESTOQUE'!$F52,"Estoque Perigoso","Estoque Confortável")),"")</f>
        <v>Estoque Confortável</v>
      </c>
      <c r="H52" s="93">
        <f>SUMIF(SAÍDAS!$C$7:$C$289,'CONT. ESTOQUE'!$B52,SAÍDAS!$L$7:$L$289)</f>
        <v>0</v>
      </c>
      <c r="I52" s="93">
        <f>SUMIF(ENTRADAS!$C$8:$C$1002,'CONT. ESTOQUE'!$B52,ENTRADAS!$H$7:$H$1002)</f>
        <v>0</v>
      </c>
      <c r="J52" s="94">
        <f>'CONT. ESTOQUE'!$H52-'CONT. ESTOQUE'!$I52</f>
        <v>0</v>
      </c>
    </row>
    <row r="53" spans="2:10" s="121" customFormat="1" ht="15.75" customHeight="1">
      <c r="B53" s="91" t="str">
        <f>PROD!B53</f>
        <v>VL100-210</v>
      </c>
      <c r="C53" s="92">
        <f>IF('CONT. ESTOQUE'!$B53&lt;&gt;"",SUMIF(ENTRADAS!$C$7:$C$1002,'CONT. ESTOQUE'!$B53,ENTRADAS!$E$7:$E$1002),"")</f>
        <v>2</v>
      </c>
      <c r="D53" s="92">
        <f>IF('CONT. ESTOQUE'!$B53&lt;&gt;"",SUMIF(SAÍDAS!$C$7:$C$800,'CONT. ESTOQUE'!$B53,SAÍDAS!$J$7:$J$800),"")</f>
        <v>0</v>
      </c>
      <c r="E53" s="92">
        <f>IFERROR('CONT. ESTOQUE'!$C53-'CONT. ESTOQUE'!$D53,"")</f>
        <v>2</v>
      </c>
      <c r="F53" s="92">
        <f>IFERROR(VLOOKUP('CONT. ESTOQUE'!$B53,PROD!$B$6:$G$1095,4,0),"")</f>
        <v>0</v>
      </c>
      <c r="G53" s="92" t="str">
        <f>IF('CONT. ESTOQUE'!$B53&lt;&gt;"",IF('CONT. ESTOQUE'!$E53=0,"Sem Estoque",IF('CONT. ESTOQUE'!$E53&lt;'CONT. ESTOQUE'!$F53,"Estoque Perigoso","Estoque Confortável")),"")</f>
        <v>Estoque Confortável</v>
      </c>
      <c r="H53" s="93">
        <f>SUMIF(SAÍDAS!$C$7:$C$289,'CONT. ESTOQUE'!$B53,SAÍDAS!$L$7:$L$289)</f>
        <v>0</v>
      </c>
      <c r="I53" s="93">
        <f>SUMIF(ENTRADAS!$C$8:$C$1002,'CONT. ESTOQUE'!$B53,ENTRADAS!$H$7:$H$1002)</f>
        <v>0</v>
      </c>
      <c r="J53" s="94">
        <f>'CONT. ESTOQUE'!$H53-'CONT. ESTOQUE'!$I53</f>
        <v>0</v>
      </c>
    </row>
    <row r="54" spans="2:10" s="114" customFormat="1" ht="15.75" customHeight="1">
      <c r="B54" s="120" t="str">
        <f>PROD!B54</f>
        <v>-</v>
      </c>
      <c r="C54" s="122">
        <f>IF('CONT. ESTOQUE'!$B54&lt;&gt;"",SUMIF(ENTRADAS!$C$7:$C$1002,'CONT. ESTOQUE'!$B54,ENTRADAS!$E$7:$E$1002),"")</f>
        <v>0</v>
      </c>
      <c r="D54" s="92">
        <f>IF('CONT. ESTOQUE'!$B54&lt;&gt;"",SUMIF(SAÍDAS!$C$7:$C$800,'CONT. ESTOQUE'!$B54,SAÍDAS!$J$7:$J$800),"")</f>
        <v>0</v>
      </c>
      <c r="E54" s="122">
        <f>IFERROR('CONT. ESTOQUE'!$C54-'CONT. ESTOQUE'!$D54,"")</f>
        <v>0</v>
      </c>
      <c r="F54" s="122">
        <f>IFERROR(VLOOKUP('CONT. ESTOQUE'!$B54,PROD!$B$6:$G$1095,4,0),"")</f>
        <v>0</v>
      </c>
      <c r="G54" s="122" t="str">
        <f>IF('CONT. ESTOQUE'!$B54&lt;&gt;"",IF('CONT. ESTOQUE'!$E54=0,"Sem Estoque",IF('CONT. ESTOQUE'!$E54&lt;'CONT. ESTOQUE'!$F54,"Estoque Perigoso","Estoque Confortável")),"")</f>
        <v>Sem Estoque</v>
      </c>
      <c r="H54" s="123">
        <f>SUMIF(SAÍDAS!$C$7:$C$289,'CONT. ESTOQUE'!$B54,SAÍDAS!$L$7:$L$289)</f>
        <v>0</v>
      </c>
      <c r="I54" s="123">
        <f>SUMIF(ENTRADAS!$C$8:$C$1002,'CONT. ESTOQUE'!$B54,ENTRADAS!$H$7:$H$1002)</f>
        <v>0</v>
      </c>
      <c r="J54" s="124">
        <f>'CONT. ESTOQUE'!$H54-'CONT. ESTOQUE'!$I54</f>
        <v>0</v>
      </c>
    </row>
    <row r="55" spans="2:10" ht="15.75" customHeight="1">
      <c r="B55" s="120" t="str">
        <f>PROD!B55</f>
        <v>DV-RM</v>
      </c>
      <c r="C55" s="92">
        <f>IF('CONT. ESTOQUE'!$B55&lt;&gt;"",SUMIF(ENTRADAS!$C$7:$C$1002,'CONT. ESTOQUE'!$B55,ENTRADAS!$E$7:$E$1002),"")</f>
        <v>0</v>
      </c>
      <c r="D55" s="92">
        <f>IF('CONT. ESTOQUE'!$B55&lt;&gt;"",SUMIF(SAÍDAS!$C$7:$C$800,'CONT. ESTOQUE'!$B55,SAÍDAS!$J$7:$J$800),"")</f>
        <v>0</v>
      </c>
      <c r="E55" s="92">
        <f>IFERROR('CONT. ESTOQUE'!$C55-'CONT. ESTOQUE'!$D55,"")</f>
        <v>0</v>
      </c>
      <c r="F55" s="92">
        <f>IFERROR(VLOOKUP('CONT. ESTOQUE'!$B55,PROD!$B$6:$G$1095,4,0),"")</f>
        <v>0</v>
      </c>
      <c r="G55" s="92" t="str">
        <f>IF('CONT. ESTOQUE'!$B55&lt;&gt;"",IF('CONT. ESTOQUE'!$E55=0,"Sem Estoque",IF('CONT. ESTOQUE'!$E55&lt;'CONT. ESTOQUE'!$F55,"Estoque Perigoso","Estoque Confortável")),"")</f>
        <v>Sem Estoque</v>
      </c>
      <c r="H55" s="93">
        <f>SUMIF(SAÍDAS!$C$7:$C$289,'CONT. ESTOQUE'!$B55,SAÍDAS!$L$7:$L$289)</f>
        <v>0</v>
      </c>
      <c r="I55" s="93">
        <f>SUMIF(ENTRADAS!$C$8:$C$1002,'CONT. ESTOQUE'!$B55,ENTRADAS!$H$7:$H$1002)</f>
        <v>0</v>
      </c>
      <c r="J55" s="94">
        <f>'CONT. ESTOQUE'!$H55-'CONT. ESTOQUE'!$I55</f>
        <v>0</v>
      </c>
    </row>
    <row r="56" spans="2:10" ht="15.75" customHeight="1">
      <c r="B56" s="91" t="str">
        <f>PROD!B56</f>
        <v>RM-266</v>
      </c>
      <c r="C56" s="92">
        <f>IF('CONT. ESTOQUE'!$B56&lt;&gt;"",SUMIF(ENTRADAS!$C$7:$C$1002,'CONT. ESTOQUE'!$B56,ENTRADAS!$E$7:$E$1002),"")</f>
        <v>7</v>
      </c>
      <c r="D56" s="92">
        <f>IF('CONT. ESTOQUE'!$B56&lt;&gt;"",SUMIF(SAÍDAS!$C$7:$C$800,'CONT. ESTOQUE'!$B56,SAÍDAS!$J$7:$J$800),"")</f>
        <v>0</v>
      </c>
      <c r="E56" s="92">
        <f>IFERROR('CONT. ESTOQUE'!$C56-'CONT. ESTOQUE'!$D56,"")</f>
        <v>7</v>
      </c>
      <c r="F56" s="92">
        <f>IFERROR(VLOOKUP('CONT. ESTOQUE'!$B56,PROD!$B$6:$G$1095,4,0),"")</f>
        <v>0</v>
      </c>
      <c r="G56" s="92" t="str">
        <f>IF('CONT. ESTOQUE'!$B56&lt;&gt;"",IF('CONT. ESTOQUE'!$E56=0,"Sem Estoque",IF('CONT. ESTOQUE'!$E56&lt;'CONT. ESTOQUE'!$F56,"Estoque Perigoso","Estoque Confortável")),"")</f>
        <v>Estoque Confortável</v>
      </c>
      <c r="H56" s="93">
        <f>SUMIF(SAÍDAS!$C$7:$C$289,'CONT. ESTOQUE'!$B56,SAÍDAS!$L$7:$L$289)</f>
        <v>0</v>
      </c>
      <c r="I56" s="93">
        <f>SUMIF(ENTRADAS!$C$8:$C$1002,'CONT. ESTOQUE'!$B56,ENTRADAS!$H$7:$H$1002)</f>
        <v>0</v>
      </c>
      <c r="J56" s="94">
        <f>'CONT. ESTOQUE'!$H56-'CONT. ESTOQUE'!$I56</f>
        <v>0</v>
      </c>
    </row>
    <row r="57" spans="2:10" ht="15.75" customHeight="1">
      <c r="B57" s="91" t="str">
        <f>PROD!B57</f>
        <v>RM-258</v>
      </c>
      <c r="C57" s="92">
        <f>IF('CONT. ESTOQUE'!$B57&lt;&gt;"",SUMIF(ENTRADAS!$C$7:$C$1002,'CONT. ESTOQUE'!$B57,ENTRADAS!$E$7:$E$1002),"")</f>
        <v>7</v>
      </c>
      <c r="D57" s="92">
        <f>IF('CONT. ESTOQUE'!$B57&lt;&gt;"",SUMIF(SAÍDAS!$C$7:$C$800,'CONT. ESTOQUE'!$B57,SAÍDAS!$J$7:$J$800),"")</f>
        <v>0</v>
      </c>
      <c r="E57" s="92">
        <f>IFERROR('CONT. ESTOQUE'!$C57-'CONT. ESTOQUE'!$D57,"")</f>
        <v>7</v>
      </c>
      <c r="F57" s="92">
        <f>IFERROR(VLOOKUP('CONT. ESTOQUE'!$B57,PROD!$B$6:$G$1095,4,0),"")</f>
        <v>0</v>
      </c>
      <c r="G57" s="92" t="str">
        <f>IF('CONT. ESTOQUE'!$B57&lt;&gt;"",IF('CONT. ESTOQUE'!$E57=0,"Sem Estoque",IF('CONT. ESTOQUE'!$E57&lt;'CONT. ESTOQUE'!$F57,"Estoque Perigoso","Estoque Confortável")),"")</f>
        <v>Estoque Confortável</v>
      </c>
      <c r="H57" s="93">
        <f>SUMIF(SAÍDAS!$C$7:$C$289,'CONT. ESTOQUE'!$B57,SAÍDAS!$L$7:$L$289)</f>
        <v>0</v>
      </c>
      <c r="I57" s="93">
        <f>SUMIF(ENTRADAS!$C$8:$C$1002,'CONT. ESTOQUE'!$B57,ENTRADAS!$H$7:$H$1002)</f>
        <v>0</v>
      </c>
      <c r="J57" s="94">
        <f>'CONT. ESTOQUE'!$H57-'CONT. ESTOQUE'!$I57</f>
        <v>0</v>
      </c>
    </row>
    <row r="58" spans="2:10" ht="15.75" customHeight="1">
      <c r="B58" s="91" t="str">
        <f>PROD!B58</f>
        <v>RM-250</v>
      </c>
      <c r="C58" s="92">
        <f>IF('CONT. ESTOQUE'!$B58&lt;&gt;"",SUMIF(ENTRADAS!$C$7:$C$1002,'CONT. ESTOQUE'!$B58,ENTRADAS!$E$7:$E$1002),"")</f>
        <v>8</v>
      </c>
      <c r="D58" s="92">
        <f>IF('CONT. ESTOQUE'!$B58&lt;&gt;"",SUMIF(SAÍDAS!$C$7:$C$800,'CONT. ESTOQUE'!$B58,SAÍDAS!$J$7:$J$800),"")</f>
        <v>10</v>
      </c>
      <c r="E58" s="92">
        <f>IFERROR('CONT. ESTOQUE'!$C58-'CONT. ESTOQUE'!$D58,"")</f>
        <v>-2</v>
      </c>
      <c r="F58" s="92">
        <f>IFERROR(VLOOKUP('CONT. ESTOQUE'!$B58,PROD!$B$6:$G$1095,4,0),"")</f>
        <v>0</v>
      </c>
      <c r="G58" s="92" t="str">
        <f>IF('CONT. ESTOQUE'!$B58&lt;&gt;"",IF('CONT. ESTOQUE'!$E58=0,"Sem Estoque",IF('CONT. ESTOQUE'!$E58&lt;'CONT. ESTOQUE'!$F58,"Estoque Perigoso","Estoque Confortável")),"")</f>
        <v>Estoque Perigoso</v>
      </c>
      <c r="H58" s="93">
        <f>SUMIF(SAÍDAS!$C$7:$C$289,'CONT. ESTOQUE'!$B58,SAÍDAS!$L$7:$L$289)</f>
        <v>0</v>
      </c>
      <c r="I58" s="93">
        <f>SUMIF(ENTRADAS!$C$8:$C$1002,'CONT. ESTOQUE'!$B58,ENTRADAS!$H$7:$H$1002)</f>
        <v>0</v>
      </c>
      <c r="J58" s="94">
        <f>'CONT. ESTOQUE'!$H58-'CONT. ESTOQUE'!$I58</f>
        <v>0</v>
      </c>
    </row>
    <row r="59" spans="2:10" ht="15.75" customHeight="1">
      <c r="B59" s="91" t="str">
        <f>PROD!B59</f>
        <v>RM-242</v>
      </c>
      <c r="C59" s="92">
        <f>IF('CONT. ESTOQUE'!$B59&lt;&gt;"",SUMIF(ENTRADAS!$C$7:$C$1002,'CONT. ESTOQUE'!$B59,ENTRADAS!$E$7:$E$1002),"")</f>
        <v>7</v>
      </c>
      <c r="D59" s="92">
        <f>IF('CONT. ESTOQUE'!$B59&lt;&gt;"",SUMIF(SAÍDAS!$C$7:$C$800,'CONT. ESTOQUE'!$B59,SAÍDAS!$J$7:$J$800),"")</f>
        <v>2</v>
      </c>
      <c r="E59" s="92">
        <f>IFERROR('CONT. ESTOQUE'!$C59-'CONT. ESTOQUE'!$D59,"")</f>
        <v>5</v>
      </c>
      <c r="F59" s="92">
        <f>IFERROR(VLOOKUP('CONT. ESTOQUE'!$B59,PROD!$B$6:$G$1095,4,0),"")</f>
        <v>0</v>
      </c>
      <c r="G59" s="92" t="str">
        <f>IF('CONT. ESTOQUE'!$B59&lt;&gt;"",IF('CONT. ESTOQUE'!$E59=0,"Sem Estoque",IF('CONT. ESTOQUE'!$E59&lt;'CONT. ESTOQUE'!$F59,"Estoque Perigoso","Estoque Confortável")),"")</f>
        <v>Estoque Confortável</v>
      </c>
      <c r="H59" s="93">
        <f>SUMIF(SAÍDAS!$C$7:$C$289,'CONT. ESTOQUE'!$B59,SAÍDAS!$L$7:$L$289)</f>
        <v>0</v>
      </c>
      <c r="I59" s="93">
        <f>SUMIF(ENTRADAS!$C$8:$C$1002,'CONT. ESTOQUE'!$B59,ENTRADAS!$H$7:$H$1002)</f>
        <v>0</v>
      </c>
      <c r="J59" s="94">
        <f>'CONT. ESTOQUE'!$H59-'CONT. ESTOQUE'!$I59</f>
        <v>0</v>
      </c>
    </row>
    <row r="60" spans="2:10" ht="15.75" customHeight="1">
      <c r="B60" s="91" t="str">
        <f>PROD!B60</f>
        <v>RM-234</v>
      </c>
      <c r="C60" s="92">
        <f>IF('CONT. ESTOQUE'!$B60&lt;&gt;"",SUMIF(ENTRADAS!$C$7:$C$1002,'CONT. ESTOQUE'!$B60,ENTRADAS!$E$7:$E$1002),"")</f>
        <v>12</v>
      </c>
      <c r="D60" s="92">
        <f>IF('CONT. ESTOQUE'!$B60&lt;&gt;"",SUMIF(SAÍDAS!$C$7:$C$800,'CONT. ESTOQUE'!$B60,SAÍDAS!$J$7:$J$800),"")</f>
        <v>3</v>
      </c>
      <c r="E60" s="92">
        <f>IFERROR('CONT. ESTOQUE'!$C60-'CONT. ESTOQUE'!$D60,"")</f>
        <v>9</v>
      </c>
      <c r="F60" s="92">
        <f>IFERROR(VLOOKUP('CONT. ESTOQUE'!$B60,PROD!$B$6:$G$1095,4,0),"")</f>
        <v>0</v>
      </c>
      <c r="G60" s="92" t="str">
        <f>IF('CONT. ESTOQUE'!$B60&lt;&gt;"",IF('CONT. ESTOQUE'!$E60=0,"Sem Estoque",IF('CONT. ESTOQUE'!$E60&lt;'CONT. ESTOQUE'!$F60,"Estoque Perigoso","Estoque Confortável")),"")</f>
        <v>Estoque Confortável</v>
      </c>
      <c r="H60" s="93">
        <f>SUMIF(SAÍDAS!$C$7:$C$289,'CONT. ESTOQUE'!$B60,SAÍDAS!$L$7:$L$289)</f>
        <v>0</v>
      </c>
      <c r="I60" s="93">
        <f>SUMIF(ENTRADAS!$C$8:$C$1002,'CONT. ESTOQUE'!$B60,ENTRADAS!$H$7:$H$1002)</f>
        <v>0</v>
      </c>
      <c r="J60" s="94">
        <f>'CONT. ESTOQUE'!$H60-'CONT. ESTOQUE'!$I60</f>
        <v>0</v>
      </c>
    </row>
    <row r="61" spans="2:10" ht="15.75" customHeight="1">
      <c r="B61" s="91" t="str">
        <f>PROD!B61</f>
        <v>RM-226</v>
      </c>
      <c r="C61" s="92">
        <f>IF('CONT. ESTOQUE'!$B61&lt;&gt;"",SUMIF(ENTRADAS!$C$7:$C$1002,'CONT. ESTOQUE'!$B61,ENTRADAS!$E$7:$E$1002),"")</f>
        <v>8</v>
      </c>
      <c r="D61" s="92">
        <f>IF('CONT. ESTOQUE'!$B61&lt;&gt;"",SUMIF(SAÍDAS!$C$7:$C$800,'CONT. ESTOQUE'!$B61,SAÍDAS!$J$7:$J$800),"")</f>
        <v>1</v>
      </c>
      <c r="E61" s="92">
        <f>IFERROR('CONT. ESTOQUE'!$C61-'CONT. ESTOQUE'!$D61,"")</f>
        <v>7</v>
      </c>
      <c r="F61" s="92">
        <f>IFERROR(VLOOKUP('CONT. ESTOQUE'!$B61,PROD!$B$6:$G$1095,4,0),"")</f>
        <v>0</v>
      </c>
      <c r="G61" s="92" t="str">
        <f>IF('CONT. ESTOQUE'!$B61&lt;&gt;"",IF('CONT. ESTOQUE'!$E61=0,"Sem Estoque",IF('CONT. ESTOQUE'!$E61&lt;'CONT. ESTOQUE'!$F61,"Estoque Perigoso","Estoque Confortável")),"")</f>
        <v>Estoque Confortável</v>
      </c>
      <c r="H61" s="93">
        <f>SUMIF(SAÍDAS!$C$7:$C$289,'CONT. ESTOQUE'!$B61,SAÍDAS!$L$7:$L$289)</f>
        <v>0</v>
      </c>
      <c r="I61" s="93">
        <f>SUMIF(ENTRADAS!$C$8:$C$1002,'CONT. ESTOQUE'!$B61,ENTRADAS!$H$7:$H$1002)</f>
        <v>0</v>
      </c>
      <c r="J61" s="94">
        <f>'CONT. ESTOQUE'!$H61-'CONT. ESTOQUE'!$I61</f>
        <v>0</v>
      </c>
    </row>
    <row r="62" spans="2:10" ht="15.75" customHeight="1">
      <c r="B62" s="91" t="str">
        <f>PROD!B62</f>
        <v>RM-218</v>
      </c>
      <c r="C62" s="92">
        <f>IF('CONT. ESTOQUE'!$B62&lt;&gt;"",SUMIF(ENTRADAS!$C$7:$C$1002,'CONT. ESTOQUE'!$B62,ENTRADAS!$E$7:$E$1002),"")</f>
        <v>5</v>
      </c>
      <c r="D62" s="92">
        <f>IF('CONT. ESTOQUE'!$B62&lt;&gt;"",SUMIF(SAÍDAS!$C$7:$C$800,'CONT. ESTOQUE'!$B62,SAÍDAS!$J$7:$J$800),"")</f>
        <v>0</v>
      </c>
      <c r="E62" s="92">
        <f>IFERROR('CONT. ESTOQUE'!$C62-'CONT. ESTOQUE'!$D62,"")</f>
        <v>5</v>
      </c>
      <c r="F62" s="92">
        <f>IFERROR(VLOOKUP('CONT. ESTOQUE'!$B62,PROD!$B$6:$G$1095,4,0),"")</f>
        <v>0</v>
      </c>
      <c r="G62" s="92" t="str">
        <f>IF('CONT. ESTOQUE'!$B62&lt;&gt;"",IF('CONT. ESTOQUE'!$E62=0,"Sem Estoque",IF('CONT. ESTOQUE'!$E62&lt;'CONT. ESTOQUE'!$F62,"Estoque Perigoso","Estoque Confortável")),"")</f>
        <v>Estoque Confortável</v>
      </c>
      <c r="H62" s="93">
        <f>SUMIF(SAÍDAS!$C$7:$C$289,'CONT. ESTOQUE'!$B62,SAÍDAS!$L$7:$L$289)</f>
        <v>0</v>
      </c>
      <c r="I62" s="93">
        <f>SUMIF(ENTRADAS!$C$8:$C$1002,'CONT. ESTOQUE'!$B62,ENTRADAS!$H$7:$H$1002)</f>
        <v>0</v>
      </c>
      <c r="J62" s="94">
        <f>'CONT. ESTOQUE'!$H62-'CONT. ESTOQUE'!$I62</f>
        <v>0</v>
      </c>
    </row>
    <row r="63" spans="2:10" ht="15.75" customHeight="1">
      <c r="B63" s="91" t="str">
        <f>PROD!B63</f>
        <v>RM-210</v>
      </c>
      <c r="C63" s="92">
        <f>IF('CONT. ESTOQUE'!$B63&lt;&gt;"",SUMIF(ENTRADAS!$C$7:$C$1002,'CONT. ESTOQUE'!$B63,ENTRADAS!$E$7:$E$1002),"")</f>
        <v>1</v>
      </c>
      <c r="D63" s="92">
        <f>IF('CONT. ESTOQUE'!$B63&lt;&gt;"",SUMIF(SAÍDAS!$C$7:$C$800,'CONT. ESTOQUE'!$B63,SAÍDAS!$J$7:$J$800),"")</f>
        <v>1</v>
      </c>
      <c r="E63" s="92">
        <f>IFERROR('CONT. ESTOQUE'!$C63-'CONT. ESTOQUE'!$D63,"")</f>
        <v>0</v>
      </c>
      <c r="F63" s="92">
        <f>IFERROR(VLOOKUP('CONT. ESTOQUE'!$B63,PROD!$B$6:$G$1095,4,0),"")</f>
        <v>0</v>
      </c>
      <c r="G63" s="92" t="str">
        <f>IF('CONT. ESTOQUE'!$B63&lt;&gt;"",IF('CONT. ESTOQUE'!$E63=0,"Sem Estoque",IF('CONT. ESTOQUE'!$E63&lt;'CONT. ESTOQUE'!$F63,"Estoque Perigoso","Estoque Confortável")),"")</f>
        <v>Sem Estoque</v>
      </c>
      <c r="H63" s="93">
        <f>SUMIF(SAÍDAS!$C$7:$C$289,'CONT. ESTOQUE'!$B63,SAÍDAS!$L$7:$L$289)</f>
        <v>0</v>
      </c>
      <c r="I63" s="93">
        <f>SUMIF(ENTRADAS!$C$8:$C$1002,'CONT. ESTOQUE'!$B63,ENTRADAS!$H$7:$H$1002)</f>
        <v>0</v>
      </c>
      <c r="J63" s="94">
        <f>'CONT. ESTOQUE'!$H63-'CONT. ESTOQUE'!$I63</f>
        <v>0</v>
      </c>
    </row>
    <row r="64" spans="2:10" ht="15.75" customHeight="1">
      <c r="B64" s="91" t="str">
        <f>PROD!B64</f>
        <v>RM-198</v>
      </c>
      <c r="C64" s="92">
        <f>IF('CONT. ESTOQUE'!$B64&lt;&gt;"",SUMIF(ENTRADAS!$C$7:$C$1002,'CONT. ESTOQUE'!$B64,ENTRADAS!$E$7:$E$1002),"")</f>
        <v>5</v>
      </c>
      <c r="D64" s="92">
        <f>IF('CONT. ESTOQUE'!$B64&lt;&gt;"",SUMIF(SAÍDAS!$C$7:$C$800,'CONT. ESTOQUE'!$B64,SAÍDAS!$J$7:$J$800),"")</f>
        <v>3</v>
      </c>
      <c r="E64" s="92">
        <f>IFERROR('CONT. ESTOQUE'!$C64-'CONT. ESTOQUE'!$D64,"")</f>
        <v>2</v>
      </c>
      <c r="F64" s="92">
        <f>IFERROR(VLOOKUP('CONT. ESTOQUE'!$B64,PROD!$B$6:$G$1095,4,0),"")</f>
        <v>0</v>
      </c>
      <c r="G64" s="92" t="str">
        <f>IF('CONT. ESTOQUE'!$B64&lt;&gt;"",IF('CONT. ESTOQUE'!$E64=0,"Sem Estoque",IF('CONT. ESTOQUE'!$E64&lt;'CONT. ESTOQUE'!$F64,"Estoque Perigoso","Estoque Confortável")),"")</f>
        <v>Estoque Confortável</v>
      </c>
      <c r="H64" s="93">
        <f>SUMIF(SAÍDAS!$C$7:$C$289,'CONT. ESTOQUE'!$B64,SAÍDAS!$L$7:$L$289)</f>
        <v>0</v>
      </c>
      <c r="I64" s="93">
        <f>SUMIF(ENTRADAS!$C$8:$C$1002,'CONT. ESTOQUE'!$B64,ENTRADAS!$H$7:$H$1002)</f>
        <v>0</v>
      </c>
      <c r="J64" s="94">
        <f>'CONT. ESTOQUE'!$H64-'CONT. ESTOQUE'!$I64</f>
        <v>0</v>
      </c>
    </row>
    <row r="65" spans="2:10" ht="15.75" customHeight="1">
      <c r="B65" s="91" t="str">
        <f>PROD!B65</f>
        <v>RM-190</v>
      </c>
      <c r="C65" s="92">
        <f>IF('CONT. ESTOQUE'!$B65&lt;&gt;"",SUMIF(ENTRADAS!$C$7:$C$1002,'CONT. ESTOQUE'!$B65,ENTRADAS!$E$7:$E$1002),"")</f>
        <v>7</v>
      </c>
      <c r="D65" s="92">
        <f>IF('CONT. ESTOQUE'!$B65&lt;&gt;"",SUMIF(SAÍDAS!$C$7:$C$800,'CONT. ESTOQUE'!$B65,SAÍDAS!$J$7:$J$800),"")</f>
        <v>1</v>
      </c>
      <c r="E65" s="92">
        <f>IFERROR('CONT. ESTOQUE'!$C65-'CONT. ESTOQUE'!$D65,"")</f>
        <v>6</v>
      </c>
      <c r="F65" s="92">
        <f>IFERROR(VLOOKUP('CONT. ESTOQUE'!$B65,PROD!$B$6:$G$1095,4,0),"")</f>
        <v>0</v>
      </c>
      <c r="G65" s="92" t="str">
        <f>IF('CONT. ESTOQUE'!$B65&lt;&gt;"",IF('CONT. ESTOQUE'!$E65=0,"Sem Estoque",IF('CONT. ESTOQUE'!$E65&lt;'CONT. ESTOQUE'!$F65,"Estoque Perigoso","Estoque Confortável")),"")</f>
        <v>Estoque Confortável</v>
      </c>
      <c r="H65" s="93">
        <f>SUMIF(SAÍDAS!$C$7:$C$289,'CONT. ESTOQUE'!$B65,SAÍDAS!$L$7:$L$289)</f>
        <v>0</v>
      </c>
      <c r="I65" s="93">
        <f>SUMIF(ENTRADAS!$C$8:$C$1002,'CONT. ESTOQUE'!$B65,ENTRADAS!$H$7:$H$1002)</f>
        <v>0</v>
      </c>
      <c r="J65" s="94">
        <f>'CONT. ESTOQUE'!$H65-'CONT. ESTOQUE'!$I65</f>
        <v>0</v>
      </c>
    </row>
    <row r="66" spans="2:10" s="121" customFormat="1" ht="15.75" customHeight="1">
      <c r="B66" s="91" t="str">
        <f>PROD!B66</f>
        <v>RM-180</v>
      </c>
      <c r="C66" s="92">
        <f>IF('CONT. ESTOQUE'!$B66&lt;&gt;"",SUMIF(ENTRADAS!$C$7:$C$1002,'CONT. ESTOQUE'!$B66,ENTRADAS!$E$7:$E$1002),"")</f>
        <v>5</v>
      </c>
      <c r="D66" s="92">
        <f>IF('CONT. ESTOQUE'!$B66&lt;&gt;"",SUMIF(SAÍDAS!$C$7:$C$800,'CONT. ESTOQUE'!$B66,SAÍDAS!$J$7:$J$800),"")</f>
        <v>0</v>
      </c>
      <c r="E66" s="92">
        <f>IFERROR('CONT. ESTOQUE'!$C66-'CONT. ESTOQUE'!$D66,"")</f>
        <v>5</v>
      </c>
      <c r="F66" s="92">
        <f>IFERROR(VLOOKUP('CONT. ESTOQUE'!$B66,PROD!$B$6:$G$1095,4,0),"")</f>
        <v>0</v>
      </c>
      <c r="G66" s="92" t="str">
        <f>IF('CONT. ESTOQUE'!$B66&lt;&gt;"",IF('CONT. ESTOQUE'!$E66=0,"Sem Estoque",IF('CONT. ESTOQUE'!$E66&lt;'CONT. ESTOQUE'!$F66,"Estoque Perigoso","Estoque Confortável")),"")</f>
        <v>Estoque Confortável</v>
      </c>
      <c r="H66" s="93">
        <f>SUMIF(SAÍDAS!$C$7:$C$289,'CONT. ESTOQUE'!$B66,SAÍDAS!$L$7:$L$289)</f>
        <v>0</v>
      </c>
      <c r="I66" s="93">
        <f>SUMIF(ENTRADAS!$C$8:$C$1002,'CONT. ESTOQUE'!$B66,ENTRADAS!$H$7:$H$1002)</f>
        <v>0</v>
      </c>
      <c r="J66" s="94">
        <f>'CONT. ESTOQUE'!$H66-'CONT. ESTOQUE'!$I66</f>
        <v>0</v>
      </c>
    </row>
    <row r="67" spans="2:10" s="121" customFormat="1" ht="15.75" customHeight="1">
      <c r="B67" s="120" t="str">
        <f>PROD!B67</f>
        <v>-</v>
      </c>
      <c r="C67" s="122">
        <f>IF('CONT. ESTOQUE'!$B67&lt;&gt;"",SUMIF(ENTRADAS!$C$7:$C$1002,'CONT. ESTOQUE'!$B67,ENTRADAS!$E$7:$E$1002),"")</f>
        <v>0</v>
      </c>
      <c r="D67" s="92">
        <f>IF('CONT. ESTOQUE'!$B67&lt;&gt;"",SUMIF(SAÍDAS!$C$7:$C$800,'CONT. ESTOQUE'!$B67,SAÍDAS!$J$7:$J$800),"")</f>
        <v>0</v>
      </c>
      <c r="E67" s="122">
        <f>IFERROR('CONT. ESTOQUE'!$C67-'CONT. ESTOQUE'!$D67,"")</f>
        <v>0</v>
      </c>
      <c r="F67" s="122">
        <f>IFERROR(VLOOKUP('CONT. ESTOQUE'!$B67,PROD!$B$6:$G$1095,4,0),"")</f>
        <v>0</v>
      </c>
      <c r="G67" s="122" t="str">
        <f>IF('CONT. ESTOQUE'!$B67&lt;&gt;"",IF('CONT. ESTOQUE'!$E67=0,"Sem Estoque",IF('CONT. ESTOQUE'!$E67&lt;'CONT. ESTOQUE'!$F67,"Estoque Perigoso","Estoque Confortável")),"")</f>
        <v>Sem Estoque</v>
      </c>
      <c r="H67" s="123">
        <f>SUMIF(SAÍDAS!$C$7:$C$289,'CONT. ESTOQUE'!$B67,SAÍDAS!$L$7:$L$289)</f>
        <v>0</v>
      </c>
      <c r="I67" s="123">
        <f>SUMIF(ENTRADAS!$C$8:$C$1002,'CONT. ESTOQUE'!$B67,ENTRADAS!$H$7:$H$1002)</f>
        <v>0</v>
      </c>
      <c r="J67" s="124">
        <f>'CONT. ESTOQUE'!$H67-'CONT. ESTOQUE'!$I67</f>
        <v>0</v>
      </c>
    </row>
    <row r="68" spans="2:10" ht="15.75" customHeight="1">
      <c r="B68" s="120" t="str">
        <f>PROD!B68</f>
        <v>VT50L</v>
      </c>
      <c r="C68" s="122">
        <f>IF('CONT. ESTOQUE'!$B68&lt;&gt;"",SUMIF(ENTRADAS!$C$7:$C$1002,'CONT. ESTOQUE'!$B68,ENTRADAS!$E$7:$E$1002),"")</f>
        <v>0</v>
      </c>
      <c r="D68" s="92">
        <f>IF('CONT. ESTOQUE'!$B68&lt;&gt;"",SUMIF(SAÍDAS!$C$7:$C$800,'CONT. ESTOQUE'!$B68,SAÍDAS!$J$7:$J$800),"")</f>
        <v>0</v>
      </c>
      <c r="E68" s="122">
        <f>IFERROR('CONT. ESTOQUE'!$C68-'CONT. ESTOQUE'!$D68,"")</f>
        <v>0</v>
      </c>
      <c r="F68" s="122">
        <f>IFERROR(VLOOKUP('CONT. ESTOQUE'!$B68,PROD!$B$6:$G$1095,4,0),"")</f>
        <v>0</v>
      </c>
      <c r="G68" s="122" t="str">
        <f>IF('CONT. ESTOQUE'!$B68&lt;&gt;"",IF('CONT. ESTOQUE'!$E68=0,"Sem Estoque",IF('CONT. ESTOQUE'!$E68&lt;'CONT. ESTOQUE'!$F68,"Estoque Perigoso","Estoque Confortável")),"")</f>
        <v>Sem Estoque</v>
      </c>
      <c r="H68" s="123">
        <f>SUMIF(SAÍDAS!$C$7:$C$289,'CONT. ESTOQUE'!$B68,SAÍDAS!$L$7:$L$289)</f>
        <v>0</v>
      </c>
      <c r="I68" s="123">
        <f>SUMIF(ENTRADAS!$C$8:$C$1002,'CONT. ESTOQUE'!$B68,ENTRADAS!$H$7:$H$1002)</f>
        <v>0</v>
      </c>
      <c r="J68" s="124">
        <f>'CONT. ESTOQUE'!$H68-'CONT. ESTOQUE'!$I68</f>
        <v>0</v>
      </c>
    </row>
    <row r="69" spans="2:10" ht="15.75" customHeight="1">
      <c r="B69" s="91" t="str">
        <f>PROD!B69</f>
        <v>VT50-210</v>
      </c>
      <c r="C69" s="92">
        <f>IF('CONT. ESTOQUE'!$B69&lt;&gt;"",SUMIF(ENTRADAS!$C$7:$C$1002,'CONT. ESTOQUE'!$B69,ENTRADAS!$E$7:$E$1002),"")</f>
        <v>3</v>
      </c>
      <c r="D69" s="92">
        <f>IF('CONT. ESTOQUE'!$B69&lt;&gt;"",SUMIF(SAÍDAS!$C$7:$C$800,'CONT. ESTOQUE'!$B69,SAÍDAS!$J$7:$J$800),"")</f>
        <v>2</v>
      </c>
      <c r="E69" s="92">
        <f>IFERROR('CONT. ESTOQUE'!$C69-'CONT. ESTOQUE'!$D69,"")</f>
        <v>1</v>
      </c>
      <c r="F69" s="92">
        <f>IFERROR(VLOOKUP('CONT. ESTOQUE'!$B69,PROD!$B$6:$G$1095,4,0),"")</f>
        <v>0</v>
      </c>
      <c r="G69" s="92" t="str">
        <f>IF('CONT. ESTOQUE'!$B69&lt;&gt;"",IF('CONT. ESTOQUE'!$E69=0,"Sem Estoque",IF('CONT. ESTOQUE'!$E69&lt;'CONT. ESTOQUE'!$F69,"Estoque Perigoso","Estoque Confortável")),"")</f>
        <v>Estoque Confortável</v>
      </c>
      <c r="H69" s="93">
        <f>SUMIF(SAÍDAS!$C$7:$C$289,'CONT. ESTOQUE'!$B69,SAÍDAS!$L$7:$L$289)</f>
        <v>0</v>
      </c>
      <c r="I69" s="93">
        <f>SUMIF(ENTRADAS!$C$8:$C$1002,'CONT. ESTOQUE'!$B69,ENTRADAS!$H$7:$H$1002)</f>
        <v>0</v>
      </c>
      <c r="J69" s="94">
        <f>'CONT. ESTOQUE'!$H69-'CONT. ESTOQUE'!$I69</f>
        <v>0</v>
      </c>
    </row>
    <row r="70" spans="2:10" ht="15.75" customHeight="1">
      <c r="B70" s="91" t="str">
        <f>PROD!B70</f>
        <v>VT50-200</v>
      </c>
      <c r="C70" s="92">
        <f>IF('CONT. ESTOQUE'!$B70&lt;&gt;"",SUMIF(ENTRADAS!$C$7:$C$1002,'CONT. ESTOQUE'!$B70,ENTRADAS!$E$7:$E$1002),"")</f>
        <v>6</v>
      </c>
      <c r="D70" s="92">
        <f>IF('CONT. ESTOQUE'!$B70&lt;&gt;"",SUMIF(SAÍDAS!$C$7:$C$800,'CONT. ESTOQUE'!$B70,SAÍDAS!$J$7:$J$800),"")</f>
        <v>1</v>
      </c>
      <c r="E70" s="92">
        <f>IFERROR('CONT. ESTOQUE'!$C70-'CONT. ESTOQUE'!$D70,"")</f>
        <v>5</v>
      </c>
      <c r="F70" s="92">
        <f>IFERROR(VLOOKUP('CONT. ESTOQUE'!$B70,PROD!$B$6:$G$1095,4,0),"")</f>
        <v>0</v>
      </c>
      <c r="G70" s="92" t="str">
        <f>IF('CONT. ESTOQUE'!$B70&lt;&gt;"",IF('CONT. ESTOQUE'!$E70=0,"Sem Estoque",IF('CONT. ESTOQUE'!$E70&lt;'CONT. ESTOQUE'!$F70,"Estoque Perigoso","Estoque Confortável")),"")</f>
        <v>Estoque Confortável</v>
      </c>
      <c r="H70" s="93">
        <f>SUMIF(SAÍDAS!$C$7:$C$289,'CONT. ESTOQUE'!$B70,SAÍDAS!$L$7:$L$289)</f>
        <v>0</v>
      </c>
      <c r="I70" s="93">
        <f>SUMIF(ENTRADAS!$C$8:$C$1002,'CONT. ESTOQUE'!$B70,ENTRADAS!$H$7:$H$1002)</f>
        <v>0</v>
      </c>
      <c r="J70" s="94">
        <f>'CONT. ESTOQUE'!$H70-'CONT. ESTOQUE'!$I70</f>
        <v>0</v>
      </c>
    </row>
    <row r="71" spans="2:10" ht="15.75" customHeight="1">
      <c r="B71" s="91" t="str">
        <f>PROD!B71</f>
        <v>VT50-190</v>
      </c>
      <c r="C71" s="92">
        <f>IF('CONT. ESTOQUE'!$B71&lt;&gt;"",SUMIF(ENTRADAS!$C$7:$C$1002,'CONT. ESTOQUE'!$B71,ENTRADAS!$E$7:$E$1002),"")</f>
        <v>5</v>
      </c>
      <c r="D71" s="92">
        <f>IF('CONT. ESTOQUE'!$B71&lt;&gt;"",SUMIF(SAÍDAS!$C$7:$C$800,'CONT. ESTOQUE'!$B71,SAÍDAS!$J$7:$J$800),"")</f>
        <v>0</v>
      </c>
      <c r="E71" s="92">
        <f>IFERROR('CONT. ESTOQUE'!$C71-'CONT. ESTOQUE'!$D71,"")</f>
        <v>5</v>
      </c>
      <c r="F71" s="92">
        <f>IFERROR(VLOOKUP('CONT. ESTOQUE'!$B71,PROD!$B$6:$G$1095,4,0),"")</f>
        <v>0</v>
      </c>
      <c r="G71" s="92" t="str">
        <f>IF('CONT. ESTOQUE'!$B71&lt;&gt;"",IF('CONT. ESTOQUE'!$E71=0,"Sem Estoque",IF('CONT. ESTOQUE'!$E71&lt;'CONT. ESTOQUE'!$F71,"Estoque Perigoso","Estoque Confortável")),"")</f>
        <v>Estoque Confortável</v>
      </c>
      <c r="H71" s="93">
        <f>SUMIF(SAÍDAS!$C$7:$C$289,'CONT. ESTOQUE'!$B71,SAÍDAS!$L$7:$L$289)</f>
        <v>0</v>
      </c>
      <c r="I71" s="93">
        <f>SUMIF(ENTRADAS!$C$8:$C$1002,'CONT. ESTOQUE'!$B71,ENTRADAS!$H$7:$H$1002)</f>
        <v>0</v>
      </c>
      <c r="J71" s="94">
        <f>'CONT. ESTOQUE'!$H71-'CONT. ESTOQUE'!$I71</f>
        <v>0</v>
      </c>
    </row>
    <row r="72" spans="2:10" ht="15.75" customHeight="1">
      <c r="B72" s="120" t="str">
        <f>PROD!B72</f>
        <v>VT50-180</v>
      </c>
      <c r="C72" s="92">
        <f>IF('CONT. ESTOQUE'!$B72&lt;&gt;"",SUMIF(ENTRADAS!$C$7:$C$1002,'CONT. ESTOQUE'!$B72,ENTRADAS!$E$7:$E$1002),"")</f>
        <v>4</v>
      </c>
      <c r="D72" s="92">
        <f>IF('CONT. ESTOQUE'!$B72&lt;&gt;"",SUMIF(SAÍDAS!$C$7:$C$800,'CONT. ESTOQUE'!$B72,SAÍDAS!$J$7:$J$800),"")</f>
        <v>0</v>
      </c>
      <c r="E72" s="92">
        <f>IFERROR('CONT. ESTOQUE'!$C72-'CONT. ESTOQUE'!$D72,"")</f>
        <v>4</v>
      </c>
      <c r="F72" s="92">
        <f>IFERROR(VLOOKUP('CONT. ESTOQUE'!$B72,PROD!$B$6:$G$1095,4,0),"")</f>
        <v>0</v>
      </c>
      <c r="G72" s="92" t="str">
        <f>IF('CONT. ESTOQUE'!$B72&lt;&gt;"",IF('CONT. ESTOQUE'!$E72=0,"Sem Estoque",IF('CONT. ESTOQUE'!$E72&lt;'CONT. ESTOQUE'!$F72,"Estoque Perigoso","Estoque Confortável")),"")</f>
        <v>Estoque Confortável</v>
      </c>
      <c r="H72" s="93">
        <f>SUMIF(SAÍDAS!$C$7:$C$289,'CONT. ESTOQUE'!$B72,SAÍDAS!$L$7:$L$289)</f>
        <v>0</v>
      </c>
      <c r="I72" s="93">
        <f>SUMIF(ENTRADAS!$C$8:$C$1002,'CONT. ESTOQUE'!$B72,ENTRADAS!$H$7:$H$1002)</f>
        <v>0</v>
      </c>
      <c r="J72" s="94">
        <f>'CONT. ESTOQUE'!$H72-'CONT. ESTOQUE'!$I72</f>
        <v>0</v>
      </c>
    </row>
    <row r="73" spans="2:10" ht="15.75" customHeight="1">
      <c r="B73" s="91" t="str">
        <f>PROD!B73</f>
        <v>VT50-160</v>
      </c>
      <c r="C73" s="92">
        <f>IF('CONT. ESTOQUE'!$B73&lt;&gt;"",SUMIF(ENTRADAS!$C$7:$C$1002,'CONT. ESTOQUE'!$B73,ENTRADAS!$E$7:$E$1002),"")</f>
        <v>6</v>
      </c>
      <c r="D73" s="92">
        <f>IF('CONT. ESTOQUE'!$B73&lt;&gt;"",SUMIF(SAÍDAS!$C$7:$C$800,'CONT. ESTOQUE'!$B73,SAÍDAS!$J$7:$J$800),"")</f>
        <v>0</v>
      </c>
      <c r="E73" s="92">
        <f>IFERROR('CONT. ESTOQUE'!$C73-'CONT. ESTOQUE'!$D73,"")</f>
        <v>6</v>
      </c>
      <c r="F73" s="92">
        <f>IFERROR(VLOOKUP('CONT. ESTOQUE'!$B73,PROD!$B$6:$G$1095,4,0),"")</f>
        <v>0</v>
      </c>
      <c r="G73" s="92" t="str">
        <f>IF('CONT. ESTOQUE'!$B73&lt;&gt;"",IF('CONT. ESTOQUE'!$E73=0,"Sem Estoque",IF('CONT. ESTOQUE'!$E73&lt;'CONT. ESTOQUE'!$F73,"Estoque Perigoso","Estoque Confortável")),"")</f>
        <v>Estoque Confortável</v>
      </c>
      <c r="H73" s="93">
        <f>SUMIF(SAÍDAS!$C$7:$C$289,'CONT. ESTOQUE'!$B73,SAÍDAS!$L$7:$L$289)</f>
        <v>0</v>
      </c>
      <c r="I73" s="93">
        <f>SUMIF(ENTRADAS!$C$8:$C$1002,'CONT. ESTOQUE'!$B73,ENTRADAS!$H$7:$H$1002)</f>
        <v>0</v>
      </c>
      <c r="J73" s="94">
        <f>'CONT. ESTOQUE'!$H73-'CONT. ESTOQUE'!$I73</f>
        <v>0</v>
      </c>
    </row>
    <row r="74" spans="2:10" s="121" customFormat="1" ht="15.75" customHeight="1">
      <c r="B74" s="120" t="str">
        <f>PROD!B74</f>
        <v>VT50-150</v>
      </c>
      <c r="C74" s="92">
        <f>IF('CONT. ESTOQUE'!$B74&lt;&gt;"",SUMIF(ENTRADAS!$C$7:$C$1002,'CONT. ESTOQUE'!$B74,ENTRADAS!$E$7:$E$1002),"")</f>
        <v>1</v>
      </c>
      <c r="D74" s="92">
        <f>IF('CONT. ESTOQUE'!$B74&lt;&gt;"",SUMIF(SAÍDAS!$C$7:$C$800,'CONT. ESTOQUE'!$B74,SAÍDAS!$J$7:$J$800),"")</f>
        <v>0</v>
      </c>
      <c r="E74" s="92">
        <f>IFERROR('CONT. ESTOQUE'!$C74-'CONT. ESTOQUE'!$D74,"")</f>
        <v>1</v>
      </c>
      <c r="F74" s="92">
        <f>IFERROR(VLOOKUP('CONT. ESTOQUE'!$B74,PROD!$B$6:$G$1095,4,0),"")</f>
        <v>0</v>
      </c>
      <c r="G74" s="92" t="str">
        <f>IF('CONT. ESTOQUE'!$B74&lt;&gt;"",IF('CONT. ESTOQUE'!$E74=0,"Sem Estoque",IF('CONT. ESTOQUE'!$E74&lt;'CONT. ESTOQUE'!$F74,"Estoque Perigoso","Estoque Confortável")),"")</f>
        <v>Estoque Confortável</v>
      </c>
      <c r="H74" s="93">
        <f>SUMIF(SAÍDAS!$C$7:$C$289,'CONT. ESTOQUE'!$B74,SAÍDAS!$L$7:$L$289)</f>
        <v>0</v>
      </c>
      <c r="I74" s="93">
        <f>SUMIF(ENTRADAS!$C$8:$C$1002,'CONT. ESTOQUE'!$B74,ENTRADAS!$H$7:$H$1002)</f>
        <v>0</v>
      </c>
      <c r="J74" s="94">
        <f>'CONT. ESTOQUE'!$H74-'CONT. ESTOQUE'!$I74</f>
        <v>0</v>
      </c>
    </row>
    <row r="75" spans="2:10" s="114" customFormat="1" ht="15.75" customHeight="1">
      <c r="B75" s="120" t="str">
        <f>PROD!B75</f>
        <v>-</v>
      </c>
      <c r="C75" s="122">
        <f>IF('CONT. ESTOQUE'!$B75&lt;&gt;"",SUMIF(ENTRADAS!$C$7:$C$1002,'CONT. ESTOQUE'!$B75,ENTRADAS!$E$7:$E$1002),"")</f>
        <v>0</v>
      </c>
      <c r="D75" s="92">
        <f>IF('CONT. ESTOQUE'!$B75&lt;&gt;"",SUMIF(SAÍDAS!$C$7:$C$800,'CONT. ESTOQUE'!$B75,SAÍDAS!$J$7:$J$800),"")</f>
        <v>0</v>
      </c>
      <c r="E75" s="122">
        <f>IFERROR('CONT. ESTOQUE'!$C75-'CONT. ESTOQUE'!$D75,"")</f>
        <v>0</v>
      </c>
      <c r="F75" s="122">
        <f>IFERROR(VLOOKUP('CONT. ESTOQUE'!$B75,PROD!$B$6:$G$1095,4,0),"")</f>
        <v>0</v>
      </c>
      <c r="G75" s="122" t="str">
        <f>IF('CONT. ESTOQUE'!$B75&lt;&gt;"",IF('CONT. ESTOQUE'!$E75=0,"Sem Estoque",IF('CONT. ESTOQUE'!$E75&lt;'CONT. ESTOQUE'!$F75,"Estoque Perigoso","Estoque Confortável")),"")</f>
        <v>Sem Estoque</v>
      </c>
      <c r="H75" s="123">
        <f>SUMIF(SAÍDAS!$C$7:$C$289,'CONT. ESTOQUE'!$B75,SAÍDAS!$L$7:$L$289)</f>
        <v>0</v>
      </c>
      <c r="I75" s="123">
        <f>SUMIF(ENTRADAS!$C$8:$C$1002,'CONT. ESTOQUE'!$B75,ENTRADAS!$H$7:$H$1002)</f>
        <v>0</v>
      </c>
      <c r="J75" s="124">
        <f>'CONT. ESTOQUE'!$H75-'CONT. ESTOQUE'!$I75</f>
        <v>0</v>
      </c>
    </row>
    <row r="76" spans="2:10" ht="15.75" customHeight="1">
      <c r="B76" s="120" t="str">
        <f>PROD!B76</f>
        <v>DV-MTB</v>
      </c>
      <c r="C76" s="92">
        <f>IF('CONT. ESTOQUE'!$B76&lt;&gt;"",SUMIF(ENTRADAS!$C$7:$C$1002,'CONT. ESTOQUE'!$B76,ENTRADAS!$E$7:$E$1002),"")</f>
        <v>0</v>
      </c>
      <c r="D76" s="92">
        <f>IF('CONT. ESTOQUE'!$B76&lt;&gt;"",SUMIF(SAÍDAS!$C$7:$C$800,'CONT. ESTOQUE'!$B76,SAÍDAS!$J$7:$J$800),"")</f>
        <v>0</v>
      </c>
      <c r="E76" s="92">
        <f>IFERROR('CONT. ESTOQUE'!$C76-'CONT. ESTOQUE'!$D76,"")</f>
        <v>0</v>
      </c>
      <c r="F76" s="92">
        <f>IFERROR(VLOOKUP('CONT. ESTOQUE'!$B76,PROD!$B$6:$G$1095,4,0),"")</f>
        <v>0</v>
      </c>
      <c r="G76" s="92" t="str">
        <f>IF('CONT. ESTOQUE'!$B76&lt;&gt;"",IF('CONT. ESTOQUE'!$E76=0,"Sem Estoque",IF('CONT. ESTOQUE'!$E76&lt;'CONT. ESTOQUE'!$F76,"Estoque Perigoso","Estoque Confortável")),"")</f>
        <v>Sem Estoque</v>
      </c>
      <c r="H76" s="93">
        <f>SUMIF(SAÍDAS!$C$7:$C$289,'CONT. ESTOQUE'!$B76,SAÍDAS!$L$7:$L$289)</f>
        <v>0</v>
      </c>
      <c r="I76" s="93">
        <f>SUMIF(ENTRADAS!$C$8:$C$1002,'CONT. ESTOQUE'!$B76,ENTRADAS!$H$7:$H$1002)</f>
        <v>0</v>
      </c>
      <c r="J76" s="94">
        <f>'CONT. ESTOQUE'!$H76-'CONT. ESTOQUE'!$I76</f>
        <v>0</v>
      </c>
    </row>
    <row r="77" spans="2:10" s="149" customFormat="1" ht="15.75" customHeight="1">
      <c r="B77" s="91" t="str">
        <f>PROD!B77</f>
        <v>MTB-242</v>
      </c>
      <c r="C77" s="92">
        <f>IF('CONT. ESTOQUE'!$B77&lt;&gt;"",SUMIF(ENTRADAS!$C$7:$C$1002,'CONT. ESTOQUE'!$B77,ENTRADAS!$E$7:$E$1002),"")</f>
        <v>1</v>
      </c>
      <c r="D77" s="92">
        <f>IF('CONT. ESTOQUE'!$B77&lt;&gt;"",SUMIF(SAÍDAS!$C$7:$C$800,'CONT. ESTOQUE'!$B77,SAÍDAS!$J$7:$J$800),"")</f>
        <v>0</v>
      </c>
      <c r="E77" s="92">
        <f>IFERROR('CONT. ESTOQUE'!$C77-'CONT. ESTOQUE'!$D77,"")</f>
        <v>1</v>
      </c>
      <c r="F77" s="92">
        <f>IFERROR(VLOOKUP('CONT. ESTOQUE'!$B77,PROD!$B$6:$G$1095,4,0),"")</f>
        <v>0</v>
      </c>
      <c r="G77" s="92" t="str">
        <f>IF('CONT. ESTOQUE'!$B77&lt;&gt;"",IF('CONT. ESTOQUE'!$E77=0,"Sem Estoque",IF('CONT. ESTOQUE'!$E77&lt;'CONT. ESTOQUE'!$F77,"Estoque Perigoso","Estoque Confortável")),"")</f>
        <v>Estoque Confortável</v>
      </c>
      <c r="H77" s="93">
        <f>SUMIF(SAÍDAS!$C$7:$C$289,'CONT. ESTOQUE'!$B77,SAÍDAS!$L$7:$L$289)</f>
        <v>0</v>
      </c>
      <c r="I77" s="93">
        <f>SUMIF(ENTRADAS!$C$8:$C$1002,'CONT. ESTOQUE'!$B77,ENTRADAS!$H$7:$H$1002)</f>
        <v>0</v>
      </c>
      <c r="J77" s="94">
        <f>'CONT. ESTOQUE'!$H77-'CONT. ESTOQUE'!$I77</f>
        <v>0</v>
      </c>
    </row>
    <row r="78" spans="2:10" s="149" customFormat="1" ht="15.75" customHeight="1">
      <c r="B78" s="91" t="str">
        <f>PROD!B78</f>
        <v>MTB-218</v>
      </c>
      <c r="C78" s="92">
        <f>IF('CONT. ESTOQUE'!$B78&lt;&gt;"",SUMIF(ENTRADAS!$C$7:$C$1002,'CONT. ESTOQUE'!$B78,ENTRADAS!$E$7:$E$1002),"")</f>
        <v>3</v>
      </c>
      <c r="D78" s="92">
        <f>IF('CONT. ESTOQUE'!$B78&lt;&gt;"",SUMIF(SAÍDAS!$C$7:$C$800,'CONT. ESTOQUE'!$B78,SAÍDAS!$J$7:$J$800),"")</f>
        <v>0</v>
      </c>
      <c r="E78" s="92">
        <f>IFERROR('CONT. ESTOQUE'!$C78-'CONT. ESTOQUE'!$D78,"")</f>
        <v>3</v>
      </c>
      <c r="F78" s="92">
        <f>IFERROR(VLOOKUP('CONT. ESTOQUE'!$B78,PROD!$B$6:$G$1095,4,0),"")</f>
        <v>0</v>
      </c>
      <c r="G78" s="92" t="str">
        <f>IF('CONT. ESTOQUE'!$B78&lt;&gt;"",IF('CONT. ESTOQUE'!$E78=0,"Sem Estoque",IF('CONT. ESTOQUE'!$E78&lt;'CONT. ESTOQUE'!$F78,"Estoque Perigoso","Estoque Confortável")),"")</f>
        <v>Estoque Confortável</v>
      </c>
      <c r="H78" s="93">
        <f>SUMIF(SAÍDAS!$C$7:$C$289,'CONT. ESTOQUE'!$B78,SAÍDAS!$L$7:$L$289)</f>
        <v>0</v>
      </c>
      <c r="I78" s="93">
        <f>SUMIF(ENTRADAS!$C$8:$C$1002,'CONT. ESTOQUE'!$B78,ENTRADAS!$H$7:$H$1002)</f>
        <v>0</v>
      </c>
      <c r="J78" s="94">
        <f>'CONT. ESTOQUE'!$H78-'CONT. ESTOQUE'!$I78</f>
        <v>0</v>
      </c>
    </row>
    <row r="79" spans="2:10" ht="15.75" customHeight="1">
      <c r="B79" s="91" t="str">
        <f>PROD!B79</f>
        <v>MTB-210</v>
      </c>
      <c r="C79" s="92">
        <f>IF('CONT. ESTOQUE'!$B79&lt;&gt;"",SUMIF(ENTRADAS!$C$7:$C$1002,'CONT. ESTOQUE'!$B79,ENTRADAS!$E$7:$E$1002),"")</f>
        <v>3</v>
      </c>
      <c r="D79" s="92">
        <f>IF('CONT. ESTOQUE'!$B79&lt;&gt;"",SUMIF(SAÍDAS!$C$7:$C$800,'CONT. ESTOQUE'!$B79,SAÍDAS!$J$7:$J$800),"")</f>
        <v>0</v>
      </c>
      <c r="E79" s="92">
        <f>IFERROR('CONT. ESTOQUE'!$C79-'CONT. ESTOQUE'!$D79,"")</f>
        <v>3</v>
      </c>
      <c r="F79" s="92">
        <f>IFERROR(VLOOKUP('CONT. ESTOQUE'!$B79,PROD!$B$6:$G$1095,4,0),"")</f>
        <v>0</v>
      </c>
      <c r="G79" s="92" t="str">
        <f>IF('CONT. ESTOQUE'!$B79&lt;&gt;"",IF('CONT. ESTOQUE'!$E79=0,"Sem Estoque",IF('CONT. ESTOQUE'!$E79&lt;'CONT. ESTOQUE'!$F79,"Estoque Perigoso","Estoque Confortável")),"")</f>
        <v>Estoque Confortável</v>
      </c>
      <c r="H79" s="93">
        <f>SUMIF(SAÍDAS!$C$7:$C$289,'CONT. ESTOQUE'!$B79,SAÍDAS!$L$7:$L$289)</f>
        <v>0</v>
      </c>
      <c r="I79" s="93">
        <f>SUMIF(ENTRADAS!$C$8:$C$1002,'CONT. ESTOQUE'!$B79,ENTRADAS!$H$7:$H$1002)</f>
        <v>0</v>
      </c>
      <c r="J79" s="94">
        <f>'CONT. ESTOQUE'!$H79-'CONT. ESTOQUE'!$I79</f>
        <v>0</v>
      </c>
    </row>
    <row r="80" spans="2:10" ht="15.75" customHeight="1">
      <c r="B80" s="91" t="str">
        <f>PROD!B80</f>
        <v>MTB-202</v>
      </c>
      <c r="C80" s="92">
        <f>IF('CONT. ESTOQUE'!$B80&lt;&gt;"",SUMIF(ENTRADAS!$C$7:$C$1002,'CONT. ESTOQUE'!$B80,ENTRADAS!$E$7:$E$1002),"")</f>
        <v>3</v>
      </c>
      <c r="D80" s="92">
        <f>IF('CONT. ESTOQUE'!$B80&lt;&gt;"",SUMIF(SAÍDAS!$C$7:$C$800,'CONT. ESTOQUE'!$B80,SAÍDAS!$J$7:$J$800),"")</f>
        <v>1</v>
      </c>
      <c r="E80" s="92">
        <f>IFERROR('CONT. ESTOQUE'!$C80-'CONT. ESTOQUE'!$D80,"")</f>
        <v>2</v>
      </c>
      <c r="F80" s="92">
        <f>IFERROR(VLOOKUP('CONT. ESTOQUE'!$B80,PROD!$B$6:$G$1095,4,0),"")</f>
        <v>0</v>
      </c>
      <c r="G80" s="92" t="str">
        <f>IF('CONT. ESTOQUE'!$B80&lt;&gt;"",IF('CONT. ESTOQUE'!$E80=0,"Sem Estoque",IF('CONT. ESTOQUE'!$E80&lt;'CONT. ESTOQUE'!$F80,"Estoque Perigoso","Estoque Confortável")),"")</f>
        <v>Estoque Confortável</v>
      </c>
      <c r="H80" s="93">
        <f>SUMIF(SAÍDAS!$C$7:$C$289,'CONT. ESTOQUE'!$B80,SAÍDAS!$L$7:$L$289)</f>
        <v>0</v>
      </c>
      <c r="I80" s="93">
        <f>SUMIF(ENTRADAS!$C$8:$C$1002,'CONT. ESTOQUE'!$B80,ENTRADAS!$H$7:$H$1002)</f>
        <v>0</v>
      </c>
      <c r="J80" s="94">
        <f>'CONT. ESTOQUE'!$H80-'CONT. ESTOQUE'!$I80</f>
        <v>0</v>
      </c>
    </row>
    <row r="81" spans="2:10" s="121" customFormat="1" ht="15.75" customHeight="1">
      <c r="B81" s="91" t="str">
        <f>PROD!B81</f>
        <v>MTB-194</v>
      </c>
      <c r="C81" s="92">
        <f>IF('CONT. ESTOQUE'!$B81&lt;&gt;"",SUMIF(ENTRADAS!$C$7:$C$1002,'CONT. ESTOQUE'!$B81,ENTRADAS!$E$7:$E$1002),"")</f>
        <v>3</v>
      </c>
      <c r="D81" s="92">
        <f>IF('CONT. ESTOQUE'!$B81&lt;&gt;"",SUMIF(SAÍDAS!$C$7:$C$800,'CONT. ESTOQUE'!$B81,SAÍDAS!$J$7:$J$800),"")</f>
        <v>1</v>
      </c>
      <c r="E81" s="92">
        <f>IFERROR('CONT. ESTOQUE'!$C81-'CONT. ESTOQUE'!$D81,"")</f>
        <v>2</v>
      </c>
      <c r="F81" s="92">
        <f>IFERROR(VLOOKUP('CONT. ESTOQUE'!$B81,PROD!$B$6:$G$1095,4,0),"")</f>
        <v>0</v>
      </c>
      <c r="G81" s="92" t="str">
        <f>IF('CONT. ESTOQUE'!$B81&lt;&gt;"",IF('CONT. ESTOQUE'!$E81=0,"Sem Estoque",IF('CONT. ESTOQUE'!$E81&lt;'CONT. ESTOQUE'!$F81,"Estoque Perigoso","Estoque Confortável")),"")</f>
        <v>Estoque Confortável</v>
      </c>
      <c r="H81" s="93">
        <f>SUMIF(SAÍDAS!$C$7:$C$289,'CONT. ESTOQUE'!$B81,SAÍDAS!$L$7:$L$289)</f>
        <v>0</v>
      </c>
      <c r="I81" s="93">
        <f>SUMIF(ENTRADAS!$C$8:$C$1002,'CONT. ESTOQUE'!$B81,ENTRADAS!$H$7:$H$1002)</f>
        <v>0</v>
      </c>
      <c r="J81" s="94">
        <f>'CONT. ESTOQUE'!$H81-'CONT. ESTOQUE'!$I81</f>
        <v>0</v>
      </c>
    </row>
    <row r="82" spans="2:10" s="121" customFormat="1" ht="15.75" customHeight="1">
      <c r="B82" s="120" t="str">
        <f>PROD!B82</f>
        <v>-</v>
      </c>
      <c r="C82" s="122">
        <f>IF('CONT. ESTOQUE'!$B82&lt;&gt;"",SUMIF(ENTRADAS!$C$7:$C$1002,'CONT. ESTOQUE'!$B82,ENTRADAS!$E$7:$E$1002),"")</f>
        <v>0</v>
      </c>
      <c r="D82" s="92">
        <f>IF('CONT. ESTOQUE'!$B82&lt;&gt;"",SUMIF(SAÍDAS!$C$7:$C$800,'CONT. ESTOQUE'!$B82,SAÍDAS!$J$7:$J$800),"")</f>
        <v>0</v>
      </c>
      <c r="E82" s="122">
        <f>IFERROR('CONT. ESTOQUE'!$C82-'CONT. ESTOQUE'!$D82,"")</f>
        <v>0</v>
      </c>
      <c r="F82" s="122">
        <f>IFERROR(VLOOKUP('CONT. ESTOQUE'!$B82,PROD!$B$6:$G$1095,4,0),"")</f>
        <v>0</v>
      </c>
      <c r="G82" s="122" t="str">
        <f>IF('CONT. ESTOQUE'!$B82&lt;&gt;"",IF('CONT. ESTOQUE'!$E82=0,"Sem Estoque",IF('CONT. ESTOQUE'!$E82&lt;'CONT. ESTOQUE'!$F82,"Estoque Perigoso","Estoque Confortável")),"")</f>
        <v>Sem Estoque</v>
      </c>
      <c r="H82" s="123">
        <f>SUMIF(SAÍDAS!$C$7:$C$289,'CONT. ESTOQUE'!$B82,SAÍDAS!$L$7:$L$289)</f>
        <v>0</v>
      </c>
      <c r="I82" s="123">
        <f>SUMIF(ENTRADAS!$C$8:$C$1002,'CONT. ESTOQUE'!$B82,ENTRADAS!$H$7:$H$1002)</f>
        <v>0</v>
      </c>
      <c r="J82" s="124">
        <f>'CONT. ESTOQUE'!$H82-'CONT. ESTOQUE'!$I82</f>
        <v>0</v>
      </c>
    </row>
    <row r="83" spans="2:10" s="114" customFormat="1" ht="15.75" customHeight="1">
      <c r="B83" s="120" t="str">
        <f>PROD!B83</f>
        <v>VL10L</v>
      </c>
      <c r="C83" s="122">
        <f>IF('CONT. ESTOQUE'!$B83&lt;&gt;"",SUMIF(ENTRADAS!$C$7:$C$1002,'CONT. ESTOQUE'!$B83,ENTRADAS!$E$7:$E$1002),"")</f>
        <v>0</v>
      </c>
      <c r="D83" s="92">
        <f>IF('CONT. ESTOQUE'!$B83&lt;&gt;"",SUMIF(SAÍDAS!$C$7:$C$800,'CONT. ESTOQUE'!$B83,SAÍDAS!$J$7:$J$800),"")</f>
        <v>0</v>
      </c>
      <c r="E83" s="122">
        <f>IFERROR('CONT. ESTOQUE'!$C83-'CONT. ESTOQUE'!$D83,"")</f>
        <v>0</v>
      </c>
      <c r="F83" s="122">
        <f>IFERROR(VLOOKUP('CONT. ESTOQUE'!$B83,PROD!$B$6:$G$1095,4,0),"")</f>
        <v>0</v>
      </c>
      <c r="G83" s="122" t="str">
        <f>IF('CONT. ESTOQUE'!$B83&lt;&gt;"",IF('CONT. ESTOQUE'!$E83=0,"Sem Estoque",IF('CONT. ESTOQUE'!$E83&lt;'CONT. ESTOQUE'!$F83,"Estoque Perigoso","Estoque Confortável")),"")</f>
        <v>Sem Estoque</v>
      </c>
      <c r="H83" s="123">
        <f>SUMIF(SAÍDAS!$C$7:$C$289,'CONT. ESTOQUE'!$B83,SAÍDAS!$L$7:$L$289)</f>
        <v>0</v>
      </c>
      <c r="I83" s="123">
        <f>SUMIF(ENTRADAS!$C$8:$C$1002,'CONT. ESTOQUE'!$B83,ENTRADAS!$H$7:$H$1002)</f>
        <v>0</v>
      </c>
      <c r="J83" s="124">
        <f>'CONT. ESTOQUE'!$H83-'CONT. ESTOQUE'!$I83</f>
        <v>0</v>
      </c>
    </row>
    <row r="84" spans="2:10" ht="15.75" customHeight="1">
      <c r="B84" s="91" t="str">
        <f>PROD!B84</f>
        <v>VL10-215</v>
      </c>
      <c r="C84" s="92">
        <f>IF('CONT. ESTOQUE'!$B84&lt;&gt;"",SUMIF(ENTRADAS!$C$7:$C$1002,'CONT. ESTOQUE'!$B84,ENTRADAS!$E$7:$E$1002),"")</f>
        <v>2</v>
      </c>
      <c r="D84" s="92">
        <f>IF('CONT. ESTOQUE'!$B84&lt;&gt;"",SUMIF(SAÍDAS!$C$7:$C$800,'CONT. ESTOQUE'!$B84,SAÍDAS!$J$7:$J$800),"")</f>
        <v>0</v>
      </c>
      <c r="E84" s="92">
        <f>IFERROR('CONT. ESTOQUE'!$C84-'CONT. ESTOQUE'!$D84,"")</f>
        <v>2</v>
      </c>
      <c r="F84" s="92">
        <f>IFERROR(VLOOKUP('CONT. ESTOQUE'!$B84,PROD!$B$6:$G$1095,4,0),"")</f>
        <v>0</v>
      </c>
      <c r="G84" s="92" t="str">
        <f>IF('CONT. ESTOQUE'!$B84&lt;&gt;"",IF('CONT. ESTOQUE'!$E84=0,"Sem Estoque",IF('CONT. ESTOQUE'!$E84&lt;'CONT. ESTOQUE'!$F84,"Estoque Perigoso","Estoque Confortável")),"")</f>
        <v>Estoque Confortável</v>
      </c>
      <c r="H84" s="93">
        <f>SUMIF(SAÍDAS!$C$7:$C$289,'CONT. ESTOQUE'!$B84,SAÍDAS!$L$7:$L$289)</f>
        <v>0</v>
      </c>
      <c r="I84" s="93">
        <f>SUMIF(ENTRADAS!$C$8:$C$1002,'CONT. ESTOQUE'!$B84,ENTRADAS!$H$7:$H$1002)</f>
        <v>0</v>
      </c>
      <c r="J84" s="94">
        <f>'CONT. ESTOQUE'!$H84-'CONT. ESTOQUE'!$I84</f>
        <v>0</v>
      </c>
    </row>
    <row r="85" spans="2:10" ht="15.75" customHeight="1">
      <c r="B85" s="91" t="str">
        <f>PROD!B85</f>
        <v>VL10-210</v>
      </c>
      <c r="C85" s="92">
        <f>IF('CONT. ESTOQUE'!$B85&lt;&gt;"",SUMIF(ENTRADAS!$C$7:$C$1002,'CONT. ESTOQUE'!$B85,ENTRADAS!$E$7:$E$1002),"")</f>
        <v>4</v>
      </c>
      <c r="D85" s="92">
        <f>IF('CONT. ESTOQUE'!$B85&lt;&gt;"",SUMIF(SAÍDAS!$C$7:$C$800,'CONT. ESTOQUE'!$B85,SAÍDAS!$J$7:$J$800),"")</f>
        <v>2</v>
      </c>
      <c r="E85" s="92">
        <f>IFERROR('CONT. ESTOQUE'!$C85-'CONT. ESTOQUE'!$D85,"")</f>
        <v>2</v>
      </c>
      <c r="F85" s="92">
        <f>IFERROR(VLOOKUP('CONT. ESTOQUE'!$B85,PROD!$B$6:$G$1095,4,0),"")</f>
        <v>0</v>
      </c>
      <c r="G85" s="92" t="str">
        <f>IF('CONT. ESTOQUE'!$B85&lt;&gt;"",IF('CONT. ESTOQUE'!$E85=0,"Sem Estoque",IF('CONT. ESTOQUE'!$E85&lt;'CONT. ESTOQUE'!$F85,"Estoque Perigoso","Estoque Confortável")),"")</f>
        <v>Estoque Confortável</v>
      </c>
      <c r="H85" s="93">
        <f>SUMIF(SAÍDAS!$C$7:$C$289,'CONT. ESTOQUE'!$B85,SAÍDAS!$L$7:$L$289)</f>
        <v>0</v>
      </c>
      <c r="I85" s="93">
        <f>SUMIF(ENTRADAS!$C$8:$C$1002,'CONT. ESTOQUE'!$B85,ENTRADAS!$H$7:$H$1002)</f>
        <v>0</v>
      </c>
      <c r="J85" s="94">
        <f>'CONT. ESTOQUE'!$H85-'CONT. ESTOQUE'!$I85</f>
        <v>0</v>
      </c>
    </row>
    <row r="86" spans="2:10" ht="15.75" customHeight="1">
      <c r="B86" s="91" t="str">
        <f>PROD!B86</f>
        <v>VL10-200</v>
      </c>
      <c r="C86" s="92">
        <f>IF('CONT. ESTOQUE'!$B86&lt;&gt;"",SUMIF(ENTRADAS!$C$7:$C$1002,'CONT. ESTOQUE'!$B86,ENTRADAS!$E$7:$E$1002),"")</f>
        <v>6</v>
      </c>
      <c r="D86" s="92">
        <f>IF('CONT. ESTOQUE'!$B86&lt;&gt;"",SUMIF(SAÍDAS!$C$7:$C$800,'CONT. ESTOQUE'!$B86,SAÍDAS!$J$7:$J$800),"")</f>
        <v>1</v>
      </c>
      <c r="E86" s="92">
        <f>IFERROR('CONT. ESTOQUE'!$C86-'CONT. ESTOQUE'!$D86,"")</f>
        <v>5</v>
      </c>
      <c r="F86" s="92">
        <f>IFERROR(VLOOKUP('CONT. ESTOQUE'!$B86,PROD!$B$6:$G$1095,4,0),"")</f>
        <v>0</v>
      </c>
      <c r="G86" s="92" t="str">
        <f>IF('CONT. ESTOQUE'!$B86&lt;&gt;"",IF('CONT. ESTOQUE'!$E86=0,"Sem Estoque",IF('CONT. ESTOQUE'!$E86&lt;'CONT. ESTOQUE'!$F86,"Estoque Perigoso","Estoque Confortável")),"")</f>
        <v>Estoque Confortável</v>
      </c>
      <c r="H86" s="93">
        <f>SUMIF(SAÍDAS!$C$7:$C$289,'CONT. ESTOQUE'!$B86,SAÍDAS!$L$7:$L$289)</f>
        <v>0</v>
      </c>
      <c r="I86" s="93">
        <f>SUMIF(ENTRADAS!$C$8:$C$1002,'CONT. ESTOQUE'!$B86,ENTRADAS!$H$7:$H$1002)</f>
        <v>0</v>
      </c>
      <c r="J86" s="94">
        <f>'CONT. ESTOQUE'!$H86-'CONT. ESTOQUE'!$I86</f>
        <v>0</v>
      </c>
    </row>
    <row r="87" spans="2:10" ht="15.75" customHeight="1">
      <c r="B87" s="91" t="str">
        <f>PROD!B87</f>
        <v>VL10-190</v>
      </c>
      <c r="C87" s="92">
        <f>IF('CONT. ESTOQUE'!$B87&lt;&gt;"",SUMIF(ENTRADAS!$C$7:$C$1002,'CONT. ESTOQUE'!$B87,ENTRADAS!$E$7:$E$1002),"")</f>
        <v>7</v>
      </c>
      <c r="D87" s="92">
        <f>IF('CONT. ESTOQUE'!$B87&lt;&gt;"",SUMIF(SAÍDAS!$C$7:$C$800,'CONT. ESTOQUE'!$B87,SAÍDAS!$J$7:$J$800),"")</f>
        <v>3</v>
      </c>
      <c r="E87" s="92">
        <f>IFERROR('CONT. ESTOQUE'!$C87-'CONT. ESTOQUE'!$D87,"")</f>
        <v>4</v>
      </c>
      <c r="F87" s="92">
        <f>IFERROR(VLOOKUP('CONT. ESTOQUE'!$B87,PROD!$B$6:$G$1095,4,0),"")</f>
        <v>0</v>
      </c>
      <c r="G87" s="92" t="str">
        <f>IF('CONT. ESTOQUE'!$B87&lt;&gt;"",IF('CONT. ESTOQUE'!$E87=0,"Sem Estoque",IF('CONT. ESTOQUE'!$E87&lt;'CONT. ESTOQUE'!$F87,"Estoque Perigoso","Estoque Confortável")),"")</f>
        <v>Estoque Confortável</v>
      </c>
      <c r="H87" s="93">
        <f>SUMIF(SAÍDAS!$C$7:$C$289,'CONT. ESTOQUE'!$B87,SAÍDAS!$L$7:$L$289)</f>
        <v>0</v>
      </c>
      <c r="I87" s="93">
        <f>SUMIF(ENTRADAS!$C$8:$C$1002,'CONT. ESTOQUE'!$B87,ENTRADAS!$H$7:$H$1002)</f>
        <v>0</v>
      </c>
      <c r="J87" s="94">
        <f>'CONT. ESTOQUE'!$H87-'CONT. ESTOQUE'!$I87</f>
        <v>0</v>
      </c>
    </row>
    <row r="88" spans="2:10" ht="15.75" customHeight="1">
      <c r="B88" s="91" t="str">
        <f>PROD!B88</f>
        <v>VL10-180</v>
      </c>
      <c r="C88" s="92">
        <f>IF('CONT. ESTOQUE'!$B88&lt;&gt;"",SUMIF(ENTRADAS!$C$7:$C$1002,'CONT. ESTOQUE'!$B88,ENTRADAS!$E$7:$E$1002),"")</f>
        <v>0</v>
      </c>
      <c r="D88" s="92">
        <f>IF('CONT. ESTOQUE'!$B88&lt;&gt;"",SUMIF(SAÍDAS!$C$7:$C$800,'CONT. ESTOQUE'!$B88,SAÍDAS!$J$7:$J$800),"")</f>
        <v>0</v>
      </c>
      <c r="E88" s="92">
        <f>IFERROR('CONT. ESTOQUE'!$C88-'CONT. ESTOQUE'!$D88,"")</f>
        <v>0</v>
      </c>
      <c r="F88" s="92">
        <f>IFERROR(VLOOKUP('CONT. ESTOQUE'!$B88,PROD!$B$6:$G$1095,4,0),"")</f>
        <v>0</v>
      </c>
      <c r="G88" s="92" t="str">
        <f>IF('CONT. ESTOQUE'!$B88&lt;&gt;"",IF('CONT. ESTOQUE'!$E88=0,"Sem Estoque",IF('CONT. ESTOQUE'!$E88&lt;'CONT. ESTOQUE'!$F88,"Estoque Perigoso","Estoque Confortável")),"")</f>
        <v>Sem Estoque</v>
      </c>
      <c r="H88" s="93">
        <f>SUMIF(SAÍDAS!$C$7:$C$289,'CONT. ESTOQUE'!$B88,SAÍDAS!$L$7:$L$289)</f>
        <v>0</v>
      </c>
      <c r="I88" s="93">
        <f>SUMIF(ENTRADAS!$C$8:$C$1002,'CONT. ESTOQUE'!$B88,ENTRADAS!$H$7:$H$1002)</f>
        <v>0</v>
      </c>
      <c r="J88" s="94">
        <f>'CONT. ESTOQUE'!$H88-'CONT. ESTOQUE'!$I88</f>
        <v>0</v>
      </c>
    </row>
    <row r="89" spans="2:10" ht="15.75" customHeight="1">
      <c r="B89" s="91" t="str">
        <f>PROD!B89</f>
        <v>VL10-158</v>
      </c>
      <c r="C89" s="92">
        <f>IF('CONT. ESTOQUE'!$B89&lt;&gt;"",SUMIF(ENTRADAS!$C$7:$C$1002,'CONT. ESTOQUE'!$B89,ENTRADAS!$E$7:$E$1002),"")</f>
        <v>7</v>
      </c>
      <c r="D89" s="92">
        <f>IF('CONT. ESTOQUE'!$B89&lt;&gt;"",SUMIF(SAÍDAS!$C$7:$C$800,'CONT. ESTOQUE'!$B89,SAÍDAS!$J$7:$J$800),"")</f>
        <v>0</v>
      </c>
      <c r="E89" s="92">
        <f>IFERROR('CONT. ESTOQUE'!$C89-'CONT. ESTOQUE'!$D89,"")</f>
        <v>7</v>
      </c>
      <c r="F89" s="92">
        <f>IFERROR(VLOOKUP('CONT. ESTOQUE'!$B89,PROD!$B$6:$G$1095,4,0),"")</f>
        <v>0</v>
      </c>
      <c r="G89" s="92" t="str">
        <f>IF('CONT. ESTOQUE'!$B89&lt;&gt;"",IF('CONT. ESTOQUE'!$E89=0,"Sem Estoque",IF('CONT. ESTOQUE'!$E89&lt;'CONT. ESTOQUE'!$F89,"Estoque Perigoso","Estoque Confortável")),"")</f>
        <v>Estoque Confortável</v>
      </c>
      <c r="H89" s="93">
        <f>SUMIF(SAÍDAS!$C$7:$C$289,'CONT. ESTOQUE'!$B89,SAÍDAS!$L$7:$L$289)</f>
        <v>0</v>
      </c>
      <c r="I89" s="93">
        <f>SUMIF(ENTRADAS!$C$8:$C$1002,'CONT. ESTOQUE'!$B89,ENTRADAS!$H$7:$H$1002)</f>
        <v>0</v>
      </c>
      <c r="J89" s="94">
        <f>'CONT. ESTOQUE'!$H89-'CONT. ESTOQUE'!$I89</f>
        <v>0</v>
      </c>
    </row>
    <row r="90" spans="2:10" s="121" customFormat="1" ht="15.75" customHeight="1">
      <c r="B90" s="120" t="str">
        <f>PROD!B90</f>
        <v>VL10-148</v>
      </c>
      <c r="C90" s="92">
        <f>IF('CONT. ESTOQUE'!$B90&lt;&gt;"",SUMIF(ENTRADAS!$C$7:$C$1002,'CONT. ESTOQUE'!$B90,ENTRADAS!$E$7:$E$1002),"")</f>
        <v>1</v>
      </c>
      <c r="D90" s="92">
        <f>IF('CONT. ESTOQUE'!$B90&lt;&gt;"",SUMIF(SAÍDAS!$C$7:$C$800,'CONT. ESTOQUE'!$B90,SAÍDAS!$J$7:$J$800),"")</f>
        <v>0</v>
      </c>
      <c r="E90" s="92">
        <f>IFERROR('CONT. ESTOQUE'!$C90-'CONT. ESTOQUE'!$D90,"")</f>
        <v>1</v>
      </c>
      <c r="F90" s="92">
        <f>IFERROR(VLOOKUP('CONT. ESTOQUE'!$B90,PROD!$B$6:$G$1095,4,0),"")</f>
        <v>0</v>
      </c>
      <c r="G90" s="92" t="str">
        <f>IF('CONT. ESTOQUE'!$B90&lt;&gt;"",IF('CONT. ESTOQUE'!$E90=0,"Sem Estoque",IF('CONT. ESTOQUE'!$E90&lt;'CONT. ESTOQUE'!$F90,"Estoque Perigoso","Estoque Confortável")),"")</f>
        <v>Estoque Confortável</v>
      </c>
      <c r="H90" s="93">
        <f>SUMIF(SAÍDAS!$C$7:$C$289,'CONT. ESTOQUE'!$B90,SAÍDAS!$L$7:$L$289)</f>
        <v>0</v>
      </c>
      <c r="I90" s="93">
        <f>SUMIF(ENTRADAS!$C$8:$C$1002,'CONT. ESTOQUE'!$B90,ENTRADAS!$H$7:$H$1002)</f>
        <v>0</v>
      </c>
      <c r="J90" s="94">
        <f>'CONT. ESTOQUE'!$H90-'CONT. ESTOQUE'!$I90</f>
        <v>0</v>
      </c>
    </row>
    <row r="91" spans="2:10" s="121" customFormat="1" ht="15.75" customHeight="1">
      <c r="B91" s="120" t="str">
        <f>PROD!B91</f>
        <v>-</v>
      </c>
      <c r="C91" s="122">
        <f>IF('CONT. ESTOQUE'!$B91&lt;&gt;"",SUMIF(ENTRADAS!$C$7:$C$1002,'CONT. ESTOQUE'!$B91,ENTRADAS!$E$7:$E$1002),"")</f>
        <v>0</v>
      </c>
      <c r="D91" s="92">
        <f>IF('CONT. ESTOQUE'!$B91&lt;&gt;"",SUMIF(SAÍDAS!$C$7:$C$800,'CONT. ESTOQUE'!$B91,SAÍDAS!$J$7:$J$800),"")</f>
        <v>0</v>
      </c>
      <c r="E91" s="122">
        <f>IFERROR('CONT. ESTOQUE'!$C91-'CONT. ESTOQUE'!$D91,"")</f>
        <v>0</v>
      </c>
      <c r="F91" s="122">
        <f>IFERROR(VLOOKUP('CONT. ESTOQUE'!$B91,PROD!$B$6:$G$1095,4,0),"")</f>
        <v>0</v>
      </c>
      <c r="G91" s="122" t="str">
        <f>IF('CONT. ESTOQUE'!$B91&lt;&gt;"",IF('CONT. ESTOQUE'!$E91=0,"Sem Estoque",IF('CONT. ESTOQUE'!$E91&lt;'CONT. ESTOQUE'!$F91,"Estoque Perigoso","Estoque Confortável")),"")</f>
        <v>Sem Estoque</v>
      </c>
      <c r="H91" s="123">
        <f>SUMIF(SAÍDAS!$C$7:$C$289,'CONT. ESTOQUE'!$B91,SAÍDAS!$L$7:$L$289)</f>
        <v>0</v>
      </c>
      <c r="I91" s="123">
        <f>SUMIF(ENTRADAS!$C$8:$C$1002,'CONT. ESTOQUE'!$B91,ENTRADAS!$H$7:$H$1002)</f>
        <v>0</v>
      </c>
      <c r="J91" s="124">
        <f>'CONT. ESTOQUE'!$H91-'CONT. ESTOQUE'!$I91</f>
        <v>0</v>
      </c>
    </row>
    <row r="92" spans="2:10" s="114" customFormat="1" ht="15.75" customHeight="1">
      <c r="B92" s="120" t="str">
        <f>PROD!B92</f>
        <v>DV-MT</v>
      </c>
      <c r="C92" s="122">
        <f>IF('CONT. ESTOQUE'!$B92&lt;&gt;"",SUMIF(ENTRADAS!$C$7:$C$1002,'CONT. ESTOQUE'!$B92,ENTRADAS!$E$7:$E$1002),"")</f>
        <v>0</v>
      </c>
      <c r="D92" s="92">
        <f>IF('CONT. ESTOQUE'!$B92&lt;&gt;"",SUMIF(SAÍDAS!$C$7:$C$800,'CONT. ESTOQUE'!$B92,SAÍDAS!$J$7:$J$800),"")</f>
        <v>0</v>
      </c>
      <c r="E92" s="122">
        <f>IFERROR('CONT. ESTOQUE'!$C92-'CONT. ESTOQUE'!$D92,"")</f>
        <v>0</v>
      </c>
      <c r="F92" s="122">
        <f>IFERROR(VLOOKUP('CONT. ESTOQUE'!$B92,PROD!$B$6:$G$1095,4,0),"")</f>
        <v>0</v>
      </c>
      <c r="G92" s="122" t="str">
        <f>IF('CONT. ESTOQUE'!$B92&lt;&gt;"",IF('CONT. ESTOQUE'!$E92=0,"Sem Estoque",IF('CONT. ESTOQUE'!$E92&lt;'CONT. ESTOQUE'!$F92,"Estoque Perigoso","Estoque Confortável")),"")</f>
        <v>Sem Estoque</v>
      </c>
      <c r="H92" s="123">
        <f>SUMIF(SAÍDAS!$C$7:$C$289,'CONT. ESTOQUE'!$B92,SAÍDAS!$L$7:$L$289)</f>
        <v>0</v>
      </c>
      <c r="I92" s="123">
        <f>SUMIF(ENTRADAS!$C$8:$C$1002,'CONT. ESTOQUE'!$B92,ENTRADAS!$H$7:$H$1002)</f>
        <v>0</v>
      </c>
      <c r="J92" s="124">
        <f>'CONT. ESTOQUE'!$H92-'CONT. ESTOQUE'!$I92</f>
        <v>0</v>
      </c>
    </row>
    <row r="93" spans="2:10" s="114" customFormat="1" ht="15.75" customHeight="1">
      <c r="B93" s="91" t="str">
        <f>PROD!B93</f>
        <v>MT-258</v>
      </c>
      <c r="C93" s="92">
        <f>IF('CONT. ESTOQUE'!$B93&lt;&gt;"",SUMIF(ENTRADAS!$C$7:$C$1002,'CONT. ESTOQUE'!$B93,ENTRADAS!$E$7:$E$1002),"")</f>
        <v>8</v>
      </c>
      <c r="D93" s="92">
        <f>IF('CONT. ESTOQUE'!$B93&lt;&gt;"",SUMIF(SAÍDAS!$C$7:$C$800,'CONT. ESTOQUE'!$B93,SAÍDAS!$J$7:$J$800),"")</f>
        <v>9</v>
      </c>
      <c r="E93" s="92">
        <f>IFERROR('CONT. ESTOQUE'!$C93-'CONT. ESTOQUE'!$D93,"")</f>
        <v>-1</v>
      </c>
      <c r="F93" s="92">
        <f>IFERROR(VLOOKUP('CONT. ESTOQUE'!$B93,PROD!$B$6:$G$1095,4,0),"")</f>
        <v>0</v>
      </c>
      <c r="G93" s="92" t="str">
        <f>IF('CONT. ESTOQUE'!$B93&lt;&gt;"",IF('CONT. ESTOQUE'!$E93=0,"Sem Estoque",IF('CONT. ESTOQUE'!$E93&lt;'CONT. ESTOQUE'!$F93,"Estoque Perigoso","Estoque Confortável")),"")</f>
        <v>Estoque Perigoso</v>
      </c>
      <c r="H93" s="93">
        <f>SUMIF(SAÍDAS!$C$7:$C$289,'CONT. ESTOQUE'!$B93,SAÍDAS!$L$7:$L$289)</f>
        <v>0</v>
      </c>
      <c r="I93" s="93">
        <f>SUMIF(ENTRADAS!$C$8:$C$1002,'CONT. ESTOQUE'!$B93,ENTRADAS!$H$7:$H$1002)</f>
        <v>0</v>
      </c>
      <c r="J93" s="94">
        <f>'CONT. ESTOQUE'!$H93-'CONT. ESTOQUE'!$I93</f>
        <v>0</v>
      </c>
    </row>
    <row r="94" spans="2:10" s="114" customFormat="1" ht="15.75" customHeight="1">
      <c r="B94" s="91" t="str">
        <f>PROD!B94</f>
        <v>MT-250</v>
      </c>
      <c r="C94" s="92">
        <f>IF('CONT. ESTOQUE'!$B94&lt;&gt;"",SUMIF(ENTRADAS!$C$7:$C$1002,'CONT. ESTOQUE'!$B94,ENTRADAS!$E$7:$E$1002),"")</f>
        <v>39</v>
      </c>
      <c r="D94" s="92">
        <f>IF('CONT. ESTOQUE'!$B94&lt;&gt;"",SUMIF(SAÍDAS!$C$7:$C$800,'CONT. ESTOQUE'!$B94,SAÍDAS!$J$7:$J$800),"")</f>
        <v>27</v>
      </c>
      <c r="E94" s="92">
        <f>IFERROR('CONT. ESTOQUE'!$C94-'CONT. ESTOQUE'!$D94,"")</f>
        <v>12</v>
      </c>
      <c r="F94" s="92">
        <f>IFERROR(VLOOKUP('CONT. ESTOQUE'!$B94,PROD!$B$6:$G$1095,4,0),"")</f>
        <v>0</v>
      </c>
      <c r="G94" s="92" t="str">
        <f>IF('CONT. ESTOQUE'!$B94&lt;&gt;"",IF('CONT. ESTOQUE'!$E94=0,"Sem Estoque",IF('CONT. ESTOQUE'!$E94&lt;'CONT. ESTOQUE'!$F94,"Estoque Perigoso","Estoque Confortável")),"")</f>
        <v>Estoque Confortável</v>
      </c>
      <c r="H94" s="93">
        <f>SUMIF(SAÍDAS!$C$7:$C$289,'CONT. ESTOQUE'!$B94,SAÍDAS!$L$7:$L$289)</f>
        <v>0</v>
      </c>
      <c r="I94" s="93">
        <f>SUMIF(ENTRADAS!$C$8:$C$1002,'CONT. ESTOQUE'!$B94,ENTRADAS!$H$7:$H$1002)</f>
        <v>0</v>
      </c>
      <c r="J94" s="94">
        <f>'CONT. ESTOQUE'!$H94-'CONT. ESTOQUE'!$I94</f>
        <v>0</v>
      </c>
    </row>
    <row r="95" spans="2:10" s="114" customFormat="1" ht="15.75" customHeight="1">
      <c r="B95" s="91" t="str">
        <f>PROD!B95</f>
        <v>MT-242</v>
      </c>
      <c r="C95" s="92">
        <f>IF('CONT. ESTOQUE'!$B95&lt;&gt;"",SUMIF(ENTRADAS!$C$7:$C$1002,'CONT. ESTOQUE'!$B95,ENTRADAS!$E$7:$E$1002),"")</f>
        <v>16</v>
      </c>
      <c r="D95" s="92">
        <f>IF('CONT. ESTOQUE'!$B95&lt;&gt;"",SUMIF(SAÍDAS!$C$7:$C$800,'CONT. ESTOQUE'!$B95,SAÍDAS!$J$7:$J$800),"")</f>
        <v>8</v>
      </c>
      <c r="E95" s="92">
        <f>IFERROR('CONT. ESTOQUE'!$C95-'CONT. ESTOQUE'!$D95,"")</f>
        <v>8</v>
      </c>
      <c r="F95" s="92">
        <f>IFERROR(VLOOKUP('CONT. ESTOQUE'!$B95,PROD!$B$6:$G$1095,4,0),"")</f>
        <v>0</v>
      </c>
      <c r="G95" s="92" t="str">
        <f>IF('CONT. ESTOQUE'!$B95&lt;&gt;"",IF('CONT. ESTOQUE'!$E95=0,"Sem Estoque",IF('CONT. ESTOQUE'!$E95&lt;'CONT. ESTOQUE'!$F95,"Estoque Perigoso","Estoque Confortável")),"")</f>
        <v>Estoque Confortável</v>
      </c>
      <c r="H95" s="93">
        <f>SUMIF(SAÍDAS!$C$7:$C$289,'CONT. ESTOQUE'!$B95,SAÍDAS!$L$7:$L$289)</f>
        <v>0</v>
      </c>
      <c r="I95" s="93">
        <f>SUMIF(ENTRADAS!$C$8:$C$1002,'CONT. ESTOQUE'!$B95,ENTRADAS!$H$7:$H$1002)</f>
        <v>0</v>
      </c>
      <c r="J95" s="94">
        <f>'CONT. ESTOQUE'!$H95-'CONT. ESTOQUE'!$I95</f>
        <v>0</v>
      </c>
    </row>
    <row r="96" spans="2:10" s="114" customFormat="1" ht="15.75" customHeight="1">
      <c r="B96" s="91" t="str">
        <f>PROD!B96</f>
        <v>MT-234</v>
      </c>
      <c r="C96" s="92">
        <f>IF('CONT. ESTOQUE'!$B96&lt;&gt;"",SUMIF(ENTRADAS!$C$7:$C$1002,'CONT. ESTOQUE'!$B96,ENTRADAS!$E$7:$E$1002),"")</f>
        <v>7</v>
      </c>
      <c r="D96" s="92">
        <f>IF('CONT. ESTOQUE'!$B96&lt;&gt;"",SUMIF(SAÍDAS!$C$7:$C$800,'CONT. ESTOQUE'!$B96,SAÍDAS!$J$7:$J$800),"")</f>
        <v>5</v>
      </c>
      <c r="E96" s="92">
        <f>IFERROR('CONT. ESTOQUE'!$C96-'CONT. ESTOQUE'!$D96,"")</f>
        <v>2</v>
      </c>
      <c r="F96" s="92">
        <f>IFERROR(VLOOKUP('CONT. ESTOQUE'!$B96,PROD!$B$6:$G$1095,4,0),"")</f>
        <v>0</v>
      </c>
      <c r="G96" s="92" t="str">
        <f>IF('CONT. ESTOQUE'!$B96&lt;&gt;"",IF('CONT. ESTOQUE'!$E96=0,"Sem Estoque",IF('CONT. ESTOQUE'!$E96&lt;'CONT. ESTOQUE'!$F96,"Estoque Perigoso","Estoque Confortável")),"")</f>
        <v>Estoque Confortável</v>
      </c>
      <c r="H96" s="93">
        <f>SUMIF(SAÍDAS!$C$7:$C$289,'CONT. ESTOQUE'!$B96,SAÍDAS!$L$7:$L$289)</f>
        <v>0</v>
      </c>
      <c r="I96" s="93">
        <f>SUMIF(ENTRADAS!$C$8:$C$1002,'CONT. ESTOQUE'!$B96,ENTRADAS!$H$7:$H$1002)</f>
        <v>0</v>
      </c>
      <c r="J96" s="94">
        <f>'CONT. ESTOQUE'!$H96-'CONT. ESTOQUE'!$I96</f>
        <v>0</v>
      </c>
    </row>
    <row r="97" spans="2:10" ht="15.75" customHeight="1">
      <c r="B97" s="91" t="str">
        <f>PROD!B97</f>
        <v>MT-226</v>
      </c>
      <c r="C97" s="92">
        <f>IF('CONT. ESTOQUE'!$B97&lt;&gt;"",SUMIF(ENTRADAS!$C$7:$C$1002,'CONT. ESTOQUE'!$B97,ENTRADAS!$E$7:$E$1002),"")</f>
        <v>5</v>
      </c>
      <c r="D97" s="92">
        <f>IF('CONT. ESTOQUE'!$B97&lt;&gt;"",SUMIF(SAÍDAS!$C$7:$C$800,'CONT. ESTOQUE'!$B97,SAÍDAS!$J$7:$J$800),"")</f>
        <v>1</v>
      </c>
      <c r="E97" s="92">
        <f>IFERROR('CONT. ESTOQUE'!$C97-'CONT. ESTOQUE'!$D97,"")</f>
        <v>4</v>
      </c>
      <c r="F97" s="92">
        <f>IFERROR(VLOOKUP('CONT. ESTOQUE'!$B97,PROD!$B$6:$G$1095,4,0),"")</f>
        <v>0</v>
      </c>
      <c r="G97" s="92" t="str">
        <f>IF('CONT. ESTOQUE'!$B97&lt;&gt;"",IF('CONT. ESTOQUE'!$E97=0,"Sem Estoque",IF('CONT. ESTOQUE'!$E97&lt;'CONT. ESTOQUE'!$F97,"Estoque Perigoso","Estoque Confortável")),"")</f>
        <v>Estoque Confortável</v>
      </c>
      <c r="H97" s="93">
        <f>SUMIF(SAÍDAS!$C$7:$C$289,'CONT. ESTOQUE'!$B97,SAÍDAS!$L$7:$L$289)</f>
        <v>0</v>
      </c>
      <c r="I97" s="93">
        <f>SUMIF(ENTRADAS!$C$8:$C$1002,'CONT. ESTOQUE'!$B97,ENTRADAS!$H$7:$H$1002)</f>
        <v>0</v>
      </c>
      <c r="J97" s="94">
        <f>'CONT. ESTOQUE'!$H97-'CONT. ESTOQUE'!$I97</f>
        <v>0</v>
      </c>
    </row>
    <row r="98" spans="2:10" s="121" customFormat="1" ht="15.75" customHeight="1">
      <c r="B98" s="91" t="str">
        <f>PROD!B98</f>
        <v>MT-218</v>
      </c>
      <c r="C98" s="92">
        <f>IF('CONT. ESTOQUE'!$B98&lt;&gt;"",SUMIF(ENTRADAS!$C$7:$C$1002,'CONT. ESTOQUE'!$B98,ENTRADAS!$E$7:$E$1002),"")</f>
        <v>10</v>
      </c>
      <c r="D98" s="92">
        <f>IF('CONT. ESTOQUE'!$B98&lt;&gt;"",SUMIF(SAÍDAS!$C$7:$C$800,'CONT. ESTOQUE'!$B98,SAÍDAS!$J$7:$J$800),"")</f>
        <v>0</v>
      </c>
      <c r="E98" s="92">
        <f>IFERROR('CONT. ESTOQUE'!$C98-'CONT. ESTOQUE'!$D98,"")</f>
        <v>10</v>
      </c>
      <c r="F98" s="92">
        <f>IFERROR(VLOOKUP('CONT. ESTOQUE'!$B98,PROD!$B$6:$G$1095,4,0),"")</f>
        <v>0</v>
      </c>
      <c r="G98" s="92" t="str">
        <f>IF('CONT. ESTOQUE'!$B98&lt;&gt;"",IF('CONT. ESTOQUE'!$E98=0,"Sem Estoque",IF('CONT. ESTOQUE'!$E98&lt;'CONT. ESTOQUE'!$F98,"Estoque Perigoso","Estoque Confortável")),"")</f>
        <v>Estoque Confortável</v>
      </c>
      <c r="H98" s="93">
        <f>SUMIF(SAÍDAS!$C$7:$C$289,'CONT. ESTOQUE'!$B98,SAÍDAS!$L$7:$L$289)</f>
        <v>0</v>
      </c>
      <c r="I98" s="93">
        <f>SUMIF(ENTRADAS!$C$8:$C$1002,'CONT. ESTOQUE'!$B98,ENTRADAS!$H$7:$H$1002)</f>
        <v>0</v>
      </c>
      <c r="J98" s="94">
        <f>'CONT. ESTOQUE'!$H98-'CONT. ESTOQUE'!$I98</f>
        <v>0</v>
      </c>
    </row>
    <row r="99" spans="2:10" s="121" customFormat="1" ht="15.75" customHeight="1">
      <c r="B99" s="120" t="str">
        <f>PROD!B99</f>
        <v>-</v>
      </c>
      <c r="C99" s="122">
        <f>IF('CONT. ESTOQUE'!$B99&lt;&gt;"",SUMIF(ENTRADAS!$C$7:$C$1002,'CONT. ESTOQUE'!$B99,ENTRADAS!$E$7:$E$1002),"")</f>
        <v>0</v>
      </c>
      <c r="D99" s="92">
        <f>IF('CONT. ESTOQUE'!$B99&lt;&gt;"",SUMIF(SAÍDAS!$C$7:$C$800,'CONT. ESTOQUE'!$B99,SAÍDAS!$J$7:$J$800),"")</f>
        <v>0</v>
      </c>
      <c r="E99" s="122">
        <f>IFERROR('CONT. ESTOQUE'!$C99-'CONT. ESTOQUE'!$D99,"")</f>
        <v>0</v>
      </c>
      <c r="F99" s="122">
        <f>IFERROR(VLOOKUP('CONT. ESTOQUE'!$B99,PROD!$B$6:$G$1095,4,0),"")</f>
        <v>0</v>
      </c>
      <c r="G99" s="122" t="str">
        <f>IF('CONT. ESTOQUE'!$B99&lt;&gt;"",IF('CONT. ESTOQUE'!$E99=0,"Sem Estoque",IF('CONT. ESTOQUE'!$E99&lt;'CONT. ESTOQUE'!$F99,"Estoque Perigoso","Estoque Confortável")),"")</f>
        <v>Sem Estoque</v>
      </c>
      <c r="H99" s="123">
        <f>SUMIF(SAÍDAS!$C$7:$C$289,'CONT. ESTOQUE'!$B99,SAÍDAS!$L$7:$L$289)</f>
        <v>0</v>
      </c>
      <c r="I99" s="123">
        <f>SUMIF(ENTRADAS!$C$8:$C$1002,'CONT. ESTOQUE'!$B99,ENTRADAS!$H$7:$H$1002)</f>
        <v>0</v>
      </c>
      <c r="J99" s="124">
        <f>'CONT. ESTOQUE'!$H99-'CONT. ESTOQUE'!$I99</f>
        <v>0</v>
      </c>
    </row>
    <row r="100" spans="2:10" ht="15.75" customHeight="1">
      <c r="B100" s="120" t="str">
        <f>PROD!B100</f>
        <v>VT510</v>
      </c>
      <c r="C100" s="122">
        <f>IF('CONT. ESTOQUE'!$B100&lt;&gt;"",SUMIF(ENTRADAS!$C$7:$C$1002,'CONT. ESTOQUE'!$B100,ENTRADAS!$E$7:$E$1002),"")</f>
        <v>0</v>
      </c>
      <c r="D100" s="92">
        <f>IF('CONT. ESTOQUE'!$B100&lt;&gt;"",SUMIF(SAÍDAS!$C$7:$C$800,'CONT. ESTOQUE'!$B100,SAÍDAS!$J$7:$J$800),"")</f>
        <v>0</v>
      </c>
      <c r="E100" s="122">
        <f>IFERROR('CONT. ESTOQUE'!$C100-'CONT. ESTOQUE'!$D100,"")</f>
        <v>0</v>
      </c>
      <c r="F100" s="122">
        <f>IFERROR(VLOOKUP('CONT. ESTOQUE'!$B100,PROD!$B$6:$G$1095,4,0),"")</f>
        <v>0</v>
      </c>
      <c r="G100" s="122" t="str">
        <f>IF('CONT. ESTOQUE'!$B100&lt;&gt;"",IF('CONT. ESTOQUE'!$E100=0,"Sem Estoque",IF('CONT. ESTOQUE'!$E100&lt;'CONT. ESTOQUE'!$F100,"Estoque Perigoso","Estoque Confortável")),"")</f>
        <v>Sem Estoque</v>
      </c>
      <c r="H100" s="123">
        <f>SUMIF(SAÍDAS!$C$7:$C$289,'CONT. ESTOQUE'!$B100,SAÍDAS!$L$7:$L$289)</f>
        <v>0</v>
      </c>
      <c r="I100" s="123">
        <f>SUMIF(ENTRADAS!$C$8:$C$1002,'CONT. ESTOQUE'!$B100,ENTRADAS!$H$7:$H$1002)</f>
        <v>0</v>
      </c>
      <c r="J100" s="124">
        <f>'CONT. ESTOQUE'!$H100-'CONT. ESTOQUE'!$I100</f>
        <v>0</v>
      </c>
    </row>
    <row r="101" spans="2:10" ht="15.75" customHeight="1">
      <c r="B101" s="91" t="str">
        <f>PROD!B101</f>
        <v>510-260</v>
      </c>
      <c r="C101" s="92">
        <f>IF('CONT. ESTOQUE'!$B101&lt;&gt;"",SUMIF(ENTRADAS!$C$7:$C$1002,'CONT. ESTOQUE'!$B101,ENTRADAS!$E$7:$E$1002),"")</f>
        <v>8</v>
      </c>
      <c r="D101" s="92">
        <f>IF('CONT. ESTOQUE'!$B101&lt;&gt;"",SUMIF(SAÍDAS!$C$7:$C$800,'CONT. ESTOQUE'!$B101,SAÍDAS!$J$7:$J$800),"")</f>
        <v>5</v>
      </c>
      <c r="E101" s="92">
        <f>IFERROR('CONT. ESTOQUE'!$C101-'CONT. ESTOQUE'!$D101,"")</f>
        <v>3</v>
      </c>
      <c r="F101" s="92">
        <f>IFERROR(VLOOKUP('CONT. ESTOQUE'!$B101,PROD!$B$6:$G$1095,4,0),"")</f>
        <v>0</v>
      </c>
      <c r="G101" s="92" t="str">
        <f>IF('CONT. ESTOQUE'!$B101&lt;&gt;"",IF('CONT. ESTOQUE'!$E101=0,"Sem Estoque",IF('CONT. ESTOQUE'!$E101&lt;'CONT. ESTOQUE'!$F101,"Estoque Perigoso","Estoque Confortável")),"")</f>
        <v>Estoque Confortável</v>
      </c>
      <c r="H101" s="93">
        <f>SUMIF(SAÍDAS!$C$7:$C$289,'CONT. ESTOQUE'!$B101,SAÍDAS!$L$7:$L$289)</f>
        <v>0</v>
      </c>
      <c r="I101" s="93">
        <f>SUMIF(ENTRADAS!$C$8:$C$1002,'CONT. ESTOQUE'!$B101,ENTRADAS!$H$7:$H$1002)</f>
        <v>0</v>
      </c>
      <c r="J101" s="94">
        <f>'CONT. ESTOQUE'!$H101-'CONT. ESTOQUE'!$I101</f>
        <v>0</v>
      </c>
    </row>
    <row r="102" spans="2:10" ht="15.75" customHeight="1">
      <c r="B102" s="91" t="str">
        <f>PROD!B102</f>
        <v>510-250</v>
      </c>
      <c r="C102" s="92">
        <f>IF('CONT. ESTOQUE'!$B102&lt;&gt;"",SUMIF(ENTRADAS!$C$7:$C$1002,'CONT. ESTOQUE'!$B102,ENTRADAS!$E$7:$E$1002),"")</f>
        <v>17</v>
      </c>
      <c r="D102" s="92">
        <f>IF('CONT. ESTOQUE'!$B102&lt;&gt;"",SUMIF(SAÍDAS!$C$7:$C$800,'CONT. ESTOQUE'!$B102,SAÍDAS!$J$7:$J$800),"")</f>
        <v>5</v>
      </c>
      <c r="E102" s="92">
        <f>IFERROR('CONT. ESTOQUE'!$C102-'CONT. ESTOQUE'!$D102,"")</f>
        <v>12</v>
      </c>
      <c r="F102" s="92">
        <f>IFERROR(VLOOKUP('CONT. ESTOQUE'!$B102,PROD!$B$6:$G$1095,4,0),"")</f>
        <v>0</v>
      </c>
      <c r="G102" s="92" t="str">
        <f>IF('CONT. ESTOQUE'!$B102&lt;&gt;"",IF('CONT. ESTOQUE'!$E102=0,"Sem Estoque",IF('CONT. ESTOQUE'!$E102&lt;'CONT. ESTOQUE'!$F102,"Estoque Perigoso","Estoque Confortável")),"")</f>
        <v>Estoque Confortável</v>
      </c>
      <c r="H102" s="93">
        <f>SUMIF(SAÍDAS!$C$7:$C$289,'CONT. ESTOQUE'!$B102,SAÍDAS!$L$7:$L$289)</f>
        <v>0</v>
      </c>
      <c r="I102" s="93">
        <f>SUMIF(ENTRADAS!$C$8:$C$1002,'CONT. ESTOQUE'!$B102,ENTRADAS!$H$7:$H$1002)</f>
        <v>0</v>
      </c>
      <c r="J102" s="94">
        <f>'CONT. ESTOQUE'!$H102-'CONT. ESTOQUE'!$I102</f>
        <v>0</v>
      </c>
    </row>
    <row r="103" spans="2:10" ht="15.75" customHeight="1">
      <c r="B103" s="91" t="str">
        <f>PROD!B103</f>
        <v>510-240</v>
      </c>
      <c r="C103" s="92">
        <f>IF('CONT. ESTOQUE'!$B103&lt;&gt;"",SUMIF(ENTRADAS!$C$7:$C$1002,'CONT. ESTOQUE'!$B103,ENTRADAS!$E$7:$E$1002),"")</f>
        <v>11</v>
      </c>
      <c r="D103" s="92">
        <f>IF('CONT. ESTOQUE'!$B103&lt;&gt;"",SUMIF(SAÍDAS!$C$7:$C$800,'CONT. ESTOQUE'!$B103,SAÍDAS!$J$7:$J$800),"")</f>
        <v>2</v>
      </c>
      <c r="E103" s="92">
        <f>IFERROR('CONT. ESTOQUE'!$C103-'CONT. ESTOQUE'!$D103,"")</f>
        <v>9</v>
      </c>
      <c r="F103" s="92">
        <f>IFERROR(VLOOKUP('CONT. ESTOQUE'!$B103,PROD!$B$6:$G$1095,4,0),"")</f>
        <v>0</v>
      </c>
      <c r="G103" s="92" t="str">
        <f>IF('CONT. ESTOQUE'!$B103&lt;&gt;"",IF('CONT. ESTOQUE'!$E103=0,"Sem Estoque",IF('CONT. ESTOQUE'!$E103&lt;'CONT. ESTOQUE'!$F103,"Estoque Perigoso","Estoque Confortável")),"")</f>
        <v>Estoque Confortável</v>
      </c>
      <c r="H103" s="93">
        <f>SUMIF(SAÍDAS!$C$7:$C$289,'CONT. ESTOQUE'!$B103,SAÍDAS!$L$7:$L$289)</f>
        <v>0</v>
      </c>
      <c r="I103" s="93">
        <f>SUMIF(ENTRADAS!$C$8:$C$1002,'CONT. ESTOQUE'!$B103,ENTRADAS!$H$7:$H$1002)</f>
        <v>0</v>
      </c>
      <c r="J103" s="94">
        <f>'CONT. ESTOQUE'!$H103-'CONT. ESTOQUE'!$I103</f>
        <v>0</v>
      </c>
    </row>
    <row r="104" spans="2:10" s="121" customFormat="1" ht="15.75" customHeight="1">
      <c r="B104" s="91" t="str">
        <f>PROD!B104</f>
        <v>510-230</v>
      </c>
      <c r="C104" s="92">
        <f>IF('CONT. ESTOQUE'!$B104&lt;&gt;"",SUMIF(ENTRADAS!$C$7:$C$1002,'CONT. ESTOQUE'!$B104,ENTRADAS!$E$7:$E$1002),"")</f>
        <v>3</v>
      </c>
      <c r="D104" s="92">
        <f>IF('CONT. ESTOQUE'!$B104&lt;&gt;"",SUMIF(SAÍDAS!$C$7:$C$800,'CONT. ESTOQUE'!$B104,SAÍDAS!$J$7:$J$800),"")</f>
        <v>0</v>
      </c>
      <c r="E104" s="92">
        <f>IFERROR('CONT. ESTOQUE'!$C104-'CONT. ESTOQUE'!$D104,"")</f>
        <v>3</v>
      </c>
      <c r="F104" s="92">
        <f>IFERROR(VLOOKUP('CONT. ESTOQUE'!$B104,PROD!$B$6:$G$1095,4,0),"")</f>
        <v>0</v>
      </c>
      <c r="G104" s="92" t="str">
        <f>IF('CONT. ESTOQUE'!$B104&lt;&gt;"",IF('CONT. ESTOQUE'!$E104=0,"Sem Estoque",IF('CONT. ESTOQUE'!$E104&lt;'CONT. ESTOQUE'!$F104,"Estoque Perigoso","Estoque Confortável")),"")</f>
        <v>Estoque Confortável</v>
      </c>
      <c r="H104" s="93">
        <f>SUMIF(SAÍDAS!$C$7:$C$289,'CONT. ESTOQUE'!$B104,SAÍDAS!$L$7:$L$289)</f>
        <v>0</v>
      </c>
      <c r="I104" s="93">
        <f>SUMIF(ENTRADAS!$C$8:$C$1002,'CONT. ESTOQUE'!$B104,ENTRADAS!$H$7:$H$1002)</f>
        <v>0</v>
      </c>
      <c r="J104" s="94">
        <f>'CONT. ESTOQUE'!$H104-'CONT. ESTOQUE'!$I104</f>
        <v>0</v>
      </c>
    </row>
    <row r="105" spans="2:10" s="151" customFormat="1" ht="15.75" customHeight="1">
      <c r="B105" s="120" t="str">
        <f>PROD!B105</f>
        <v>510-226</v>
      </c>
      <c r="C105" s="92">
        <f>IF('CONT. ESTOQUE'!$B105&lt;&gt;"",SUMIF(ENTRADAS!$C$7:$C$1002,'CONT. ESTOQUE'!$B105,ENTRADAS!$E$7:$E$1002),"")</f>
        <v>2</v>
      </c>
      <c r="D105" s="92">
        <f>IF('CONT. ESTOQUE'!$B105&lt;&gt;"",SUMIF(SAÍDAS!$C$7:$C$800,'CONT. ESTOQUE'!$B105,SAÍDAS!$J$7:$J$800),"")</f>
        <v>0</v>
      </c>
      <c r="E105" s="92">
        <f>IFERROR('CONT. ESTOQUE'!$C105-'CONT. ESTOQUE'!$D105,"")</f>
        <v>2</v>
      </c>
      <c r="F105" s="92">
        <f>IFERROR(VLOOKUP('CONT. ESTOQUE'!$B105,PROD!$B$6:$G$1095,4,0),"")</f>
        <v>0</v>
      </c>
      <c r="G105" s="92" t="str">
        <f>IF('CONT. ESTOQUE'!$B105&lt;&gt;"",IF('CONT. ESTOQUE'!$E105=0,"Sem Estoque",IF('CONT. ESTOQUE'!$E105&lt;'CONT. ESTOQUE'!$F105,"Estoque Perigoso","Estoque Confortável")),"")</f>
        <v>Estoque Confortável</v>
      </c>
      <c r="H105" s="93">
        <f>SUMIF(SAÍDAS!$C$7:$C$289,'CONT. ESTOQUE'!$B105,SAÍDAS!$L$7:$L$289)</f>
        <v>0</v>
      </c>
      <c r="I105" s="93">
        <f>SUMIF(ENTRADAS!$C$8:$C$1002,'CONT. ESTOQUE'!$B105,ENTRADAS!$H$7:$H$1002)</f>
        <v>0</v>
      </c>
      <c r="J105" s="94">
        <f>'CONT. ESTOQUE'!$H105-'CONT. ESTOQUE'!$I105</f>
        <v>0</v>
      </c>
    </row>
    <row r="106" spans="2:10" s="121" customFormat="1" ht="15.75" customHeight="1">
      <c r="B106" s="120" t="str">
        <f>PROD!B106</f>
        <v>-</v>
      </c>
      <c r="C106" s="122">
        <f>IF('CONT. ESTOQUE'!$B106&lt;&gt;"",SUMIF(ENTRADAS!$C$7:$C$1002,'CONT. ESTOQUE'!$B106,ENTRADAS!$E$7:$E$1002),"")</f>
        <v>0</v>
      </c>
      <c r="D106" s="92">
        <f>IF('CONT. ESTOQUE'!$B106&lt;&gt;"",SUMIF(SAÍDAS!$C$7:$C$800,'CONT. ESTOQUE'!$B106,SAÍDAS!$J$7:$J$800),"")</f>
        <v>0</v>
      </c>
      <c r="E106" s="122">
        <f>IFERROR('CONT. ESTOQUE'!$C106-'CONT. ESTOQUE'!$D106,"")</f>
        <v>0</v>
      </c>
      <c r="F106" s="122">
        <f>IFERROR(VLOOKUP('CONT. ESTOQUE'!$B106,PROD!$B$6:$G$1095,4,0),"")</f>
        <v>0</v>
      </c>
      <c r="G106" s="122" t="str">
        <f>IF('CONT. ESTOQUE'!$B106&lt;&gt;"",IF('CONT. ESTOQUE'!$E106=0,"Sem Estoque",IF('CONT. ESTOQUE'!$E106&lt;'CONT. ESTOQUE'!$F106,"Estoque Perigoso","Estoque Confortável")),"")</f>
        <v>Sem Estoque</v>
      </c>
      <c r="H106" s="123">
        <f>SUMIF(SAÍDAS!$C$7:$C$289,'CONT. ESTOQUE'!$B106,SAÍDAS!$L$7:$L$289)</f>
        <v>0</v>
      </c>
      <c r="I106" s="123">
        <f>SUMIF(ENTRADAS!$C$8:$C$1002,'CONT. ESTOQUE'!$B106,ENTRADAS!$H$7:$H$1002)</f>
        <v>0</v>
      </c>
      <c r="J106" s="124">
        <f>'CONT. ESTOQUE'!$H106-'CONT. ESTOQUE'!$I106</f>
        <v>0</v>
      </c>
    </row>
    <row r="107" spans="2:10" s="114" customFormat="1" ht="15.75" customHeight="1">
      <c r="B107" s="120" t="str">
        <f>PROD!B107</f>
        <v>VRT3</v>
      </c>
      <c r="C107" s="122">
        <f>IF('CONT. ESTOQUE'!$B107&lt;&gt;"",SUMIF(ENTRADAS!$C$7:$C$1002,'CONT. ESTOQUE'!$B107,ENTRADAS!$E$7:$E$1002),"")</f>
        <v>0</v>
      </c>
      <c r="D107" s="92">
        <f>IF('CONT. ESTOQUE'!$B107&lt;&gt;"",SUMIF(SAÍDAS!$C$7:$C$800,'CONT. ESTOQUE'!$B107,SAÍDAS!$J$7:$J$800),"")</f>
        <v>0</v>
      </c>
      <c r="E107" s="122">
        <f>IFERROR('CONT. ESTOQUE'!$C107-'CONT. ESTOQUE'!$D107,"")</f>
        <v>0</v>
      </c>
      <c r="F107" s="122">
        <f>IFERROR(VLOOKUP('CONT. ESTOQUE'!$B107,PROD!$B$6:$G$1095,4,0),"")</f>
        <v>0</v>
      </c>
      <c r="G107" s="122" t="str">
        <f>IF('CONT. ESTOQUE'!$B107&lt;&gt;"",IF('CONT. ESTOQUE'!$E107=0,"Sem Estoque",IF('CONT. ESTOQUE'!$E107&lt;'CONT. ESTOQUE'!$F107,"Estoque Perigoso","Estoque Confortável")),"")</f>
        <v>Sem Estoque</v>
      </c>
      <c r="H107" s="123">
        <f>SUMIF(SAÍDAS!$C$7:$C$289,'CONT. ESTOQUE'!$B107,SAÍDAS!$L$7:$L$289)</f>
        <v>0</v>
      </c>
      <c r="I107" s="123">
        <f>SUMIF(ENTRADAS!$C$8:$C$1002,'CONT. ESTOQUE'!$B107,ENTRADAS!$H$7:$H$1002)</f>
        <v>0</v>
      </c>
      <c r="J107" s="124">
        <f>'CONT. ESTOQUE'!$H107-'CONT. ESTOQUE'!$I107</f>
        <v>0</v>
      </c>
    </row>
    <row r="108" spans="2:10" s="144" customFormat="1" ht="15.75" customHeight="1">
      <c r="B108" s="91" t="str">
        <f>PROD!B108</f>
        <v>VRT3-270</v>
      </c>
      <c r="C108" s="92">
        <f>IF('CONT. ESTOQUE'!$B108&lt;&gt;"",SUMIF(ENTRADAS!$C$7:$C$1002,'CONT. ESTOQUE'!$B108,ENTRADAS!$E$7:$E$1002),"")</f>
        <v>1</v>
      </c>
      <c r="D108" s="92">
        <f>IF('CONT. ESTOQUE'!$B108&lt;&gt;"",SUMIF(SAÍDAS!$C$7:$C$800,'CONT. ESTOQUE'!$B108,SAÍDAS!$J$7:$J$800),"")</f>
        <v>0</v>
      </c>
      <c r="E108" s="92">
        <f>IFERROR('CONT. ESTOQUE'!$C108-'CONT. ESTOQUE'!$D108,"")</f>
        <v>1</v>
      </c>
      <c r="F108" s="92">
        <f>IFERROR(VLOOKUP('CONT. ESTOQUE'!$B108,PROD!$B$6:$G$1095,4,0),"")</f>
        <v>0</v>
      </c>
      <c r="G108" s="92" t="str">
        <f>IF('CONT. ESTOQUE'!$B108&lt;&gt;"",IF('CONT. ESTOQUE'!$E108=0,"Sem Estoque",IF('CONT. ESTOQUE'!$E108&lt;'CONT. ESTOQUE'!$F108,"Estoque Perigoso","Estoque Confortável")),"")</f>
        <v>Estoque Confortável</v>
      </c>
      <c r="H108" s="93">
        <f>SUMIF(SAÍDAS!$C$7:$C$289,'CONT. ESTOQUE'!$B108,SAÍDAS!$L$7:$L$289)</f>
        <v>0</v>
      </c>
      <c r="I108" s="93">
        <f>SUMIF(ENTRADAS!$C$8:$C$1002,'CONT. ESTOQUE'!$B108,ENTRADAS!$H$7:$H$1002)</f>
        <v>0</v>
      </c>
      <c r="J108" s="94">
        <f>'CONT. ESTOQUE'!$H108-'CONT. ESTOQUE'!$I108</f>
        <v>0</v>
      </c>
    </row>
    <row r="109" spans="2:10" s="129" customFormat="1" ht="15.75" customHeight="1">
      <c r="B109" s="91" t="str">
        <f>PROD!B109</f>
        <v>VRT3-260</v>
      </c>
      <c r="C109" s="92">
        <f>IF('CONT. ESTOQUE'!$B109&lt;&gt;"",SUMIF(ENTRADAS!$C$7:$C$1002,'CONT. ESTOQUE'!$B109,ENTRADAS!$E$7:$E$1002),"")</f>
        <v>0</v>
      </c>
      <c r="D109" s="92">
        <f>IF('CONT. ESTOQUE'!$B109&lt;&gt;"",SUMIF(SAÍDAS!$C$7:$C$800,'CONT. ESTOQUE'!$B109,SAÍDAS!$J$7:$J$800),"")</f>
        <v>0</v>
      </c>
      <c r="E109" s="92">
        <f>IFERROR('CONT. ESTOQUE'!$C109-'CONT. ESTOQUE'!$D109,"")</f>
        <v>0</v>
      </c>
      <c r="F109" s="92">
        <f>IFERROR(VLOOKUP('CONT. ESTOQUE'!$B109,PROD!$B$6:$G$1095,4,0),"")</f>
        <v>0</v>
      </c>
      <c r="G109" s="92" t="str">
        <f>IF('CONT. ESTOQUE'!$B109&lt;&gt;"",IF('CONT. ESTOQUE'!$E109=0,"Sem Estoque",IF('CONT. ESTOQUE'!$E109&lt;'CONT. ESTOQUE'!$F109,"Estoque Perigoso","Estoque Confortável")),"")</f>
        <v>Sem Estoque</v>
      </c>
      <c r="H109" s="93">
        <f>SUMIF(SAÍDAS!$C$7:$C$289,'CONT. ESTOQUE'!$B109,SAÍDAS!$L$7:$L$289)</f>
        <v>0</v>
      </c>
      <c r="I109" s="93">
        <f>SUMIF(ENTRADAS!$C$8:$C$1002,'CONT. ESTOQUE'!$B109,ENTRADAS!$H$7:$H$1002)</f>
        <v>0</v>
      </c>
      <c r="J109" s="94">
        <f>'CONT. ESTOQUE'!$H109-'CONT. ESTOQUE'!$I109</f>
        <v>0</v>
      </c>
    </row>
    <row r="110" spans="2:10" s="114" customFormat="1" ht="15.75" customHeight="1">
      <c r="B110" s="91" t="str">
        <f>PROD!B110</f>
        <v>VRT3-250</v>
      </c>
      <c r="C110" s="92">
        <f>IF('CONT. ESTOQUE'!$B110&lt;&gt;"",SUMIF(ENTRADAS!$C$7:$C$1002,'CONT. ESTOQUE'!$B110,ENTRADAS!$E$7:$E$1002),"")</f>
        <v>3</v>
      </c>
      <c r="D110" s="92">
        <f>IF('CONT. ESTOQUE'!$B110&lt;&gt;"",SUMIF(SAÍDAS!$C$7:$C$800,'CONT. ESTOQUE'!$B110,SAÍDAS!$J$7:$J$800),"")</f>
        <v>1</v>
      </c>
      <c r="E110" s="92">
        <f>IFERROR('CONT. ESTOQUE'!$C110-'CONT. ESTOQUE'!$D110,"")</f>
        <v>2</v>
      </c>
      <c r="F110" s="92">
        <f>IFERROR(VLOOKUP('CONT. ESTOQUE'!$B110,PROD!$B$6:$G$1095,4,0),"")</f>
        <v>0</v>
      </c>
      <c r="G110" s="92" t="str">
        <f>IF('CONT. ESTOQUE'!$B110&lt;&gt;"",IF('CONT. ESTOQUE'!$E110=0,"Sem Estoque",IF('CONT. ESTOQUE'!$E110&lt;'CONT. ESTOQUE'!$F110,"Estoque Perigoso","Estoque Confortável")),"")</f>
        <v>Estoque Confortável</v>
      </c>
      <c r="H110" s="93">
        <f>SUMIF(SAÍDAS!$C$7:$C$289,'CONT. ESTOQUE'!$B110,SAÍDAS!$L$7:$L$289)</f>
        <v>0</v>
      </c>
      <c r="I110" s="93">
        <f>SUMIF(ENTRADAS!$C$8:$C$1002,'CONT. ESTOQUE'!$B110,ENTRADAS!$H$7:$H$1002)</f>
        <v>0</v>
      </c>
      <c r="J110" s="94">
        <f>'CONT. ESTOQUE'!$H110-'CONT. ESTOQUE'!$I110</f>
        <v>0</v>
      </c>
    </row>
    <row r="111" spans="2:10" s="121" customFormat="1" ht="15.75" customHeight="1">
      <c r="B111" s="91" t="str">
        <f>PROD!B111</f>
        <v>VRT3-240</v>
      </c>
      <c r="C111" s="92">
        <f>IF('CONT. ESTOQUE'!$B111&lt;&gt;"",SUMIF(ENTRADAS!$C$7:$C$1002,'CONT. ESTOQUE'!$B111,ENTRADAS!$E$7:$E$1002),"")</f>
        <v>2</v>
      </c>
      <c r="D111" s="92">
        <f>IF('CONT. ESTOQUE'!$B111&lt;&gt;"",SUMIF(SAÍDAS!$C$7:$C$800,'CONT. ESTOQUE'!$B111,SAÍDAS!$J$7:$J$800),"")</f>
        <v>0</v>
      </c>
      <c r="E111" s="92">
        <f>IFERROR('CONT. ESTOQUE'!$C111-'CONT. ESTOQUE'!$D111,"")</f>
        <v>2</v>
      </c>
      <c r="F111" s="92">
        <f>IFERROR(VLOOKUP('CONT. ESTOQUE'!$B111,PROD!$B$6:$G$1095,4,0),"")</f>
        <v>0</v>
      </c>
      <c r="G111" s="92" t="str">
        <f>IF('CONT. ESTOQUE'!$B111&lt;&gt;"",IF('CONT. ESTOQUE'!$E111=0,"Sem Estoque",IF('CONT. ESTOQUE'!$E111&lt;'CONT. ESTOQUE'!$F111,"Estoque Perigoso","Estoque Confortável")),"")</f>
        <v>Estoque Confortável</v>
      </c>
      <c r="H111" s="93">
        <f>SUMIF(SAÍDAS!$C$7:$C$289,'CONT. ESTOQUE'!$B111,SAÍDAS!$L$7:$L$289)</f>
        <v>0</v>
      </c>
      <c r="I111" s="93">
        <f>SUMIF(ENTRADAS!$C$8:$C$1002,'CONT. ESTOQUE'!$B111,ENTRADAS!$H$7:$H$1002)</f>
        <v>0</v>
      </c>
      <c r="J111" s="94">
        <f>'CONT. ESTOQUE'!$H111-'CONT. ESTOQUE'!$I111</f>
        <v>0</v>
      </c>
    </row>
    <row r="112" spans="2:10" s="114" customFormat="1" ht="15.75" customHeight="1">
      <c r="B112" s="120" t="str">
        <f>PROD!B112</f>
        <v>-</v>
      </c>
      <c r="C112" s="122">
        <f>IF('CONT. ESTOQUE'!$B112&lt;&gt;"",SUMIF(ENTRADAS!$C$7:$C$1002,'CONT. ESTOQUE'!$B112,ENTRADAS!$E$7:$E$1002),"")</f>
        <v>0</v>
      </c>
      <c r="D112" s="92">
        <f>IF('CONT. ESTOQUE'!$B112&lt;&gt;"",SUMIF(SAÍDAS!$C$7:$C$800,'CONT. ESTOQUE'!$B112,SAÍDAS!$J$7:$J$800),"")</f>
        <v>0</v>
      </c>
      <c r="E112" s="122">
        <f>IFERROR('CONT. ESTOQUE'!$C112-'CONT. ESTOQUE'!$D112,"")</f>
        <v>0</v>
      </c>
      <c r="F112" s="122">
        <f>IFERROR(VLOOKUP('CONT. ESTOQUE'!$B112,PROD!$B$6:$G$1095,4,0),"")</f>
        <v>0</v>
      </c>
      <c r="G112" s="122" t="str">
        <f>IF('CONT. ESTOQUE'!$B112&lt;&gt;"",IF('CONT. ESTOQUE'!$E112=0,"Sem Estoque",IF('CONT. ESTOQUE'!$E112&lt;'CONT. ESTOQUE'!$F112,"Estoque Perigoso","Estoque Confortável")),"")</f>
        <v>Sem Estoque</v>
      </c>
      <c r="H112" s="123">
        <f>SUMIF(SAÍDAS!$C$7:$C$289,'CONT. ESTOQUE'!$B112,SAÍDAS!$L$7:$L$289)</f>
        <v>0</v>
      </c>
      <c r="I112" s="123">
        <f>SUMIF(ENTRADAS!$C$8:$C$1002,'CONT. ESTOQUE'!$B112,ENTRADAS!$H$7:$H$1002)</f>
        <v>0</v>
      </c>
      <c r="J112" s="124">
        <f>'CONT. ESTOQUE'!$H112-'CONT. ESTOQUE'!$I112</f>
        <v>0</v>
      </c>
    </row>
    <row r="113" spans="2:10" ht="15.75" customHeight="1">
      <c r="B113" s="120" t="str">
        <f>PROD!B113</f>
        <v>VM500B</v>
      </c>
      <c r="C113" s="92">
        <f>IF('CONT. ESTOQUE'!$B113&lt;&gt;"",SUMIF(ENTRADAS!$C$7:$C$1002,'CONT. ESTOQUE'!$B113,ENTRADAS!$E$7:$E$1002),"")</f>
        <v>0</v>
      </c>
      <c r="D113" s="92">
        <f>IF('CONT. ESTOQUE'!$B113&lt;&gt;"",SUMIF(SAÍDAS!$C$7:$C$800,'CONT. ESTOQUE'!$B113,SAÍDAS!$J$7:$J$800),"")</f>
        <v>0</v>
      </c>
      <c r="E113" s="92">
        <f>IFERROR('CONT. ESTOQUE'!$C113-'CONT. ESTOQUE'!$D113,"")</f>
        <v>0</v>
      </c>
      <c r="F113" s="92">
        <f>IFERROR(VLOOKUP('CONT. ESTOQUE'!$B113,PROD!$B$6:$G$1095,4,0),"")</f>
        <v>0</v>
      </c>
      <c r="G113" s="92" t="str">
        <f>IF('CONT. ESTOQUE'!$B113&lt;&gt;"",IF('CONT. ESTOQUE'!$E113=0,"Sem Estoque",IF('CONT. ESTOQUE'!$E113&lt;'CONT. ESTOQUE'!$F113,"Estoque Perigoso","Estoque Confortável")),"")</f>
        <v>Sem Estoque</v>
      </c>
      <c r="H113" s="93">
        <f>SUMIF(SAÍDAS!$C$7:$C$289,'CONT. ESTOQUE'!$B113,SAÍDAS!$L$7:$L$289)</f>
        <v>0</v>
      </c>
      <c r="I113" s="93">
        <f>SUMIF(ENTRADAS!$C$8:$C$1002,'CONT. ESTOQUE'!$B113,ENTRADAS!$H$7:$H$1002)</f>
        <v>0</v>
      </c>
      <c r="J113" s="94">
        <f>'CONT. ESTOQUE'!$H113-'CONT. ESTOQUE'!$I113</f>
        <v>0</v>
      </c>
    </row>
    <row r="114" spans="2:10" ht="15.75" customHeight="1">
      <c r="B114" s="91" t="str">
        <f>PROD!B114</f>
        <v>500B-258</v>
      </c>
      <c r="C114" s="92">
        <f>IF('CONT. ESTOQUE'!$B114&lt;&gt;"",SUMIF(ENTRADAS!$C$7:$C$1002,'CONT. ESTOQUE'!$B114,ENTRADAS!$E$7:$E$1002),"")</f>
        <v>5</v>
      </c>
      <c r="D114" s="92">
        <f>IF('CONT. ESTOQUE'!$B114&lt;&gt;"",SUMIF(SAÍDAS!$C$7:$C$800,'CONT. ESTOQUE'!$B114,SAÍDAS!$J$7:$J$800),"")</f>
        <v>4</v>
      </c>
      <c r="E114" s="92">
        <f>IFERROR('CONT. ESTOQUE'!$C114-'CONT. ESTOQUE'!$D114,"")</f>
        <v>1</v>
      </c>
      <c r="F114" s="92">
        <f>IFERROR(VLOOKUP('CONT. ESTOQUE'!$B114,PROD!$B$6:$G$1095,4,0),"")</f>
        <v>0</v>
      </c>
      <c r="G114" s="92" t="str">
        <f>IF('CONT. ESTOQUE'!$B114&lt;&gt;"",IF('CONT. ESTOQUE'!$E114=0,"Sem Estoque",IF('CONT. ESTOQUE'!$E114&lt;'CONT. ESTOQUE'!$F114,"Estoque Perigoso","Estoque Confortável")),"")</f>
        <v>Estoque Confortável</v>
      </c>
      <c r="H114" s="93">
        <f>SUMIF(SAÍDAS!$C$7:$C$289,'CONT. ESTOQUE'!$B114,SAÍDAS!$L$7:$L$289)</f>
        <v>0</v>
      </c>
      <c r="I114" s="93">
        <f>SUMIF(ENTRADAS!$C$8:$C$1002,'CONT. ESTOQUE'!$B114,ENTRADAS!$H$7:$H$1002)</f>
        <v>0</v>
      </c>
      <c r="J114" s="94">
        <f>'CONT. ESTOQUE'!$H114-'CONT. ESTOQUE'!$I114</f>
        <v>0</v>
      </c>
    </row>
    <row r="115" spans="2:10" ht="15.75" customHeight="1">
      <c r="B115" s="91" t="str">
        <f>PROD!B115</f>
        <v>500B-250</v>
      </c>
      <c r="C115" s="92">
        <f>IF('CONT. ESTOQUE'!$B115&lt;&gt;"",SUMIF(ENTRADAS!$C$7:$C$1002,'CONT. ESTOQUE'!$B115,ENTRADAS!$E$7:$E$1002),"")</f>
        <v>10</v>
      </c>
      <c r="D115" s="92">
        <f>IF('CONT. ESTOQUE'!$B115&lt;&gt;"",SUMIF(SAÍDAS!$C$7:$C$800,'CONT. ESTOQUE'!$B115,SAÍDAS!$J$7:$J$800),"")</f>
        <v>7</v>
      </c>
      <c r="E115" s="92">
        <f>IFERROR('CONT. ESTOQUE'!$C115-'CONT. ESTOQUE'!$D115,"")</f>
        <v>3</v>
      </c>
      <c r="F115" s="92">
        <f>IFERROR(VLOOKUP('CONT. ESTOQUE'!$B115,PROD!$B$6:$G$1095,4,0),"")</f>
        <v>0</v>
      </c>
      <c r="G115" s="92" t="str">
        <f>IF('CONT. ESTOQUE'!$B115&lt;&gt;"",IF('CONT. ESTOQUE'!$E115=0,"Sem Estoque",IF('CONT. ESTOQUE'!$E115&lt;'CONT. ESTOQUE'!$F115,"Estoque Perigoso","Estoque Confortável")),"")</f>
        <v>Estoque Confortável</v>
      </c>
      <c r="H115" s="93">
        <f>SUMIF(SAÍDAS!$C$7:$C$289,'CONT. ESTOQUE'!$B115,SAÍDAS!$L$7:$L$289)</f>
        <v>0</v>
      </c>
      <c r="I115" s="93">
        <f>SUMIF(ENTRADAS!$C$8:$C$1002,'CONT. ESTOQUE'!$B115,ENTRADAS!$H$7:$H$1002)</f>
        <v>0</v>
      </c>
      <c r="J115" s="94">
        <f>'CONT. ESTOQUE'!$H115-'CONT. ESTOQUE'!$I115</f>
        <v>0</v>
      </c>
    </row>
    <row r="116" spans="2:10" ht="15.75" customHeight="1">
      <c r="B116" s="91" t="str">
        <f>PROD!B116</f>
        <v>500B-242</v>
      </c>
      <c r="C116" s="92">
        <f>IF('CONT. ESTOQUE'!$B116&lt;&gt;"",SUMIF(ENTRADAS!$C$7:$C$1002,'CONT. ESTOQUE'!$B116,ENTRADAS!$E$7:$E$1002),"")</f>
        <v>9</v>
      </c>
      <c r="D116" s="92">
        <f>IF('CONT. ESTOQUE'!$B116&lt;&gt;"",SUMIF(SAÍDAS!$C$7:$C$800,'CONT. ESTOQUE'!$B116,SAÍDAS!$J$7:$J$800),"")</f>
        <v>4</v>
      </c>
      <c r="E116" s="92">
        <f>IFERROR('CONT. ESTOQUE'!$C116-'CONT. ESTOQUE'!$D116,"")</f>
        <v>5</v>
      </c>
      <c r="F116" s="92">
        <f>IFERROR(VLOOKUP('CONT. ESTOQUE'!$B116,PROD!$B$6:$G$1095,4,0),"")</f>
        <v>0</v>
      </c>
      <c r="G116" s="92" t="str">
        <f>IF('CONT. ESTOQUE'!$B116&lt;&gt;"",IF('CONT. ESTOQUE'!$E116=0,"Sem Estoque",IF('CONT. ESTOQUE'!$E116&lt;'CONT. ESTOQUE'!$F116,"Estoque Perigoso","Estoque Confortável")),"")</f>
        <v>Estoque Confortável</v>
      </c>
      <c r="H116" s="93">
        <f>SUMIF(SAÍDAS!$C$7:$C$289,'CONT. ESTOQUE'!$B116,SAÍDAS!$L$7:$L$289)</f>
        <v>0</v>
      </c>
      <c r="I116" s="93">
        <f>SUMIF(ENTRADAS!$C$8:$C$1002,'CONT. ESTOQUE'!$B116,ENTRADAS!$H$7:$H$1002)</f>
        <v>0</v>
      </c>
      <c r="J116" s="94">
        <f>'CONT. ESTOQUE'!$H116-'CONT. ESTOQUE'!$I116</f>
        <v>0</v>
      </c>
    </row>
    <row r="117" spans="2:10" s="121" customFormat="1" ht="15.75" customHeight="1">
      <c r="B117" s="91" t="str">
        <f>PROD!B117</f>
        <v>500B-235</v>
      </c>
      <c r="C117" s="92">
        <f>IF('CONT. ESTOQUE'!$B117&lt;&gt;"",SUMIF(ENTRADAS!$C$7:$C$1002,'CONT. ESTOQUE'!$B117,ENTRADAS!$E$7:$E$1002),"")</f>
        <v>3</v>
      </c>
      <c r="D117" s="92">
        <f>IF('CONT. ESTOQUE'!$B117&lt;&gt;"",SUMIF(SAÍDAS!$C$7:$C$800,'CONT. ESTOQUE'!$B117,SAÍDAS!$J$7:$J$800),"")</f>
        <v>0</v>
      </c>
      <c r="E117" s="92">
        <f>IFERROR('CONT. ESTOQUE'!$C117-'CONT. ESTOQUE'!$D117,"")</f>
        <v>3</v>
      </c>
      <c r="F117" s="92">
        <f>IFERROR(VLOOKUP('CONT. ESTOQUE'!$B117,PROD!$B$6:$G$1095,4,0),"")</f>
        <v>0</v>
      </c>
      <c r="G117" s="92" t="str">
        <f>IF('CONT. ESTOQUE'!$B117&lt;&gt;"",IF('CONT. ESTOQUE'!$E117=0,"Sem Estoque",IF('CONT. ESTOQUE'!$E117&lt;'CONT. ESTOQUE'!$F117,"Estoque Perigoso","Estoque Confortável")),"")</f>
        <v>Estoque Confortável</v>
      </c>
      <c r="H117" s="93">
        <f>SUMIF(SAÍDAS!$C$7:$C$289,'CONT. ESTOQUE'!$B117,SAÍDAS!$L$7:$L$289)</f>
        <v>0</v>
      </c>
      <c r="I117" s="93">
        <f>SUMIF(ENTRADAS!$C$8:$C$1002,'CONT. ESTOQUE'!$B117,ENTRADAS!$H$7:$H$1002)</f>
        <v>0</v>
      </c>
      <c r="J117" s="94">
        <f>'CONT. ESTOQUE'!$H117-'CONT. ESTOQUE'!$I117</f>
        <v>0</v>
      </c>
    </row>
    <row r="118" spans="2:10" s="114" customFormat="1" ht="15.75" customHeight="1">
      <c r="B118" s="120" t="str">
        <f>PROD!B118</f>
        <v>-</v>
      </c>
      <c r="C118" s="122">
        <f>IF('CONT. ESTOQUE'!$B118&lt;&gt;"",SUMIF(ENTRADAS!$C$7:$C$1002,'CONT. ESTOQUE'!$B118,ENTRADAS!$E$7:$E$1002),"")</f>
        <v>0</v>
      </c>
      <c r="D118" s="92">
        <f>IF('CONT. ESTOQUE'!$B118&lt;&gt;"",SUMIF(SAÍDAS!$C$7:$C$800,'CONT. ESTOQUE'!$B118,SAÍDAS!$J$7:$J$800),"")</f>
        <v>0</v>
      </c>
      <c r="E118" s="122">
        <f>IFERROR('CONT. ESTOQUE'!$C118-'CONT. ESTOQUE'!$D118,"")</f>
        <v>0</v>
      </c>
      <c r="F118" s="122">
        <f>IFERROR(VLOOKUP('CONT. ESTOQUE'!$B118,PROD!$B$6:$G$1095,4,0),"")</f>
        <v>0</v>
      </c>
      <c r="G118" s="122" t="str">
        <f>IF('CONT. ESTOQUE'!$B118&lt;&gt;"",IF('CONT. ESTOQUE'!$E118=0,"Sem Estoque",IF('CONT. ESTOQUE'!$E118&lt;'CONT. ESTOQUE'!$F118,"Estoque Perigoso","Estoque Confortável")),"")</f>
        <v>Sem Estoque</v>
      </c>
      <c r="H118" s="123">
        <f>SUMIF(SAÍDAS!$C$7:$C$289,'CONT. ESTOQUE'!$B118,SAÍDAS!$L$7:$L$289)</f>
        <v>0</v>
      </c>
      <c r="I118" s="123">
        <f>SUMIF(ENTRADAS!$C$8:$C$1002,'CONT. ESTOQUE'!$B118,ENTRADAS!$H$7:$H$1002)</f>
        <v>0</v>
      </c>
      <c r="J118" s="124">
        <f>'CONT. ESTOQUE'!$H118-'CONT. ESTOQUE'!$I118</f>
        <v>0</v>
      </c>
    </row>
    <row r="119" spans="2:10" ht="15.75" customHeight="1">
      <c r="B119" s="120" t="str">
        <f>PROD!B119</f>
        <v>VDY</v>
      </c>
      <c r="C119" s="92">
        <f>IF('CONT. ESTOQUE'!$B119&lt;&gt;"",SUMIF(ENTRADAS!$C$7:$C$1002,'CONT. ESTOQUE'!$B119,ENTRADAS!$E$7:$E$1002),"")</f>
        <v>0</v>
      </c>
      <c r="D119" s="92">
        <f>IF('CONT. ESTOQUE'!$B119&lt;&gt;"",SUMIF(SAÍDAS!$C$7:$C$800,'CONT. ESTOQUE'!$B119,SAÍDAS!$J$7:$J$800),"")</f>
        <v>0</v>
      </c>
      <c r="E119" s="92">
        <f>IFERROR('CONT. ESTOQUE'!$C119-'CONT. ESTOQUE'!$D119,"")</f>
        <v>0</v>
      </c>
      <c r="F119" s="92">
        <f>IFERROR(VLOOKUP('CONT. ESTOQUE'!$B119,PROD!$B$6:$G$1095,4,0),"")</f>
        <v>0</v>
      </c>
      <c r="G119" s="92" t="str">
        <f>IF('CONT. ESTOQUE'!$B119&lt;&gt;"",IF('CONT. ESTOQUE'!$E119=0,"Sem Estoque",IF('CONT. ESTOQUE'!$E119&lt;'CONT. ESTOQUE'!$F119,"Estoque Perigoso","Estoque Confortável")),"")</f>
        <v>Sem Estoque</v>
      </c>
      <c r="H119" s="93">
        <f>SUMIF(SAÍDAS!$C$7:$C$289,'CONT. ESTOQUE'!$B119,SAÍDAS!$L$7:$L$289)</f>
        <v>0</v>
      </c>
      <c r="I119" s="93">
        <f>SUMIF(ENTRADAS!$C$8:$C$1002,'CONT. ESTOQUE'!$B119,ENTRADAS!$H$7:$H$1002)</f>
        <v>0</v>
      </c>
      <c r="J119" s="94">
        <f>'CONT. ESTOQUE'!$H119-'CONT. ESTOQUE'!$I119</f>
        <v>0</v>
      </c>
    </row>
    <row r="120" spans="2:10" ht="15.75" customHeight="1">
      <c r="B120" s="91" t="str">
        <f>PROD!B120</f>
        <v>VDY-240</v>
      </c>
      <c r="C120" s="92">
        <f>IF('CONT. ESTOQUE'!$B120&lt;&gt;"",SUMIF(ENTRADAS!$C$7:$C$1002,'CONT. ESTOQUE'!$B120,ENTRADAS!$E$7:$E$1002),"")</f>
        <v>8</v>
      </c>
      <c r="D120" s="92">
        <f>IF('CONT. ESTOQUE'!$B120&lt;&gt;"",SUMIF(SAÍDAS!$C$7:$C$800,'CONT. ESTOQUE'!$B120,SAÍDAS!$J$7:$J$800),"")</f>
        <v>2</v>
      </c>
      <c r="E120" s="92">
        <f>IFERROR('CONT. ESTOQUE'!$C120-'CONT. ESTOQUE'!$D120,"")</f>
        <v>6</v>
      </c>
      <c r="F120" s="92">
        <f>IFERROR(VLOOKUP('CONT. ESTOQUE'!$B120,PROD!$B$6:$G$1095,4,0),"")</f>
        <v>0</v>
      </c>
      <c r="G120" s="92" t="str">
        <f>IF('CONT. ESTOQUE'!$B120&lt;&gt;"",IF('CONT. ESTOQUE'!$E120=0,"Sem Estoque",IF('CONT. ESTOQUE'!$E120&lt;'CONT. ESTOQUE'!$F120,"Estoque Perigoso","Estoque Confortável")),"")</f>
        <v>Estoque Confortável</v>
      </c>
      <c r="H120" s="93">
        <f>SUMIF(SAÍDAS!$C$7:$C$289,'CONT. ESTOQUE'!$B120,SAÍDAS!$L$7:$L$289)</f>
        <v>0</v>
      </c>
      <c r="I120" s="93">
        <f>SUMIF(ENTRADAS!$C$8:$C$1002,'CONT. ESTOQUE'!$B120,ENTRADAS!$H$7:$H$1002)</f>
        <v>0</v>
      </c>
      <c r="J120" s="94">
        <f>'CONT. ESTOQUE'!$H120-'CONT. ESTOQUE'!$I120</f>
        <v>0</v>
      </c>
    </row>
    <row r="121" spans="2:10" s="121" customFormat="1" ht="15.75" customHeight="1">
      <c r="B121" s="91" t="str">
        <f>PROD!B121</f>
        <v>VDY-230</v>
      </c>
      <c r="C121" s="92">
        <f>IF('CONT. ESTOQUE'!$B121&lt;&gt;"",SUMIF(ENTRADAS!$C$7:$C$1002,'CONT. ESTOQUE'!$B121,ENTRADAS!$E$7:$E$1002),"")</f>
        <v>6</v>
      </c>
      <c r="D121" s="92">
        <f>IF('CONT. ESTOQUE'!$B121&lt;&gt;"",SUMIF(SAÍDAS!$C$7:$C$800,'CONT. ESTOQUE'!$B121,SAÍDAS!$J$7:$J$800),"")</f>
        <v>2</v>
      </c>
      <c r="E121" s="92">
        <f>IFERROR('CONT. ESTOQUE'!$C121-'CONT. ESTOQUE'!$D121,"")</f>
        <v>4</v>
      </c>
      <c r="F121" s="92">
        <f>IFERROR(VLOOKUP('CONT. ESTOQUE'!$B121,PROD!$B$6:$G$1095,4,0),"")</f>
        <v>0</v>
      </c>
      <c r="G121" s="92" t="str">
        <f>IF('CONT. ESTOQUE'!$B121&lt;&gt;"",IF('CONT. ESTOQUE'!$E121=0,"Sem Estoque",IF('CONT. ESTOQUE'!$E121&lt;'CONT. ESTOQUE'!$F121,"Estoque Perigoso","Estoque Confortável")),"")</f>
        <v>Estoque Confortável</v>
      </c>
      <c r="H121" s="93">
        <f>SUMIF(SAÍDAS!$C$7:$C$289,'CONT. ESTOQUE'!$B121,SAÍDAS!$L$7:$L$289)</f>
        <v>0</v>
      </c>
      <c r="I121" s="93">
        <f>SUMIF(ENTRADAS!$C$8:$C$1002,'CONT. ESTOQUE'!$B121,ENTRADAS!$H$7:$H$1002)</f>
        <v>0</v>
      </c>
      <c r="J121" s="94">
        <f>'CONT. ESTOQUE'!$H121-'CONT. ESTOQUE'!$I121</f>
        <v>0</v>
      </c>
    </row>
    <row r="122" spans="2:10" s="121" customFormat="1" ht="15.75" customHeight="1">
      <c r="B122" s="120" t="str">
        <f>PROD!B122</f>
        <v>-</v>
      </c>
      <c r="C122" s="122">
        <f>IF('CONT. ESTOQUE'!$B122&lt;&gt;"",SUMIF(ENTRADAS!$C$7:$C$1002,'CONT. ESTOQUE'!$B122,ENTRADAS!$E$7:$E$1002),"")</f>
        <v>0</v>
      </c>
      <c r="D122" s="92">
        <f>IF('CONT. ESTOQUE'!$B122&lt;&gt;"",SUMIF(SAÍDAS!$C$7:$C$800,'CONT. ESTOQUE'!$B122,SAÍDAS!$J$7:$J$800),"")</f>
        <v>0</v>
      </c>
      <c r="E122" s="122">
        <f>IFERROR('CONT. ESTOQUE'!$C122-'CONT. ESTOQUE'!$D122,"")</f>
        <v>0</v>
      </c>
      <c r="F122" s="122">
        <f>IFERROR(VLOOKUP('CONT. ESTOQUE'!$B122,PROD!$B$6:$G$1095,4,0),"")</f>
        <v>0</v>
      </c>
      <c r="G122" s="122" t="str">
        <f>IF('CONT. ESTOQUE'!$B122&lt;&gt;"",IF('CONT. ESTOQUE'!$E122=0,"Sem Estoque",IF('CONT. ESTOQUE'!$E122&lt;'CONT. ESTOQUE'!$F122,"Estoque Perigoso","Estoque Confortável")),"")</f>
        <v>Sem Estoque</v>
      </c>
      <c r="H122" s="123">
        <f>SUMIF(SAÍDAS!$C$7:$C$289,'CONT. ESTOQUE'!$B122,SAÍDAS!$L$7:$L$289)</f>
        <v>0</v>
      </c>
      <c r="I122" s="123">
        <f>SUMIF(ENTRADAS!$C$8:$C$1002,'CONT. ESTOQUE'!$B122,ENTRADAS!$H$7:$H$1002)</f>
        <v>0</v>
      </c>
      <c r="J122" s="124">
        <f>'CONT. ESTOQUE'!$H122-'CONT. ESTOQUE'!$I122</f>
        <v>0</v>
      </c>
    </row>
    <row r="123" spans="2:10" ht="15.75" customHeight="1">
      <c r="B123" s="120" t="str">
        <f>PROD!B123</f>
        <v>VT120L</v>
      </c>
      <c r="C123" s="122">
        <f>IF('CONT. ESTOQUE'!$B123&lt;&gt;"",SUMIF(ENTRADAS!$C$7:$C$1002,'CONT. ESTOQUE'!$B123,ENTRADAS!$E$7:$E$1002),"")</f>
        <v>0</v>
      </c>
      <c r="D123" s="92">
        <f>IF('CONT. ESTOQUE'!$B123&lt;&gt;"",SUMIF(SAÍDAS!$C$7:$C$800,'CONT. ESTOQUE'!$B123,SAÍDAS!$J$7:$J$800),"")</f>
        <v>0</v>
      </c>
      <c r="E123" s="122">
        <f>IFERROR('CONT. ESTOQUE'!$C123-'CONT. ESTOQUE'!$D123,"")</f>
        <v>0</v>
      </c>
      <c r="F123" s="122">
        <f>IFERROR(VLOOKUP('CONT. ESTOQUE'!$B123,PROD!$B$6:$G$1095,4,0),"")</f>
        <v>0</v>
      </c>
      <c r="G123" s="122" t="str">
        <f>IF('CONT. ESTOQUE'!$B123&lt;&gt;"",IF('CONT. ESTOQUE'!$E123=0,"Sem Estoque",IF('CONT. ESTOQUE'!$E123&lt;'CONT. ESTOQUE'!$F123,"Estoque Perigoso","Estoque Confortável")),"")</f>
        <v>Sem Estoque</v>
      </c>
      <c r="H123" s="123">
        <f>SUMIF(SAÍDAS!$C$7:$C$289,'CONT. ESTOQUE'!$B123,SAÍDAS!$L$7:$L$289)</f>
        <v>0</v>
      </c>
      <c r="I123" s="123">
        <f>SUMIF(ENTRADAS!$C$8:$C$1002,'CONT. ESTOQUE'!$B123,ENTRADAS!$H$7:$H$1002)</f>
        <v>0</v>
      </c>
      <c r="J123" s="124">
        <f>'CONT. ESTOQUE'!$H123-'CONT. ESTOQUE'!$I123</f>
        <v>0</v>
      </c>
    </row>
    <row r="124" spans="2:10" ht="15.75" customHeight="1">
      <c r="B124" s="91" t="str">
        <f>PROD!B124</f>
        <v>120L-258</v>
      </c>
      <c r="C124" s="92">
        <f>IF('CONT. ESTOQUE'!$B124&lt;&gt;"",SUMIF(ENTRADAS!$C$7:$C$1002,'CONT. ESTOQUE'!$B124,ENTRADAS!$E$7:$E$1002),"")</f>
        <v>39</v>
      </c>
      <c r="D124" s="92">
        <f>IF('CONT. ESTOQUE'!$B124&lt;&gt;"",SUMIF(SAÍDAS!$C$7:$C$800,'CONT. ESTOQUE'!$B124,SAÍDAS!$J$7:$J$800),"")</f>
        <v>33</v>
      </c>
      <c r="E124" s="92">
        <f>IFERROR('CONT. ESTOQUE'!$C124-'CONT. ESTOQUE'!$D124,"")</f>
        <v>6</v>
      </c>
      <c r="F124" s="92">
        <f>IFERROR(VLOOKUP('CONT. ESTOQUE'!$B124,PROD!$B$6:$G$1095,4,0),"")</f>
        <v>0</v>
      </c>
      <c r="G124" s="92" t="str">
        <f>IF('CONT. ESTOQUE'!$B124&lt;&gt;"",IF('CONT. ESTOQUE'!$E124=0,"Sem Estoque",IF('CONT. ESTOQUE'!$E124&lt;'CONT. ESTOQUE'!$F124,"Estoque Perigoso","Estoque Confortável")),"")</f>
        <v>Estoque Confortável</v>
      </c>
      <c r="H124" s="93">
        <f>SUMIF(SAÍDAS!$C$7:$C$289,'CONT. ESTOQUE'!$B124,SAÍDAS!$L$7:$L$289)</f>
        <v>0</v>
      </c>
      <c r="I124" s="93">
        <f>SUMIF(ENTRADAS!$C$8:$C$1002,'CONT. ESTOQUE'!$B124,ENTRADAS!$H$7:$H$1002)</f>
        <v>0</v>
      </c>
      <c r="J124" s="94">
        <f>'CONT. ESTOQUE'!$H124-'CONT. ESTOQUE'!$I124</f>
        <v>0</v>
      </c>
    </row>
    <row r="125" spans="2:10" ht="15.75" customHeight="1">
      <c r="B125" s="91" t="str">
        <f>PROD!B125</f>
        <v>120L-250</v>
      </c>
      <c r="C125" s="92">
        <f>IF('CONT. ESTOQUE'!$B125&lt;&gt;"",SUMIF(ENTRADAS!$C$7:$C$1002,'CONT. ESTOQUE'!$B125,ENTRADAS!$E$7:$E$1002),"")</f>
        <v>22</v>
      </c>
      <c r="D125" s="92">
        <f>IF('CONT. ESTOQUE'!$B125&lt;&gt;"",SUMIF(SAÍDAS!$C$7:$C$800,'CONT. ESTOQUE'!$B125,SAÍDAS!$J$7:$J$800),"")</f>
        <v>10</v>
      </c>
      <c r="E125" s="92">
        <f>IFERROR('CONT. ESTOQUE'!$C125-'CONT. ESTOQUE'!$D125,"")</f>
        <v>12</v>
      </c>
      <c r="F125" s="92">
        <f>IFERROR(VLOOKUP('CONT. ESTOQUE'!$B125,PROD!$B$6:$G$1095,4,0),"")</f>
        <v>0</v>
      </c>
      <c r="G125" s="92" t="str">
        <f>IF('CONT. ESTOQUE'!$B125&lt;&gt;"",IF('CONT. ESTOQUE'!$E125=0,"Sem Estoque",IF('CONT. ESTOQUE'!$E125&lt;'CONT. ESTOQUE'!$F125,"Estoque Perigoso","Estoque Confortável")),"")</f>
        <v>Estoque Confortável</v>
      </c>
      <c r="H125" s="93">
        <f>SUMIF(SAÍDAS!$C$7:$C$289,'CONT. ESTOQUE'!$B125,SAÍDAS!$L$7:$L$289)</f>
        <v>0</v>
      </c>
      <c r="I125" s="93">
        <f>SUMIF(ENTRADAS!$C$8:$C$1002,'CONT. ESTOQUE'!$B125,ENTRADAS!$H$7:$H$1002)</f>
        <v>0</v>
      </c>
      <c r="J125" s="94">
        <f>'CONT. ESTOQUE'!$H125-'CONT. ESTOQUE'!$I125</f>
        <v>0</v>
      </c>
    </row>
    <row r="126" spans="2:10" ht="15.75" customHeight="1">
      <c r="B126" s="91" t="str">
        <f>PROD!B126</f>
        <v>120L-242</v>
      </c>
      <c r="C126" s="92">
        <f>IF('CONT. ESTOQUE'!$B126&lt;&gt;"",SUMIF(ENTRADAS!$C$7:$C$1002,'CONT. ESTOQUE'!$B126,ENTRADAS!$E$7:$E$1002),"")</f>
        <v>15</v>
      </c>
      <c r="D126" s="92">
        <f>IF('CONT. ESTOQUE'!$B126&lt;&gt;"",SUMIF(SAÍDAS!$C$7:$C$800,'CONT. ESTOQUE'!$B126,SAÍDAS!$J$7:$J$800),"")</f>
        <v>10</v>
      </c>
      <c r="E126" s="92">
        <f>IFERROR('CONT. ESTOQUE'!$C126-'CONT. ESTOQUE'!$D126,"")</f>
        <v>5</v>
      </c>
      <c r="F126" s="92">
        <f>IFERROR(VLOOKUP('CONT. ESTOQUE'!$B126,PROD!$B$6:$G$1095,4,0),"")</f>
        <v>0</v>
      </c>
      <c r="G126" s="92" t="str">
        <f>IF('CONT. ESTOQUE'!$B126&lt;&gt;"",IF('CONT. ESTOQUE'!$E126=0,"Sem Estoque",IF('CONT. ESTOQUE'!$E126&lt;'CONT. ESTOQUE'!$F126,"Estoque Perigoso","Estoque Confortável")),"")</f>
        <v>Estoque Confortável</v>
      </c>
      <c r="H126" s="93">
        <f>SUMIF(SAÍDAS!$C$7:$C$289,'CONT. ESTOQUE'!$B126,SAÍDAS!$L$7:$L$289)</f>
        <v>0</v>
      </c>
      <c r="I126" s="93">
        <f>SUMIF(ENTRADAS!$C$8:$C$1002,'CONT. ESTOQUE'!$B126,ENTRADAS!$H$7:$H$1002)</f>
        <v>0</v>
      </c>
      <c r="J126" s="94">
        <f>'CONT. ESTOQUE'!$H126-'CONT. ESTOQUE'!$I126</f>
        <v>0</v>
      </c>
    </row>
    <row r="127" spans="2:10" ht="15.75" customHeight="1">
      <c r="B127" s="91" t="str">
        <f>PROD!B127</f>
        <v>120L-234</v>
      </c>
      <c r="C127" s="92">
        <f>IF('CONT. ESTOQUE'!$B127&lt;&gt;"",SUMIF(ENTRADAS!$C$7:$C$1002,'CONT. ESTOQUE'!$B127,ENTRADAS!$E$7:$E$1002),"")</f>
        <v>9</v>
      </c>
      <c r="D127" s="92">
        <f>IF('CONT. ESTOQUE'!$B127&lt;&gt;"",SUMIF(SAÍDAS!$C$7:$C$800,'CONT. ESTOQUE'!$B127,SAÍDAS!$J$7:$J$800),"")</f>
        <v>6</v>
      </c>
      <c r="E127" s="92">
        <f>IFERROR('CONT. ESTOQUE'!$C127-'CONT. ESTOQUE'!$D127,"")</f>
        <v>3</v>
      </c>
      <c r="F127" s="92">
        <f>IFERROR(VLOOKUP('CONT. ESTOQUE'!$B127,PROD!$B$6:$G$1095,4,0),"")</f>
        <v>0</v>
      </c>
      <c r="G127" s="92" t="str">
        <f>IF('CONT. ESTOQUE'!$B127&lt;&gt;"",IF('CONT. ESTOQUE'!$E127=0,"Sem Estoque",IF('CONT. ESTOQUE'!$E127&lt;'CONT. ESTOQUE'!$F127,"Estoque Perigoso","Estoque Confortável")),"")</f>
        <v>Estoque Confortável</v>
      </c>
      <c r="H127" s="93">
        <f>SUMIF(SAÍDAS!$C$7:$C$289,'CONT. ESTOQUE'!$B127,SAÍDAS!$L$7:$L$289)</f>
        <v>0</v>
      </c>
      <c r="I127" s="93">
        <f>SUMIF(ENTRADAS!$C$8:$C$1002,'CONT. ESTOQUE'!$B127,ENTRADAS!$H$7:$H$1002)</f>
        <v>0</v>
      </c>
      <c r="J127" s="94">
        <f>'CONT. ESTOQUE'!$H127-'CONT. ESTOQUE'!$I127</f>
        <v>0</v>
      </c>
    </row>
    <row r="128" spans="2:10" ht="15.75" customHeight="1">
      <c r="B128" s="91" t="str">
        <f>PROD!B128</f>
        <v>120L-226</v>
      </c>
      <c r="C128" s="92">
        <f>IF('CONT. ESTOQUE'!$B128&lt;&gt;"",SUMIF(ENTRADAS!$C$7:$C$1002,'CONT. ESTOQUE'!$B128,ENTRADAS!$E$7:$E$1002),"")</f>
        <v>9</v>
      </c>
      <c r="D128" s="92">
        <f>IF('CONT. ESTOQUE'!$B128&lt;&gt;"",SUMIF(SAÍDAS!$C$7:$C$800,'CONT. ESTOQUE'!$B128,SAÍDAS!$J$7:$J$800),"")</f>
        <v>2</v>
      </c>
      <c r="E128" s="92">
        <f>IFERROR('CONT. ESTOQUE'!$C128-'CONT. ESTOQUE'!$D128,"")</f>
        <v>7</v>
      </c>
      <c r="F128" s="92">
        <f>IFERROR(VLOOKUP('CONT. ESTOQUE'!$B128,PROD!$B$6:$G$1095,4,0),"")</f>
        <v>0</v>
      </c>
      <c r="G128" s="92" t="str">
        <f>IF('CONT. ESTOQUE'!$B128&lt;&gt;"",IF('CONT. ESTOQUE'!$E128=0,"Sem Estoque",IF('CONT. ESTOQUE'!$E128&lt;'CONT. ESTOQUE'!$F128,"Estoque Perigoso","Estoque Confortável")),"")</f>
        <v>Estoque Confortável</v>
      </c>
      <c r="H128" s="93">
        <f>SUMIF(SAÍDAS!$C$7:$C$289,'CONT. ESTOQUE'!$B128,SAÍDAS!$L$7:$L$289)</f>
        <v>0</v>
      </c>
      <c r="I128" s="93">
        <f>SUMIF(ENTRADAS!$C$8:$C$1002,'CONT. ESTOQUE'!$B128,ENTRADAS!$H$7:$H$1002)</f>
        <v>0</v>
      </c>
      <c r="J128" s="94">
        <f>'CONT. ESTOQUE'!$H128-'CONT. ESTOQUE'!$I128</f>
        <v>0</v>
      </c>
    </row>
    <row r="129" spans="2:10" ht="15.75" customHeight="1">
      <c r="B129" s="91" t="str">
        <f>PROD!B129</f>
        <v>120L-218</v>
      </c>
      <c r="C129" s="92">
        <f>IF('CONT. ESTOQUE'!$B129&lt;&gt;"",SUMIF(ENTRADAS!$C$7:$C$1002,'CONT. ESTOQUE'!$B129,ENTRADAS!$E$7:$E$1002),"")</f>
        <v>7</v>
      </c>
      <c r="D129" s="92">
        <f>IF('CONT. ESTOQUE'!$B129&lt;&gt;"",SUMIF(SAÍDAS!$C$7:$C$800,'CONT. ESTOQUE'!$B129,SAÍDAS!$J$7:$J$800),"")</f>
        <v>1</v>
      </c>
      <c r="E129" s="92">
        <f>IFERROR('CONT. ESTOQUE'!$C129-'CONT. ESTOQUE'!$D129,"")</f>
        <v>6</v>
      </c>
      <c r="F129" s="92">
        <f>IFERROR(VLOOKUP('CONT. ESTOQUE'!$B129,PROD!$B$6:$G$1095,4,0),"")</f>
        <v>0</v>
      </c>
      <c r="G129" s="92" t="str">
        <f>IF('CONT. ESTOQUE'!$B129&lt;&gt;"",IF('CONT. ESTOQUE'!$E129=0,"Sem Estoque",IF('CONT. ESTOQUE'!$E129&lt;'CONT. ESTOQUE'!$F129,"Estoque Perigoso","Estoque Confortável")),"")</f>
        <v>Estoque Confortável</v>
      </c>
      <c r="H129" s="93">
        <f>SUMIF(SAÍDAS!$C$7:$C$289,'CONT. ESTOQUE'!$B129,SAÍDAS!$L$7:$L$289)</f>
        <v>0</v>
      </c>
      <c r="I129" s="93">
        <f>SUMIF(ENTRADAS!$C$8:$C$1002,'CONT. ESTOQUE'!$B129,ENTRADAS!$H$7:$H$1002)</f>
        <v>0</v>
      </c>
      <c r="J129" s="94">
        <f>'CONT. ESTOQUE'!$H129-'CONT. ESTOQUE'!$I129</f>
        <v>0</v>
      </c>
    </row>
    <row r="130" spans="2:10" ht="15.75" customHeight="1">
      <c r="B130" s="91" t="str">
        <f>PROD!B130</f>
        <v>120L-210</v>
      </c>
      <c r="C130" s="92">
        <f>IF('CONT. ESTOQUE'!$B130&lt;&gt;"",SUMIF(ENTRADAS!$C$7:$C$1002,'CONT. ESTOQUE'!$B130,ENTRADAS!$E$7:$E$1002),"")</f>
        <v>1</v>
      </c>
      <c r="D130" s="92">
        <f>IF('CONT. ESTOQUE'!$B130&lt;&gt;"",SUMIF(SAÍDAS!$C$7:$C$800,'CONT. ESTOQUE'!$B130,SAÍDAS!$J$7:$J$800),"")</f>
        <v>0</v>
      </c>
      <c r="E130" s="92">
        <f>IFERROR('CONT. ESTOQUE'!$C130-'CONT. ESTOQUE'!$D130,"")</f>
        <v>1</v>
      </c>
      <c r="F130" s="92">
        <f>IFERROR(VLOOKUP('CONT. ESTOQUE'!$B130,PROD!$B$6:$G$1095,4,0),"")</f>
        <v>0</v>
      </c>
      <c r="G130" s="92" t="str">
        <f>IF('CONT. ESTOQUE'!$B130&lt;&gt;"",IF('CONT. ESTOQUE'!$E130=0,"Sem Estoque",IF('CONT. ESTOQUE'!$E130&lt;'CONT. ESTOQUE'!$F130,"Estoque Perigoso","Estoque Confortável")),"")</f>
        <v>Estoque Confortável</v>
      </c>
      <c r="H130" s="93">
        <f>SUMIF(SAÍDAS!$C$7:$C$289,'CONT. ESTOQUE'!$B130,SAÍDAS!$L$7:$L$289)</f>
        <v>0</v>
      </c>
      <c r="I130" s="93">
        <f>SUMIF(ENTRADAS!$C$8:$C$1002,'CONT. ESTOQUE'!$B130,ENTRADAS!$H$7:$H$1002)</f>
        <v>0</v>
      </c>
      <c r="J130" s="94">
        <f>'CONT. ESTOQUE'!$H130-'CONT. ESTOQUE'!$I130</f>
        <v>0</v>
      </c>
    </row>
    <row r="131" spans="2:10" s="121" customFormat="1" ht="15.75" customHeight="1">
      <c r="B131" s="91" t="str">
        <f>PROD!B131</f>
        <v>120L-200</v>
      </c>
      <c r="C131" s="92">
        <f>IF('CONT. ESTOQUE'!$B131&lt;&gt;"",SUMIF(ENTRADAS!$C$7:$C$1002,'CONT. ESTOQUE'!$B131,ENTRADAS!$E$7:$E$1002),"")</f>
        <v>4</v>
      </c>
      <c r="D131" s="92">
        <f>IF('CONT. ESTOQUE'!$B131&lt;&gt;"",SUMIF(SAÍDAS!$C$7:$C$800,'CONT. ESTOQUE'!$B131,SAÍDAS!$J$7:$J$800),"")</f>
        <v>2</v>
      </c>
      <c r="E131" s="92">
        <f>IFERROR('CONT. ESTOQUE'!$C131-'CONT. ESTOQUE'!$D131,"")</f>
        <v>2</v>
      </c>
      <c r="F131" s="92">
        <f>IFERROR(VLOOKUP('CONT. ESTOQUE'!$B131,PROD!$B$6:$G$1095,4,0),"")</f>
        <v>0</v>
      </c>
      <c r="G131" s="92" t="str">
        <f>IF('CONT. ESTOQUE'!$B131&lt;&gt;"",IF('CONT. ESTOQUE'!$E131=0,"Sem Estoque",IF('CONT. ESTOQUE'!$E131&lt;'CONT. ESTOQUE'!$F131,"Estoque Perigoso","Estoque Confortável")),"")</f>
        <v>Estoque Confortável</v>
      </c>
      <c r="H131" s="93">
        <f>SUMIF(SAÍDAS!$C$7:$C$289,'CONT. ESTOQUE'!$B131,SAÍDAS!$L$7:$L$289)</f>
        <v>0</v>
      </c>
      <c r="I131" s="93">
        <f>SUMIF(ENTRADAS!$C$8:$C$1002,'CONT. ESTOQUE'!$B131,ENTRADAS!$H$7:$H$1002)</f>
        <v>0</v>
      </c>
      <c r="J131" s="94">
        <f>'CONT. ESTOQUE'!$H131-'CONT. ESTOQUE'!$I131</f>
        <v>0</v>
      </c>
    </row>
    <row r="132" spans="2:10" s="121" customFormat="1" ht="15.75" customHeight="1">
      <c r="B132" s="120" t="str">
        <f>PROD!B132</f>
        <v>-</v>
      </c>
      <c r="C132" s="122">
        <f>IF('CONT. ESTOQUE'!$B132&lt;&gt;"",SUMIF(ENTRADAS!$C$7:$C$1002,'CONT. ESTOQUE'!$B132,ENTRADAS!$E$7:$E$1002),"")</f>
        <v>0</v>
      </c>
      <c r="D132" s="92">
        <f>IF('CONT. ESTOQUE'!$B132&lt;&gt;"",SUMIF(SAÍDAS!$C$7:$C$800,'CONT. ESTOQUE'!$B132,SAÍDAS!$J$7:$J$800),"")</f>
        <v>0</v>
      </c>
      <c r="E132" s="122">
        <f>IFERROR('CONT. ESTOQUE'!$C132-'CONT. ESTOQUE'!$D132,"")</f>
        <v>0</v>
      </c>
      <c r="F132" s="122">
        <f>IFERROR(VLOOKUP('CONT. ESTOQUE'!$B132,PROD!$B$6:$G$1095,4,0),"")</f>
        <v>0</v>
      </c>
      <c r="G132" s="122" t="str">
        <f>IF('CONT. ESTOQUE'!$B132&lt;&gt;"",IF('CONT. ESTOQUE'!$E132=0,"Sem Estoque",IF('CONT. ESTOQUE'!$E132&lt;'CONT. ESTOQUE'!$F132,"Estoque Perigoso","Estoque Confortável")),"")</f>
        <v>Sem Estoque</v>
      </c>
      <c r="H132" s="123">
        <f>SUMIF(SAÍDAS!$C$7:$C$289,'CONT. ESTOQUE'!$B132,SAÍDAS!$L$7:$L$289)</f>
        <v>0</v>
      </c>
      <c r="I132" s="123">
        <f>SUMIF(ENTRADAS!$C$8:$C$1002,'CONT. ESTOQUE'!$B132,ENTRADAS!$H$7:$H$1002)</f>
        <v>0</v>
      </c>
      <c r="J132" s="124">
        <f>'CONT. ESTOQUE'!$H132-'CONT. ESTOQUE'!$I132</f>
        <v>0</v>
      </c>
    </row>
    <row r="133" spans="2:10" ht="15.75" customHeight="1">
      <c r="B133" s="120" t="str">
        <f>PROD!B133</f>
        <v>DV-RT2</v>
      </c>
      <c r="C133" s="122">
        <f>IF('CONT. ESTOQUE'!$B133&lt;&gt;"",SUMIF(ENTRADAS!$C$7:$C$1002,'CONT. ESTOQUE'!$B133,ENTRADAS!$E$7:$E$1002),"")</f>
        <v>0</v>
      </c>
      <c r="D133" s="92">
        <f>IF('CONT. ESTOQUE'!$B133&lt;&gt;"",SUMIF(SAÍDAS!$C$7:$C$800,'CONT. ESTOQUE'!$B133,SAÍDAS!$J$7:$J$800),"")</f>
        <v>0</v>
      </c>
      <c r="E133" s="122">
        <f>IFERROR('CONT. ESTOQUE'!$C133-'CONT. ESTOQUE'!$D133,"")</f>
        <v>0</v>
      </c>
      <c r="F133" s="122">
        <f>IFERROR(VLOOKUP('CONT. ESTOQUE'!$B133,PROD!$B$6:$G$1095,4,0),"")</f>
        <v>0</v>
      </c>
      <c r="G133" s="122" t="str">
        <f>IF('CONT. ESTOQUE'!$B133&lt;&gt;"",IF('CONT. ESTOQUE'!$E133=0,"Sem Estoque",IF('CONT. ESTOQUE'!$E133&lt;'CONT. ESTOQUE'!$F133,"Estoque Perigoso","Estoque Confortável")),"")</f>
        <v>Sem Estoque</v>
      </c>
      <c r="H133" s="123">
        <f>SUMIF(SAÍDAS!$C$7:$C$289,'CONT. ESTOQUE'!$B133,SAÍDAS!$L$7:$L$289)</f>
        <v>0</v>
      </c>
      <c r="I133" s="123">
        <f>SUMIF(ENTRADAS!$C$8:$C$1002,'CONT. ESTOQUE'!$B133,ENTRADAS!$H$7:$H$1002)</f>
        <v>0</v>
      </c>
      <c r="J133" s="124">
        <f>'CONT. ESTOQUE'!$H133-'CONT. ESTOQUE'!$I133</f>
        <v>0</v>
      </c>
    </row>
    <row r="134" spans="2:10" ht="15.75" customHeight="1">
      <c r="B134" s="91" t="str">
        <f>PROD!B134</f>
        <v>RT2-265</v>
      </c>
      <c r="C134" s="92">
        <f>IF('CONT. ESTOQUE'!$B134&lt;&gt;"",SUMIF(ENTRADAS!$C$7:$C$1002,'CONT. ESTOQUE'!$B134,ENTRADAS!$E$7:$E$1002),"")</f>
        <v>17</v>
      </c>
      <c r="D134" s="92">
        <f>IF('CONT. ESTOQUE'!$B134&lt;&gt;"",SUMIF(SAÍDAS!$C$7:$C$800,'CONT. ESTOQUE'!$B134,SAÍDAS!$J$7:$J$800),"")</f>
        <v>5</v>
      </c>
      <c r="E134" s="92">
        <f>IFERROR('CONT. ESTOQUE'!$C134-'CONT. ESTOQUE'!$D134,"")</f>
        <v>12</v>
      </c>
      <c r="F134" s="92">
        <f>IFERROR(VLOOKUP('CONT. ESTOQUE'!$B134,PROD!$B$6:$G$1095,4,0),"")</f>
        <v>0</v>
      </c>
      <c r="G134" s="92" t="str">
        <f>IF('CONT. ESTOQUE'!$B134&lt;&gt;"",IF('CONT. ESTOQUE'!$E134=0,"Sem Estoque",IF('CONT. ESTOQUE'!$E134&lt;'CONT. ESTOQUE'!$F134,"Estoque Perigoso","Estoque Confortável")),"")</f>
        <v>Estoque Confortável</v>
      </c>
      <c r="H134" s="93">
        <f>SUMIF(SAÍDAS!$C$7:$C$289,'CONT. ESTOQUE'!$B134,SAÍDAS!$L$7:$L$289)</f>
        <v>0</v>
      </c>
      <c r="I134" s="93">
        <f>SUMIF(ENTRADAS!$C$8:$C$1002,'CONT. ESTOQUE'!$B134,ENTRADAS!$H$7:$H$1002)</f>
        <v>0</v>
      </c>
      <c r="J134" s="94">
        <f>'CONT. ESTOQUE'!$H134-'CONT. ESTOQUE'!$I134</f>
        <v>0</v>
      </c>
    </row>
    <row r="135" spans="2:10" ht="15.75" customHeight="1">
      <c r="B135" s="91" t="str">
        <f>PROD!B135</f>
        <v>RT2-255</v>
      </c>
      <c r="C135" s="92">
        <f>IF('CONT. ESTOQUE'!$B135&lt;&gt;"",SUMIF(ENTRADAS!$C$7:$C$1002,'CONT. ESTOQUE'!$B135,ENTRADAS!$E$7:$E$1002),"")</f>
        <v>21</v>
      </c>
      <c r="D135" s="92">
        <f>IF('CONT. ESTOQUE'!$B135&lt;&gt;"",SUMIF(SAÍDAS!$C$7:$C$800,'CONT. ESTOQUE'!$B135,SAÍDAS!$J$7:$J$800),"")</f>
        <v>13</v>
      </c>
      <c r="E135" s="92">
        <f>IFERROR('CONT. ESTOQUE'!$C135-'CONT. ESTOQUE'!$D135,"")</f>
        <v>8</v>
      </c>
      <c r="F135" s="92">
        <f>IFERROR(VLOOKUP('CONT. ESTOQUE'!$B135,PROD!$B$6:$G$1095,4,0),"")</f>
        <v>0</v>
      </c>
      <c r="G135" s="92" t="str">
        <f>IF('CONT. ESTOQUE'!$B135&lt;&gt;"",IF('CONT. ESTOQUE'!$E135=0,"Sem Estoque",IF('CONT. ESTOQUE'!$E135&lt;'CONT. ESTOQUE'!$F135,"Estoque Perigoso","Estoque Confortável")),"")</f>
        <v>Estoque Confortável</v>
      </c>
      <c r="H135" s="93">
        <f>SUMIF(SAÍDAS!$C$7:$C$289,'CONT. ESTOQUE'!$B135,SAÍDAS!$L$7:$L$289)</f>
        <v>0</v>
      </c>
      <c r="I135" s="93">
        <f>SUMIF(ENTRADAS!$C$8:$C$1002,'CONT. ESTOQUE'!$B135,ENTRADAS!$H$7:$H$1002)</f>
        <v>0</v>
      </c>
      <c r="J135" s="94">
        <f>'CONT. ESTOQUE'!$H135-'CONT. ESTOQUE'!$I135</f>
        <v>0</v>
      </c>
    </row>
    <row r="136" spans="2:10" ht="15.75" customHeight="1">
      <c r="B136" s="91" t="str">
        <f>PROD!B136</f>
        <v>RT2-245</v>
      </c>
      <c r="C136" s="92">
        <f>IF('CONT. ESTOQUE'!$B136&lt;&gt;"",SUMIF(ENTRADAS!$C$7:$C$1002,'CONT. ESTOQUE'!$B136,ENTRADAS!$E$7:$E$1002),"")</f>
        <v>12</v>
      </c>
      <c r="D136" s="92">
        <f>IF('CONT. ESTOQUE'!$B136&lt;&gt;"",SUMIF(SAÍDAS!$C$7:$C$800,'CONT. ESTOQUE'!$B136,SAÍDAS!$J$7:$J$800),"")</f>
        <v>1</v>
      </c>
      <c r="E136" s="92">
        <f>IFERROR('CONT. ESTOQUE'!$C136-'CONT. ESTOQUE'!$D136,"")</f>
        <v>11</v>
      </c>
      <c r="F136" s="92">
        <f>IFERROR(VLOOKUP('CONT. ESTOQUE'!$B136,PROD!$B$6:$G$1095,4,0),"")</f>
        <v>0</v>
      </c>
      <c r="G136" s="92" t="str">
        <f>IF('CONT. ESTOQUE'!$B136&lt;&gt;"",IF('CONT. ESTOQUE'!$E136=0,"Sem Estoque",IF('CONT. ESTOQUE'!$E136&lt;'CONT. ESTOQUE'!$F136,"Estoque Perigoso","Estoque Confortável")),"")</f>
        <v>Estoque Confortável</v>
      </c>
      <c r="H136" s="93">
        <f>SUMIF(SAÍDAS!$C$7:$C$289,'CONT. ESTOQUE'!$B136,SAÍDAS!$L$7:$L$289)</f>
        <v>0</v>
      </c>
      <c r="I136" s="93">
        <f>SUMIF(ENTRADAS!$C$8:$C$1002,'CONT. ESTOQUE'!$B136,ENTRADAS!$H$7:$H$1002)</f>
        <v>0</v>
      </c>
      <c r="J136" s="94">
        <f>'CONT. ESTOQUE'!$H136-'CONT. ESTOQUE'!$I136</f>
        <v>0</v>
      </c>
    </row>
    <row r="137" spans="2:10" ht="15.75" customHeight="1">
      <c r="B137" s="91" t="str">
        <f>PROD!B137</f>
        <v>RT2-235</v>
      </c>
      <c r="C137" s="92">
        <f>IF('CONT. ESTOQUE'!$B137&lt;&gt;"",SUMIF(ENTRADAS!$C$7:$C$1002,'CONT. ESTOQUE'!$B137,ENTRADAS!$E$7:$E$1002),"")</f>
        <v>17</v>
      </c>
      <c r="D137" s="92">
        <f>IF('CONT. ESTOQUE'!$B137&lt;&gt;"",SUMIF(SAÍDAS!$C$7:$C$800,'CONT. ESTOQUE'!$B137,SAÍDAS!$J$7:$J$800),"")</f>
        <v>3</v>
      </c>
      <c r="E137" s="92">
        <f>IFERROR('CONT. ESTOQUE'!$C137-'CONT. ESTOQUE'!$D137,"")</f>
        <v>14</v>
      </c>
      <c r="F137" s="92">
        <f>IFERROR(VLOOKUP('CONT. ESTOQUE'!$B137,PROD!$B$6:$G$1095,4,0),"")</f>
        <v>0</v>
      </c>
      <c r="G137" s="92" t="str">
        <f>IF('CONT. ESTOQUE'!$B137&lt;&gt;"",IF('CONT. ESTOQUE'!$E137=0,"Sem Estoque",IF('CONT. ESTOQUE'!$E137&lt;'CONT. ESTOQUE'!$F137,"Estoque Perigoso","Estoque Confortável")),"")</f>
        <v>Estoque Confortável</v>
      </c>
      <c r="H137" s="93">
        <f>SUMIF(SAÍDAS!$C$7:$C$289,'CONT. ESTOQUE'!$B137,SAÍDAS!$L$7:$L$289)</f>
        <v>0</v>
      </c>
      <c r="I137" s="93">
        <f>SUMIF(ENTRADAS!$C$8:$C$1002,'CONT. ESTOQUE'!$B137,ENTRADAS!$H$7:$H$1002)</f>
        <v>0</v>
      </c>
      <c r="J137" s="94">
        <f>'CONT. ESTOQUE'!$H137-'CONT. ESTOQUE'!$I137</f>
        <v>0</v>
      </c>
    </row>
    <row r="138" spans="2:10" s="121" customFormat="1" ht="15.75" customHeight="1">
      <c r="B138" s="91" t="str">
        <f>PROD!B138</f>
        <v>RT2-225</v>
      </c>
      <c r="C138" s="92">
        <f>IF('CONT. ESTOQUE'!$B138&lt;&gt;"",SUMIF(ENTRADAS!$C$7:$C$1002,'CONT. ESTOQUE'!$B138,ENTRADAS!$E$7:$E$1002),"")</f>
        <v>3</v>
      </c>
      <c r="D138" s="92">
        <f>IF('CONT. ESTOQUE'!$B138&lt;&gt;"",SUMIF(SAÍDAS!$C$7:$C$800,'CONT. ESTOQUE'!$B138,SAÍDAS!$J$7:$J$800),"")</f>
        <v>0</v>
      </c>
      <c r="E138" s="92">
        <f>IFERROR('CONT. ESTOQUE'!$C138-'CONT. ESTOQUE'!$D138,"")</f>
        <v>3</v>
      </c>
      <c r="F138" s="92">
        <f>IFERROR(VLOOKUP('CONT. ESTOQUE'!$B138,PROD!$B$6:$G$1095,4,0),"")</f>
        <v>0</v>
      </c>
      <c r="G138" s="92" t="str">
        <f>IF('CONT. ESTOQUE'!$B138&lt;&gt;"",IF('CONT. ESTOQUE'!$E138=0,"Sem Estoque",IF('CONT. ESTOQUE'!$E138&lt;'CONT. ESTOQUE'!$F138,"Estoque Perigoso","Estoque Confortável")),"")</f>
        <v>Estoque Confortável</v>
      </c>
      <c r="H138" s="93">
        <f>SUMIF(SAÍDAS!$C$7:$C$289,'CONT. ESTOQUE'!$B138,SAÍDAS!$L$7:$L$289)</f>
        <v>0</v>
      </c>
      <c r="I138" s="93">
        <f>SUMIF(ENTRADAS!$C$8:$C$1002,'CONT. ESTOQUE'!$B138,ENTRADAS!$H$7:$H$1002)</f>
        <v>0</v>
      </c>
      <c r="J138" s="94">
        <f>'CONT. ESTOQUE'!$H138-'CONT. ESTOQUE'!$I138</f>
        <v>0</v>
      </c>
    </row>
    <row r="139" spans="2:10" s="121" customFormat="1" ht="15.75" customHeight="1">
      <c r="B139" s="120" t="str">
        <f>PROD!B139</f>
        <v>-</v>
      </c>
      <c r="C139" s="122">
        <f>IF('CONT. ESTOQUE'!$B139&lt;&gt;"",SUMIF(ENTRADAS!$C$7:$C$1002,'CONT. ESTOQUE'!$B139,ENTRADAS!$E$7:$E$1002),"")</f>
        <v>0</v>
      </c>
      <c r="D139" s="92">
        <f>IF('CONT. ESTOQUE'!$B139&lt;&gt;"",SUMIF(SAÍDAS!$C$7:$C$800,'CONT. ESTOQUE'!$B139,SAÍDAS!$J$7:$J$800),"")</f>
        <v>0</v>
      </c>
      <c r="E139" s="122">
        <f>IFERROR('CONT. ESTOQUE'!$C139-'CONT. ESTOQUE'!$D139,"")</f>
        <v>0</v>
      </c>
      <c r="F139" s="122">
        <f>IFERROR(VLOOKUP('CONT. ESTOQUE'!$B139,PROD!$B$6:$G$1095,4,0),"")</f>
        <v>0</v>
      </c>
      <c r="G139" s="122" t="str">
        <f>IF('CONT. ESTOQUE'!$B139&lt;&gt;"",IF('CONT. ESTOQUE'!$E139=0,"Sem Estoque",IF('CONT. ESTOQUE'!$E139&lt;'CONT. ESTOQUE'!$F139,"Estoque Perigoso","Estoque Confortável")),"")</f>
        <v>Sem Estoque</v>
      </c>
      <c r="H139" s="123">
        <f>SUMIF(SAÍDAS!$C$7:$C$289,'CONT. ESTOQUE'!$B139,SAÍDAS!$L$7:$L$289)</f>
        <v>0</v>
      </c>
      <c r="I139" s="123">
        <f>SUMIF(ENTRADAS!$C$8:$C$1002,'CONT. ESTOQUE'!$B139,ENTRADAS!$H$7:$H$1002)</f>
        <v>0</v>
      </c>
      <c r="J139" s="124">
        <f>'CONT. ESTOQUE'!$H139-'CONT. ESTOQUE'!$I139</f>
        <v>0</v>
      </c>
    </row>
    <row r="140" spans="2:10" ht="15.75" customHeight="1">
      <c r="B140" s="120" t="str">
        <f>PROD!B140</f>
        <v>DV-RT5</v>
      </c>
      <c r="C140" s="122">
        <f>IF('CONT. ESTOQUE'!$B140&lt;&gt;"",SUMIF(ENTRADAS!$C$7:$C$1002,'CONT. ESTOQUE'!$B140,ENTRADAS!$E$7:$E$1002),"")</f>
        <v>0</v>
      </c>
      <c r="D140" s="92">
        <f>IF('CONT. ESTOQUE'!$B140&lt;&gt;"",SUMIF(SAÍDAS!$C$7:$C$800,'CONT. ESTOQUE'!$B140,SAÍDAS!$J$7:$J$800),"")</f>
        <v>0</v>
      </c>
      <c r="E140" s="122">
        <f>IFERROR('CONT. ESTOQUE'!$C140-'CONT. ESTOQUE'!$D140,"")</f>
        <v>0</v>
      </c>
      <c r="F140" s="122">
        <f>IFERROR(VLOOKUP('CONT. ESTOQUE'!$B140,PROD!$B$6:$G$1095,4,0),"")</f>
        <v>0</v>
      </c>
      <c r="G140" s="122" t="str">
        <f>IF('CONT. ESTOQUE'!$B140&lt;&gt;"",IF('CONT. ESTOQUE'!$E140=0,"Sem Estoque",IF('CONT. ESTOQUE'!$E140&lt;'CONT. ESTOQUE'!$F140,"Estoque Perigoso","Estoque Confortável")),"")</f>
        <v>Sem Estoque</v>
      </c>
      <c r="H140" s="123">
        <f>SUMIF(SAÍDAS!$C$7:$C$289,'CONT. ESTOQUE'!$B140,SAÍDAS!$L$7:$L$289)</f>
        <v>0</v>
      </c>
      <c r="I140" s="123">
        <f>SUMIF(ENTRADAS!$C$8:$C$1002,'CONT. ESTOQUE'!$B140,ENTRADAS!$H$7:$H$1002)</f>
        <v>0</v>
      </c>
      <c r="J140" s="124">
        <f>'CONT. ESTOQUE'!$H140-'CONT. ESTOQUE'!$I140</f>
        <v>0</v>
      </c>
    </row>
    <row r="141" spans="2:10" ht="15.75" customHeight="1">
      <c r="B141" s="91" t="str">
        <f>PROD!B141</f>
        <v>RT5-266</v>
      </c>
      <c r="C141" s="92">
        <f>IF('CONT. ESTOQUE'!$B141&lt;&gt;"",SUMIF(ENTRADAS!$C$7:$C$1002,'CONT. ESTOQUE'!$B141,ENTRADAS!$E$7:$E$1002),"")</f>
        <v>3</v>
      </c>
      <c r="D141" s="92">
        <f>IF('CONT. ESTOQUE'!$B141&lt;&gt;"",SUMIF(SAÍDAS!$C$7:$C$800,'CONT. ESTOQUE'!$B141,SAÍDAS!$J$7:$J$800),"")</f>
        <v>0</v>
      </c>
      <c r="E141" s="92">
        <f>IFERROR('CONT. ESTOQUE'!$C141-'CONT. ESTOQUE'!$D141,"")</f>
        <v>3</v>
      </c>
      <c r="F141" s="92">
        <f>IFERROR(VLOOKUP('CONT. ESTOQUE'!$B141,PROD!$B$6:$G$1095,4,0),"")</f>
        <v>0</v>
      </c>
      <c r="G141" s="92" t="str">
        <f>IF('CONT. ESTOQUE'!$B141&lt;&gt;"",IF('CONT. ESTOQUE'!$E141=0,"Sem Estoque",IF('CONT. ESTOQUE'!$E141&lt;'CONT. ESTOQUE'!$F141,"Estoque Perigoso","Estoque Confortável")),"")</f>
        <v>Estoque Confortável</v>
      </c>
      <c r="H141" s="93">
        <f>SUMIF(SAÍDAS!$C$7:$C$289,'CONT. ESTOQUE'!$B141,SAÍDAS!$L$7:$L$289)</f>
        <v>0</v>
      </c>
      <c r="I141" s="93">
        <f>SUMIF(ENTRADAS!$C$8:$C$1002,'CONT. ESTOQUE'!$B141,ENTRADAS!$H$7:$H$1002)</f>
        <v>0</v>
      </c>
      <c r="J141" s="94">
        <f>'CONT. ESTOQUE'!$H141-'CONT. ESTOQUE'!$I141</f>
        <v>0</v>
      </c>
    </row>
    <row r="142" spans="2:10" ht="15.75" customHeight="1">
      <c r="B142" s="91" t="str">
        <f>PROD!B142</f>
        <v>RT5-258</v>
      </c>
      <c r="C142" s="92">
        <f>IF('CONT. ESTOQUE'!$B142&lt;&gt;"",SUMIF(ENTRADAS!$C$7:$C$1002,'CONT. ESTOQUE'!$B142,ENTRADAS!$E$7:$E$1002),"")</f>
        <v>6</v>
      </c>
      <c r="D142" s="92">
        <f>IF('CONT. ESTOQUE'!$B142&lt;&gt;"",SUMIF(SAÍDAS!$C$7:$C$800,'CONT. ESTOQUE'!$B142,SAÍDAS!$J$7:$J$800),"")</f>
        <v>0</v>
      </c>
      <c r="E142" s="92">
        <f>IFERROR('CONT. ESTOQUE'!$C142-'CONT. ESTOQUE'!$D142,"")</f>
        <v>6</v>
      </c>
      <c r="F142" s="92">
        <f>IFERROR(VLOOKUP('CONT. ESTOQUE'!$B142,PROD!$B$6:$G$1095,4,0),"")</f>
        <v>0</v>
      </c>
      <c r="G142" s="92" t="str">
        <f>IF('CONT. ESTOQUE'!$B142&lt;&gt;"",IF('CONT. ESTOQUE'!$E142=0,"Sem Estoque",IF('CONT. ESTOQUE'!$E142&lt;'CONT. ESTOQUE'!$F142,"Estoque Perigoso","Estoque Confortável")),"")</f>
        <v>Estoque Confortável</v>
      </c>
      <c r="H142" s="93">
        <f>SUMIF(SAÍDAS!$C$7:$C$289,'CONT. ESTOQUE'!$B142,SAÍDAS!$L$7:$L$289)</f>
        <v>0</v>
      </c>
      <c r="I142" s="93">
        <f>SUMIF(ENTRADAS!$C$8:$C$1002,'CONT. ESTOQUE'!$B142,ENTRADAS!$H$7:$H$1002)</f>
        <v>0</v>
      </c>
      <c r="J142" s="94">
        <f>'CONT. ESTOQUE'!$H142-'CONT. ESTOQUE'!$I142</f>
        <v>0</v>
      </c>
    </row>
    <row r="143" spans="2:10" ht="15.75" customHeight="1">
      <c r="B143" s="91" t="str">
        <f>PROD!B143</f>
        <v>RT5-250</v>
      </c>
      <c r="C143" s="92">
        <f>IF('CONT. ESTOQUE'!$B143&lt;&gt;"",SUMIF(ENTRADAS!$C$7:$C$1002,'CONT. ESTOQUE'!$B143,ENTRADAS!$E$7:$E$1002),"")</f>
        <v>5</v>
      </c>
      <c r="D143" s="92">
        <f>IF('CONT. ESTOQUE'!$B143&lt;&gt;"",SUMIF(SAÍDAS!$C$7:$C$800,'CONT. ESTOQUE'!$B143,SAÍDAS!$J$7:$J$800),"")</f>
        <v>2</v>
      </c>
      <c r="E143" s="92">
        <f>IFERROR('CONT. ESTOQUE'!$C143-'CONT. ESTOQUE'!$D143,"")</f>
        <v>3</v>
      </c>
      <c r="F143" s="92">
        <f>IFERROR(VLOOKUP('CONT. ESTOQUE'!$B143,PROD!$B$6:$G$1095,4,0),"")</f>
        <v>0</v>
      </c>
      <c r="G143" s="92" t="str">
        <f>IF('CONT. ESTOQUE'!$B143&lt;&gt;"",IF('CONT. ESTOQUE'!$E143=0,"Sem Estoque",IF('CONT. ESTOQUE'!$E143&lt;'CONT. ESTOQUE'!$F143,"Estoque Perigoso","Estoque Confortável")),"")</f>
        <v>Estoque Confortável</v>
      </c>
      <c r="H143" s="93">
        <f>SUMIF(SAÍDAS!$C$7:$C$289,'CONT. ESTOQUE'!$B143,SAÍDAS!$L$7:$L$289)</f>
        <v>0</v>
      </c>
      <c r="I143" s="93">
        <f>SUMIF(ENTRADAS!$C$8:$C$1002,'CONT. ESTOQUE'!$B143,ENTRADAS!$H$7:$H$1002)</f>
        <v>0</v>
      </c>
      <c r="J143" s="94">
        <f>'CONT. ESTOQUE'!$H143-'CONT. ESTOQUE'!$I143</f>
        <v>0</v>
      </c>
    </row>
    <row r="144" spans="2:10" s="121" customFormat="1" ht="15.75" customHeight="1">
      <c r="B144" s="91" t="str">
        <f>PROD!B144</f>
        <v>RT5-242</v>
      </c>
      <c r="C144" s="92">
        <f>IF('CONT. ESTOQUE'!$B144&lt;&gt;"",SUMIF(ENTRADAS!$C$7:$C$1002,'CONT. ESTOQUE'!$B144,ENTRADAS!$E$7:$E$1002),"")</f>
        <v>4</v>
      </c>
      <c r="D144" s="92">
        <f>IF('CONT. ESTOQUE'!$B144&lt;&gt;"",SUMIF(SAÍDAS!$C$7:$C$800,'CONT. ESTOQUE'!$B144,SAÍDAS!$J$7:$J$800),"")</f>
        <v>1</v>
      </c>
      <c r="E144" s="92">
        <f>IFERROR('CONT. ESTOQUE'!$C144-'CONT. ESTOQUE'!$D144,"")</f>
        <v>3</v>
      </c>
      <c r="F144" s="92">
        <f>IFERROR(VLOOKUP('CONT. ESTOQUE'!$B144,PROD!$B$6:$G$1095,4,0),"")</f>
        <v>0</v>
      </c>
      <c r="G144" s="92" t="str">
        <f>IF('CONT. ESTOQUE'!$B144&lt;&gt;"",IF('CONT. ESTOQUE'!$E144=0,"Sem Estoque",IF('CONT. ESTOQUE'!$E144&lt;'CONT. ESTOQUE'!$F144,"Estoque Perigoso","Estoque Confortável")),"")</f>
        <v>Estoque Confortável</v>
      </c>
      <c r="H144" s="93">
        <f>SUMIF(SAÍDAS!$C$7:$C$289,'CONT. ESTOQUE'!$B144,SAÍDAS!$L$7:$L$289)</f>
        <v>0</v>
      </c>
      <c r="I144" s="93">
        <f>SUMIF(ENTRADAS!$C$8:$C$1002,'CONT. ESTOQUE'!$B144,ENTRADAS!$H$7:$H$1002)</f>
        <v>0</v>
      </c>
      <c r="J144" s="94">
        <f>'CONT. ESTOQUE'!$H144-'CONT. ESTOQUE'!$I144</f>
        <v>0</v>
      </c>
    </row>
    <row r="145" spans="2:10" s="121" customFormat="1" ht="15.75" customHeight="1">
      <c r="B145" s="120" t="str">
        <f>PROD!B145</f>
        <v>-</v>
      </c>
      <c r="C145" s="122">
        <f>IF('CONT. ESTOQUE'!$B145&lt;&gt;"",SUMIF(ENTRADAS!$C$7:$C$1002,'CONT. ESTOQUE'!$B145,ENTRADAS!$E$7:$E$1002),"")</f>
        <v>0</v>
      </c>
      <c r="D145" s="92">
        <f>IF('CONT. ESTOQUE'!$B145&lt;&gt;"",SUMIF(SAÍDAS!$C$7:$C$800,'CONT. ESTOQUE'!$B145,SAÍDAS!$J$7:$J$800),"")</f>
        <v>0</v>
      </c>
      <c r="E145" s="122">
        <f>IFERROR('CONT. ESTOQUE'!$C145-'CONT. ESTOQUE'!$D145,"")</f>
        <v>0</v>
      </c>
      <c r="F145" s="122">
        <f>IFERROR(VLOOKUP('CONT. ESTOQUE'!$B145,PROD!$B$6:$G$1095,4,0),"")</f>
        <v>0</v>
      </c>
      <c r="G145" s="122" t="str">
        <f>IF('CONT. ESTOQUE'!$B145&lt;&gt;"",IF('CONT. ESTOQUE'!$E145=0,"Sem Estoque",IF('CONT. ESTOQUE'!$E145&lt;'CONT. ESTOQUE'!$F145,"Estoque Perigoso","Estoque Confortável")),"")</f>
        <v>Sem Estoque</v>
      </c>
      <c r="H145" s="123">
        <f>SUMIF(SAÍDAS!$C$7:$C$289,'CONT. ESTOQUE'!$B145,SAÍDAS!$L$7:$L$289)</f>
        <v>0</v>
      </c>
      <c r="I145" s="123">
        <f>SUMIF(ENTRADAS!$C$8:$C$1002,'CONT. ESTOQUE'!$B145,ENTRADAS!$H$7:$H$1002)</f>
        <v>0</v>
      </c>
      <c r="J145" s="124">
        <f>'CONT. ESTOQUE'!$H145-'CONT. ESTOQUE'!$I145</f>
        <v>0</v>
      </c>
    </row>
    <row r="146" spans="2:10" ht="15.75" customHeight="1">
      <c r="B146" s="120" t="str">
        <f>PROD!B146</f>
        <v>VP430L</v>
      </c>
      <c r="C146" s="122">
        <f>IF('CONT. ESTOQUE'!$B146&lt;&gt;"",SUMIF(ENTRADAS!$C$7:$C$1002,'CONT. ESTOQUE'!$B146,ENTRADAS!$E$7:$E$1002),"")</f>
        <v>0</v>
      </c>
      <c r="D146" s="92">
        <f>IF('CONT. ESTOQUE'!$B146&lt;&gt;"",SUMIF(SAÍDAS!$C$7:$C$800,'CONT. ESTOQUE'!$B146,SAÍDAS!$J$7:$J$800),"")</f>
        <v>0</v>
      </c>
      <c r="E146" s="122">
        <f>IFERROR('CONT. ESTOQUE'!$C146-'CONT. ESTOQUE'!$D146,"")</f>
        <v>0</v>
      </c>
      <c r="F146" s="122">
        <f>IFERROR(VLOOKUP('CONT. ESTOQUE'!$B146,PROD!$B$6:$G$1095,4,0),"")</f>
        <v>0</v>
      </c>
      <c r="G146" s="122" t="str">
        <f>IF('CONT. ESTOQUE'!$B146&lt;&gt;"",IF('CONT. ESTOQUE'!$E146=0,"Sem Estoque",IF('CONT. ESTOQUE'!$E146&lt;'CONT. ESTOQUE'!$F146,"Estoque Perigoso","Estoque Confortável")),"")</f>
        <v>Sem Estoque</v>
      </c>
      <c r="H146" s="123">
        <f>SUMIF(SAÍDAS!$C$7:$C$289,'CONT. ESTOQUE'!$B146,SAÍDAS!$L$7:$L$289)</f>
        <v>0</v>
      </c>
      <c r="I146" s="123">
        <f>SUMIF(ENTRADAS!$C$8:$C$1002,'CONT. ESTOQUE'!$B146,ENTRADAS!$H$7:$H$1002)</f>
        <v>0</v>
      </c>
      <c r="J146" s="124">
        <f>'CONT. ESTOQUE'!$H146-'CONT. ESTOQUE'!$I146</f>
        <v>0</v>
      </c>
    </row>
    <row r="147" spans="2:10" s="129" customFormat="1" ht="15.75" customHeight="1">
      <c r="B147" s="91" t="str">
        <f>PROD!B147</f>
        <v>430L-195</v>
      </c>
      <c r="C147" s="92">
        <f>IF('CONT. ESTOQUE'!$B147&lt;&gt;"",SUMIF(ENTRADAS!$C$7:$C$1002,'CONT. ESTOQUE'!$B147,ENTRADAS!$E$7:$E$1002),"")</f>
        <v>4</v>
      </c>
      <c r="D147" s="92">
        <f>IF('CONT. ESTOQUE'!$B147&lt;&gt;"",SUMIF(SAÍDAS!$C$7:$C$800,'CONT. ESTOQUE'!$B147,SAÍDAS!$J$7:$J$800),"")</f>
        <v>0</v>
      </c>
      <c r="E147" s="92">
        <f>IFERROR('CONT. ESTOQUE'!$C147-'CONT. ESTOQUE'!$D147,"")</f>
        <v>4</v>
      </c>
      <c r="F147" s="92">
        <f>IFERROR(VLOOKUP('CONT. ESTOQUE'!$B147,PROD!$B$6:$G$1095,4,0),"")</f>
        <v>0</v>
      </c>
      <c r="G147" s="92" t="str">
        <f>IF('CONT. ESTOQUE'!$B147&lt;&gt;"",IF('CONT. ESTOQUE'!$E147=0,"Sem Estoque",IF('CONT. ESTOQUE'!$E147&lt;'CONT. ESTOQUE'!$F147,"Estoque Perigoso","Estoque Confortável")),"")</f>
        <v>Estoque Confortável</v>
      </c>
      <c r="H147" s="93">
        <f>SUMIF(SAÍDAS!$C$7:$C$289,'CONT. ESTOQUE'!$B147,SAÍDAS!$L$7:$L$289)</f>
        <v>0</v>
      </c>
      <c r="I147" s="93">
        <f>SUMIF(ENTRADAS!$C$8:$C$1002,'CONT. ESTOQUE'!$B147,ENTRADAS!$H$7:$H$1002)</f>
        <v>0</v>
      </c>
      <c r="J147" s="94">
        <f>'CONT. ESTOQUE'!$H147-'CONT. ESTOQUE'!$I147</f>
        <v>0</v>
      </c>
    </row>
    <row r="148" spans="2:10" ht="15.75" customHeight="1">
      <c r="B148" s="91" t="str">
        <f>PROD!B148</f>
        <v>430L-185</v>
      </c>
      <c r="C148" s="92">
        <f>IF('CONT. ESTOQUE'!$B148&lt;&gt;"",SUMIF(ENTRADAS!$C$7:$C$1002,'CONT. ESTOQUE'!$B148,ENTRADAS!$E$7:$E$1002),"")</f>
        <v>5</v>
      </c>
      <c r="D148" s="92">
        <f>IF('CONT. ESTOQUE'!$B148&lt;&gt;"",SUMIF(SAÍDAS!$C$7:$C$800,'CONT. ESTOQUE'!$B148,SAÍDAS!$J$7:$J$800),"")</f>
        <v>0</v>
      </c>
      <c r="E148" s="92">
        <f>IFERROR('CONT. ESTOQUE'!$C148-'CONT. ESTOQUE'!$D148,"")</f>
        <v>5</v>
      </c>
      <c r="F148" s="92">
        <f>IFERROR(VLOOKUP('CONT. ESTOQUE'!$B148,PROD!$B$6:$G$1095,4,0),"")</f>
        <v>0</v>
      </c>
      <c r="G148" s="92" t="str">
        <f>IF('CONT. ESTOQUE'!$B148&lt;&gt;"",IF('CONT. ESTOQUE'!$E148=0,"Sem Estoque",IF('CONT. ESTOQUE'!$E148&lt;'CONT. ESTOQUE'!$F148,"Estoque Perigoso","Estoque Confortável")),"")</f>
        <v>Estoque Confortável</v>
      </c>
      <c r="H148" s="93">
        <f>SUMIF(SAÍDAS!$C$7:$C$289,'CONT. ESTOQUE'!$B148,SAÍDAS!$L$7:$L$289)</f>
        <v>0</v>
      </c>
      <c r="I148" s="93">
        <f>SUMIF(ENTRADAS!$C$8:$C$1002,'CONT. ESTOQUE'!$B148,ENTRADAS!$H$7:$H$1002)</f>
        <v>0</v>
      </c>
      <c r="J148" s="94">
        <f>'CONT. ESTOQUE'!$H148-'CONT. ESTOQUE'!$I148</f>
        <v>0</v>
      </c>
    </row>
    <row r="149" spans="2:10" ht="15.75" customHeight="1">
      <c r="B149" s="91" t="str">
        <f>PROD!B149</f>
        <v>430L-175</v>
      </c>
      <c r="C149" s="92">
        <f>IF('CONT. ESTOQUE'!$B149&lt;&gt;"",SUMIF(ENTRADAS!$C$7:$C$1002,'CONT. ESTOQUE'!$B149,ENTRADAS!$E$7:$E$1002),"")</f>
        <v>5</v>
      </c>
      <c r="D149" s="92">
        <f>IF('CONT. ESTOQUE'!$B149&lt;&gt;"",SUMIF(SAÍDAS!$C$7:$C$800,'CONT. ESTOQUE'!$B149,SAÍDAS!$J$7:$J$800),"")</f>
        <v>1</v>
      </c>
      <c r="E149" s="92">
        <f>IFERROR('CONT. ESTOQUE'!$C149-'CONT. ESTOQUE'!$D149,"")</f>
        <v>4</v>
      </c>
      <c r="F149" s="92">
        <f>IFERROR(VLOOKUP('CONT. ESTOQUE'!$B149,PROD!$B$6:$G$1095,4,0),"")</f>
        <v>0</v>
      </c>
      <c r="G149" s="92" t="str">
        <f>IF('CONT. ESTOQUE'!$B149&lt;&gt;"",IF('CONT. ESTOQUE'!$E149=0,"Sem Estoque",IF('CONT. ESTOQUE'!$E149&lt;'CONT. ESTOQUE'!$F149,"Estoque Perigoso","Estoque Confortável")),"")</f>
        <v>Estoque Confortável</v>
      </c>
      <c r="H149" s="93">
        <f>SUMIF(SAÍDAS!$C$7:$C$289,'CONT. ESTOQUE'!$B149,SAÍDAS!$L$7:$L$289)</f>
        <v>0</v>
      </c>
      <c r="I149" s="93">
        <f>SUMIF(ENTRADAS!$C$8:$C$1002,'CONT. ESTOQUE'!$B149,ENTRADAS!$H$7:$H$1002)</f>
        <v>0</v>
      </c>
      <c r="J149" s="94">
        <f>'CONT. ESTOQUE'!$H149-'CONT. ESTOQUE'!$I149</f>
        <v>0</v>
      </c>
    </row>
    <row r="150" spans="2:10" s="121" customFormat="1" ht="15.75" customHeight="1">
      <c r="B150" s="91" t="str">
        <f>PROD!B150</f>
        <v>430L-165</v>
      </c>
      <c r="C150" s="92">
        <f>IF('CONT. ESTOQUE'!$B150&lt;&gt;"",SUMIF(ENTRADAS!$C$7:$C$1002,'CONT. ESTOQUE'!$B150,ENTRADAS!$E$7:$E$1002),"")</f>
        <v>4</v>
      </c>
      <c r="D150" s="92">
        <f>IF('CONT. ESTOQUE'!$B150&lt;&gt;"",SUMIF(SAÍDAS!$C$7:$C$800,'CONT. ESTOQUE'!$B150,SAÍDAS!$J$7:$J$800),"")</f>
        <v>0</v>
      </c>
      <c r="E150" s="92">
        <f>IFERROR('CONT. ESTOQUE'!$C150-'CONT. ESTOQUE'!$D150,"")</f>
        <v>4</v>
      </c>
      <c r="F150" s="92">
        <f>IFERROR(VLOOKUP('CONT. ESTOQUE'!$B150,PROD!$B$6:$G$1095,4,0),"")</f>
        <v>0</v>
      </c>
      <c r="G150" s="92" t="str">
        <f>IF('CONT. ESTOQUE'!$B150&lt;&gt;"",IF('CONT. ESTOQUE'!$E150=0,"Sem Estoque",IF('CONT. ESTOQUE'!$E150&lt;'CONT. ESTOQUE'!$F150,"Estoque Perigoso","Estoque Confortável")),"")</f>
        <v>Estoque Confortável</v>
      </c>
      <c r="H150" s="93">
        <f>SUMIF(SAÍDAS!$C$7:$C$289,'CONT. ESTOQUE'!$B150,SAÍDAS!$L$7:$L$289)</f>
        <v>0</v>
      </c>
      <c r="I150" s="93">
        <f>SUMIF(ENTRADAS!$C$8:$C$1002,'CONT. ESTOQUE'!$B150,ENTRADAS!$H$7:$H$1002)</f>
        <v>0</v>
      </c>
      <c r="J150" s="94">
        <f>'CONT. ESTOQUE'!$H150-'CONT. ESTOQUE'!$I150</f>
        <v>0</v>
      </c>
    </row>
    <row r="151" spans="2:10" s="121" customFormat="1" ht="15.75" customHeight="1">
      <c r="B151" s="120" t="str">
        <f>PROD!B151</f>
        <v>-</v>
      </c>
      <c r="C151" s="122">
        <f>IF('CONT. ESTOQUE'!$B151&lt;&gt;"",SUMIF(ENTRADAS!$C$7:$C$1002,'CONT. ESTOQUE'!$B151,ENTRADAS!$E$7:$E$1002),"")</f>
        <v>0</v>
      </c>
      <c r="D151" s="92">
        <f>IF('CONT. ESTOQUE'!$B151&lt;&gt;"",SUMIF(SAÍDAS!$C$7:$C$800,'CONT. ESTOQUE'!$B151,SAÍDAS!$J$7:$J$800),"")</f>
        <v>0</v>
      </c>
      <c r="E151" s="122">
        <f>IFERROR('CONT. ESTOQUE'!$C151-'CONT. ESTOQUE'!$D151,"")</f>
        <v>0</v>
      </c>
      <c r="F151" s="122">
        <f>IFERROR(VLOOKUP('CONT. ESTOQUE'!$B151,PROD!$B$6:$G$1095,4,0),"")</f>
        <v>0</v>
      </c>
      <c r="G151" s="122" t="str">
        <f>IF('CONT. ESTOQUE'!$B151&lt;&gt;"",IF('CONT. ESTOQUE'!$E151=0,"Sem Estoque",IF('CONT. ESTOQUE'!$E151&lt;'CONT. ESTOQUE'!$F151,"Estoque Perigoso","Estoque Confortável")),"")</f>
        <v>Sem Estoque</v>
      </c>
      <c r="H151" s="123">
        <f>SUMIF(SAÍDAS!$C$7:$C$289,'CONT. ESTOQUE'!$B151,SAÍDAS!$L$7:$L$289)</f>
        <v>0</v>
      </c>
      <c r="I151" s="123">
        <f>SUMIF(ENTRADAS!$C$8:$C$1002,'CONT. ESTOQUE'!$B151,ENTRADAS!$H$7:$H$1002)</f>
        <v>0</v>
      </c>
      <c r="J151" s="124">
        <f>'CONT. ESTOQUE'!$H151-'CONT. ESTOQUE'!$I151</f>
        <v>0</v>
      </c>
    </row>
    <row r="152" spans="2:10" ht="15.75" customHeight="1">
      <c r="B152" s="120" t="str">
        <f>PROD!B152</f>
        <v>VT190</v>
      </c>
      <c r="C152" s="122">
        <f>IF('CONT. ESTOQUE'!$B152&lt;&gt;"",SUMIF(ENTRADAS!$C$7:$C$1002,'CONT. ESTOQUE'!$B152,ENTRADAS!$E$7:$E$1002),"")</f>
        <v>0</v>
      </c>
      <c r="D152" s="92">
        <f>IF('CONT. ESTOQUE'!$B152&lt;&gt;"",SUMIF(SAÍDAS!$C$7:$C$800,'CONT. ESTOQUE'!$B152,SAÍDAS!$J$7:$J$800),"")</f>
        <v>0</v>
      </c>
      <c r="E152" s="122">
        <f>IFERROR('CONT. ESTOQUE'!$C152-'CONT. ESTOQUE'!$D152,"")</f>
        <v>0</v>
      </c>
      <c r="F152" s="122">
        <f>IFERROR(VLOOKUP('CONT. ESTOQUE'!$B152,PROD!$B$6:$G$1095,4,0),"")</f>
        <v>0</v>
      </c>
      <c r="G152" s="122" t="str">
        <f>IF('CONT. ESTOQUE'!$B152&lt;&gt;"",IF('CONT. ESTOQUE'!$E152=0,"Sem Estoque",IF('CONT. ESTOQUE'!$E152&lt;'CONT. ESTOQUE'!$F152,"Estoque Perigoso","Estoque Confortável")),"")</f>
        <v>Sem Estoque</v>
      </c>
      <c r="H152" s="123">
        <f>SUMIF(SAÍDAS!$C$7:$C$289,'CONT. ESTOQUE'!$B152,SAÍDAS!$L$7:$L$289)</f>
        <v>0</v>
      </c>
      <c r="I152" s="123">
        <f>SUMIF(ENTRADAS!$C$8:$C$1002,'CONT. ESTOQUE'!$B152,ENTRADAS!$H$7:$H$1002)</f>
        <v>0</v>
      </c>
      <c r="J152" s="124">
        <f>'CONT. ESTOQUE'!$H152-'CONT. ESTOQUE'!$I152</f>
        <v>0</v>
      </c>
    </row>
    <row r="153" spans="2:10" ht="15.75" customHeight="1">
      <c r="B153" s="91" t="str">
        <f>PROD!B153</f>
        <v>VT190-190</v>
      </c>
      <c r="C153" s="92">
        <f>IF('CONT. ESTOQUE'!$B153&lt;&gt;"",SUMIF(ENTRADAS!$C$7:$C$1002,'CONT. ESTOQUE'!$B153,ENTRADAS!$E$7:$E$1002),"")</f>
        <v>8</v>
      </c>
      <c r="D153" s="92">
        <f>IF('CONT. ESTOQUE'!$B153&lt;&gt;"",SUMIF(SAÍDAS!$C$7:$C$800,'CONT. ESTOQUE'!$B153,SAÍDAS!$J$7:$J$800),"")</f>
        <v>3</v>
      </c>
      <c r="E153" s="92">
        <f>IFERROR('CONT. ESTOQUE'!$C153-'CONT. ESTOQUE'!$D153,"")</f>
        <v>5</v>
      </c>
      <c r="F153" s="92">
        <f>IFERROR(VLOOKUP('CONT. ESTOQUE'!$B153,PROD!$B$6:$G$1095,4,0),"")</f>
        <v>0</v>
      </c>
      <c r="G153" s="92" t="str">
        <f>IF('CONT. ESTOQUE'!$B153&lt;&gt;"",IF('CONT. ESTOQUE'!$E153=0,"Sem Estoque",IF('CONT. ESTOQUE'!$E153&lt;'CONT. ESTOQUE'!$F153,"Estoque Perigoso","Estoque Confortável")),"")</f>
        <v>Estoque Confortável</v>
      </c>
      <c r="H153" s="93">
        <f>SUMIF(SAÍDAS!$C$7:$C$289,'CONT. ESTOQUE'!$B153,SAÍDAS!$L$7:$L$289)</f>
        <v>0</v>
      </c>
      <c r="I153" s="93">
        <f>SUMIF(ENTRADAS!$C$8:$C$1002,'CONT. ESTOQUE'!$B153,ENTRADAS!$H$7:$H$1002)</f>
        <v>0</v>
      </c>
      <c r="J153" s="94">
        <f>'CONT. ESTOQUE'!$H153-'CONT. ESTOQUE'!$I153</f>
        <v>0</v>
      </c>
    </row>
    <row r="154" spans="2:10" ht="15.75" customHeight="1">
      <c r="B154" s="91" t="str">
        <f>PROD!B154</f>
        <v>VT190-180</v>
      </c>
      <c r="C154" s="92">
        <f>IF('CONT. ESTOQUE'!$B154&lt;&gt;"",SUMIF(ENTRADAS!$C$7:$C$1002,'CONT. ESTOQUE'!$B154,ENTRADAS!$E$7:$E$1002),"")</f>
        <v>5</v>
      </c>
      <c r="D154" s="92">
        <f>IF('CONT. ESTOQUE'!$B154&lt;&gt;"",SUMIF(SAÍDAS!$C$7:$C$800,'CONT. ESTOQUE'!$B154,SAÍDAS!$J$7:$J$800),"")</f>
        <v>0</v>
      </c>
      <c r="E154" s="92">
        <f>IFERROR('CONT. ESTOQUE'!$C154-'CONT. ESTOQUE'!$D154,"")</f>
        <v>5</v>
      </c>
      <c r="F154" s="92">
        <f>IFERROR(VLOOKUP('CONT. ESTOQUE'!$B154,PROD!$B$6:$G$1095,4,0),"")</f>
        <v>0</v>
      </c>
      <c r="G154" s="92" t="str">
        <f>IF('CONT. ESTOQUE'!$B154&lt;&gt;"",IF('CONT. ESTOQUE'!$E154=0,"Sem Estoque",IF('CONT. ESTOQUE'!$E154&lt;'CONT. ESTOQUE'!$F154,"Estoque Perigoso","Estoque Confortável")),"")</f>
        <v>Estoque Confortável</v>
      </c>
      <c r="H154" s="93">
        <f>SUMIF(SAÍDAS!$C$7:$C$289,'CONT. ESTOQUE'!$B154,SAÍDAS!$L$7:$L$289)</f>
        <v>0</v>
      </c>
      <c r="I154" s="93">
        <f>SUMIF(ENTRADAS!$C$8:$C$1002,'CONT. ESTOQUE'!$B154,ENTRADAS!$H$7:$H$1002)</f>
        <v>0</v>
      </c>
      <c r="J154" s="94">
        <f>'CONT. ESTOQUE'!$H154-'CONT. ESTOQUE'!$I154</f>
        <v>0</v>
      </c>
    </row>
    <row r="155" spans="2:10" ht="15.75" customHeight="1">
      <c r="B155" s="91" t="str">
        <f>PROD!B155</f>
        <v>VT190-170</v>
      </c>
      <c r="C155" s="92">
        <f>IF('CONT. ESTOQUE'!$B155&lt;&gt;"",SUMIF(ENTRADAS!$C$7:$C$1002,'CONT. ESTOQUE'!$B155,ENTRADAS!$E$7:$E$1002),"")</f>
        <v>4</v>
      </c>
      <c r="D155" s="92">
        <f>IF('CONT. ESTOQUE'!$B155&lt;&gt;"",SUMIF(SAÍDAS!$C$7:$C$800,'CONT. ESTOQUE'!$B155,SAÍDAS!$J$7:$J$800),"")</f>
        <v>1</v>
      </c>
      <c r="E155" s="92">
        <f>IFERROR('CONT. ESTOQUE'!$C155-'CONT. ESTOQUE'!$D155,"")</f>
        <v>3</v>
      </c>
      <c r="F155" s="92">
        <f>IFERROR(VLOOKUP('CONT. ESTOQUE'!$B155,PROD!$B$6:$G$1095,4,0),"")</f>
        <v>0</v>
      </c>
      <c r="G155" s="92" t="str">
        <f>IF('CONT. ESTOQUE'!$B155&lt;&gt;"",IF('CONT. ESTOQUE'!$E155=0,"Sem Estoque",IF('CONT. ESTOQUE'!$E155&lt;'CONT. ESTOQUE'!$F155,"Estoque Perigoso","Estoque Confortável")),"")</f>
        <v>Estoque Confortável</v>
      </c>
      <c r="H155" s="93">
        <f>SUMIF(SAÍDAS!$C$7:$C$289,'CONT. ESTOQUE'!$B155,SAÍDAS!$L$7:$L$289)</f>
        <v>0</v>
      </c>
      <c r="I155" s="93">
        <f>SUMIF(ENTRADAS!$C$8:$C$1002,'CONT. ESTOQUE'!$B155,ENTRADAS!$H$7:$H$1002)</f>
        <v>0</v>
      </c>
      <c r="J155" s="94">
        <f>'CONT. ESTOQUE'!$H155-'CONT. ESTOQUE'!$I155</f>
        <v>0</v>
      </c>
    </row>
    <row r="156" spans="2:10" s="121" customFormat="1" ht="15.75" customHeight="1">
      <c r="B156" s="91" t="str">
        <f>PROD!B156</f>
        <v>VT190-160</v>
      </c>
      <c r="C156" s="92">
        <f>IF('CONT. ESTOQUE'!$B156&lt;&gt;"",SUMIF(ENTRADAS!$C$7:$C$1002,'CONT. ESTOQUE'!$B156,ENTRADAS!$E$7:$E$1002),"")</f>
        <v>0</v>
      </c>
      <c r="D156" s="92">
        <f>IF('CONT. ESTOQUE'!$B156&lt;&gt;"",SUMIF(SAÍDAS!$C$7:$C$800,'CONT. ESTOQUE'!$B156,SAÍDAS!$J$7:$J$800),"")</f>
        <v>0</v>
      </c>
      <c r="E156" s="92">
        <f>IFERROR('CONT. ESTOQUE'!$C156-'CONT. ESTOQUE'!$D156,"")</f>
        <v>0</v>
      </c>
      <c r="F156" s="92">
        <f>IFERROR(VLOOKUP('CONT. ESTOQUE'!$B156,PROD!$B$6:$G$1095,4,0),"")</f>
        <v>0</v>
      </c>
      <c r="G156" s="92" t="str">
        <f>IF('CONT. ESTOQUE'!$B156&lt;&gt;"",IF('CONT. ESTOQUE'!$E156=0,"Sem Estoque",IF('CONT. ESTOQUE'!$E156&lt;'CONT. ESTOQUE'!$F156,"Estoque Perigoso","Estoque Confortável")),"")</f>
        <v>Sem Estoque</v>
      </c>
      <c r="H156" s="93">
        <f>SUMIF(SAÍDAS!$C$7:$C$289,'CONT. ESTOQUE'!$B156,SAÍDAS!$L$7:$L$289)</f>
        <v>0</v>
      </c>
      <c r="I156" s="93">
        <f>SUMIF(ENTRADAS!$C$8:$C$1002,'CONT. ESTOQUE'!$B156,ENTRADAS!$H$7:$H$1002)</f>
        <v>0</v>
      </c>
      <c r="J156" s="94">
        <f>'CONT. ESTOQUE'!$H156-'CONT. ESTOQUE'!$I156</f>
        <v>0</v>
      </c>
    </row>
    <row r="157" spans="2:10" s="121" customFormat="1" ht="15.75" customHeight="1">
      <c r="B157" s="120" t="str">
        <f>PROD!B157</f>
        <v>-</v>
      </c>
      <c r="C157" s="122">
        <f>IF('CONT. ESTOQUE'!$B157&lt;&gt;"",SUMIF(ENTRADAS!$C$7:$C$1002,'CONT. ESTOQUE'!$B157,ENTRADAS!$E$7:$E$1002),"")</f>
        <v>0</v>
      </c>
      <c r="D157" s="92">
        <f>IF('CONT. ESTOQUE'!$B157&lt;&gt;"",SUMIF(SAÍDAS!$C$7:$C$800,'CONT. ESTOQUE'!$B157,SAÍDAS!$J$7:$J$800),"")</f>
        <v>0</v>
      </c>
      <c r="E157" s="122">
        <f>IFERROR('CONT. ESTOQUE'!$C157-'CONT. ESTOQUE'!$D157,"")</f>
        <v>0</v>
      </c>
      <c r="F157" s="122">
        <f>IFERROR(VLOOKUP('CONT. ESTOQUE'!$B157,PROD!$B$6:$G$1095,4,0),"")</f>
        <v>0</v>
      </c>
      <c r="G157" s="122" t="str">
        <f>IF('CONT. ESTOQUE'!$B157&lt;&gt;"",IF('CONT. ESTOQUE'!$E157=0,"Sem Estoque",IF('CONT. ESTOQUE'!$E157&lt;'CONT. ESTOQUE'!$F157,"Estoque Perigoso","Estoque Confortável")),"")</f>
        <v>Sem Estoque</v>
      </c>
      <c r="H157" s="123">
        <f>SUMIF(SAÍDAS!$C$7:$C$289,'CONT. ESTOQUE'!$B157,SAÍDAS!$L$7:$L$289)</f>
        <v>0</v>
      </c>
      <c r="I157" s="123">
        <f>SUMIF(ENTRADAS!$C$8:$C$1002,'CONT. ESTOQUE'!$B157,ENTRADAS!$H$7:$H$1002)</f>
        <v>0</v>
      </c>
      <c r="J157" s="124">
        <f>'CONT. ESTOQUE'!$H157-'CONT. ESTOQUE'!$I157</f>
        <v>0</v>
      </c>
    </row>
    <row r="158" spans="2:10" ht="15.75" customHeight="1">
      <c r="B158" s="120" t="str">
        <f>PROD!B158</f>
        <v>VM530L</v>
      </c>
      <c r="C158" s="122">
        <f>IF('CONT. ESTOQUE'!$B158&lt;&gt;"",SUMIF(ENTRADAS!$C$7:$C$1002,'CONT. ESTOQUE'!$B158,ENTRADAS!$E$7:$E$1002),"")</f>
        <v>0</v>
      </c>
      <c r="D158" s="92">
        <f>IF('CONT. ESTOQUE'!$B158&lt;&gt;"",SUMIF(SAÍDAS!$C$7:$C$800,'CONT. ESTOQUE'!$B158,SAÍDAS!$J$7:$J$800),"")</f>
        <v>0</v>
      </c>
      <c r="E158" s="122">
        <f>IFERROR('CONT. ESTOQUE'!$C158-'CONT. ESTOQUE'!$D158,"")</f>
        <v>0</v>
      </c>
      <c r="F158" s="122">
        <f>IFERROR(VLOOKUP('CONT. ESTOQUE'!$B158,PROD!$B$6:$G$1095,4,0),"")</f>
        <v>0</v>
      </c>
      <c r="G158" s="122" t="str">
        <f>IF('CONT. ESTOQUE'!$B158&lt;&gt;"",IF('CONT. ESTOQUE'!$E158=0,"Sem Estoque",IF('CONT. ESTOQUE'!$E158&lt;'CONT. ESTOQUE'!$F158,"Estoque Perigoso","Estoque Confortável")),"")</f>
        <v>Sem Estoque</v>
      </c>
      <c r="H158" s="123">
        <f>SUMIF(SAÍDAS!$C$7:$C$289,'CONT. ESTOQUE'!$B158,SAÍDAS!$L$7:$L$289)</f>
        <v>0</v>
      </c>
      <c r="I158" s="123">
        <f>SUMIF(ENTRADAS!$C$8:$C$1002,'CONT. ESTOQUE'!$B158,ENTRADAS!$H$7:$H$1002)</f>
        <v>0</v>
      </c>
      <c r="J158" s="124">
        <f>'CONT. ESTOQUE'!$H158-'CONT. ESTOQUE'!$I158</f>
        <v>0</v>
      </c>
    </row>
    <row r="159" spans="2:10" ht="15.75" customHeight="1">
      <c r="B159" s="91" t="str">
        <f>PROD!B159</f>
        <v>530L-258</v>
      </c>
      <c r="C159" s="92">
        <f>IF('CONT. ESTOQUE'!$B159&lt;&gt;"",SUMIF(ENTRADAS!$C$7:$C$1002,'CONT. ESTOQUE'!$B159,ENTRADAS!$E$7:$E$1002),"")</f>
        <v>9</v>
      </c>
      <c r="D159" s="92">
        <f>IF('CONT. ESTOQUE'!$B159&lt;&gt;"",SUMIF(SAÍDAS!$C$7:$C$800,'CONT. ESTOQUE'!$B159,SAÍDAS!$J$7:$J$800),"")</f>
        <v>6</v>
      </c>
      <c r="E159" s="92">
        <f>IFERROR('CONT. ESTOQUE'!$C159-'CONT. ESTOQUE'!$D159,"")</f>
        <v>3</v>
      </c>
      <c r="F159" s="92">
        <f>IFERROR(VLOOKUP('CONT. ESTOQUE'!$B159,PROD!$B$6:$G$1095,4,0),"")</f>
        <v>0</v>
      </c>
      <c r="G159" s="92" t="str">
        <f>IF('CONT. ESTOQUE'!$B159&lt;&gt;"",IF('CONT. ESTOQUE'!$E159=0,"Sem Estoque",IF('CONT. ESTOQUE'!$E159&lt;'CONT. ESTOQUE'!$F159,"Estoque Perigoso","Estoque Confortável")),"")</f>
        <v>Estoque Confortável</v>
      </c>
      <c r="H159" s="93">
        <f>SUMIF(SAÍDAS!$C$7:$C$289,'CONT. ESTOQUE'!$B159,SAÍDAS!$L$7:$L$289)</f>
        <v>0</v>
      </c>
      <c r="I159" s="93">
        <f>SUMIF(ENTRADAS!$C$8:$C$1002,'CONT. ESTOQUE'!$B159,ENTRADAS!$H$7:$H$1002)</f>
        <v>0</v>
      </c>
      <c r="J159" s="94">
        <f>'CONT. ESTOQUE'!$H159-'CONT. ESTOQUE'!$I159</f>
        <v>0</v>
      </c>
    </row>
    <row r="160" spans="2:10" ht="15.75" customHeight="1">
      <c r="B160" s="91" t="str">
        <f>PROD!B160</f>
        <v>530L-250</v>
      </c>
      <c r="C160" s="92">
        <f>IF('CONT. ESTOQUE'!$B160&lt;&gt;"",SUMIF(ENTRADAS!$C$7:$C$1002,'CONT. ESTOQUE'!$B160,ENTRADAS!$E$7:$E$1002),"")</f>
        <v>37</v>
      </c>
      <c r="D160" s="92">
        <f>IF('CONT. ESTOQUE'!$B160&lt;&gt;"",SUMIF(SAÍDAS!$C$7:$C$800,'CONT. ESTOQUE'!$B160,SAÍDAS!$J$7:$J$800),"")</f>
        <v>15</v>
      </c>
      <c r="E160" s="92">
        <f>IFERROR('CONT. ESTOQUE'!$C160-'CONT. ESTOQUE'!$D160,"")</f>
        <v>22</v>
      </c>
      <c r="F160" s="92">
        <f>IFERROR(VLOOKUP('CONT. ESTOQUE'!$B160,PROD!$B$6:$G$1095,4,0),"")</f>
        <v>0</v>
      </c>
      <c r="G160" s="92" t="str">
        <f>IF('CONT. ESTOQUE'!$B160&lt;&gt;"",IF('CONT. ESTOQUE'!$E160=0,"Sem Estoque",IF('CONT. ESTOQUE'!$E160&lt;'CONT. ESTOQUE'!$F160,"Estoque Perigoso","Estoque Confortável")),"")</f>
        <v>Estoque Confortável</v>
      </c>
      <c r="H160" s="93">
        <f>SUMIF(SAÍDAS!$C$7:$C$289,'CONT. ESTOQUE'!$B160,SAÍDAS!$L$7:$L$289)</f>
        <v>0</v>
      </c>
      <c r="I160" s="93">
        <f>SUMIF(ENTRADAS!$C$8:$C$1002,'CONT. ESTOQUE'!$B160,ENTRADAS!$H$7:$H$1002)</f>
        <v>0</v>
      </c>
      <c r="J160" s="94">
        <f>'CONT. ESTOQUE'!$H160-'CONT. ESTOQUE'!$I160</f>
        <v>0</v>
      </c>
    </row>
    <row r="161" spans="2:10" ht="15.75" customHeight="1">
      <c r="B161" s="91" t="str">
        <f>PROD!B161</f>
        <v>530L-242</v>
      </c>
      <c r="C161" s="92">
        <f>IF('CONT. ESTOQUE'!$B161&lt;&gt;"",SUMIF(ENTRADAS!$C$7:$C$1002,'CONT. ESTOQUE'!$B161,ENTRADAS!$E$7:$E$1002),"")</f>
        <v>38</v>
      </c>
      <c r="D161" s="92">
        <f>IF('CONT. ESTOQUE'!$B161&lt;&gt;"",SUMIF(SAÍDAS!$C$7:$C$800,'CONT. ESTOQUE'!$B161,SAÍDAS!$J$7:$J$800),"")</f>
        <v>26</v>
      </c>
      <c r="E161" s="92">
        <f>IFERROR('CONT. ESTOQUE'!$C161-'CONT. ESTOQUE'!$D161,"")</f>
        <v>12</v>
      </c>
      <c r="F161" s="92">
        <f>IFERROR(VLOOKUP('CONT. ESTOQUE'!$B161,PROD!$B$6:$G$1095,4,0),"")</f>
        <v>0</v>
      </c>
      <c r="G161" s="92" t="str">
        <f>IF('CONT. ESTOQUE'!$B161&lt;&gt;"",IF('CONT. ESTOQUE'!$E161=0,"Sem Estoque",IF('CONT. ESTOQUE'!$E161&lt;'CONT. ESTOQUE'!$F161,"Estoque Perigoso","Estoque Confortável")),"")</f>
        <v>Estoque Confortável</v>
      </c>
      <c r="H161" s="93">
        <f>SUMIF(SAÍDAS!$C$7:$C$289,'CONT. ESTOQUE'!$B161,SAÍDAS!$L$7:$L$289)</f>
        <v>0</v>
      </c>
      <c r="I161" s="93">
        <f>SUMIF(ENTRADAS!$C$8:$C$1002,'CONT. ESTOQUE'!$B161,ENTRADAS!$H$7:$H$1002)</f>
        <v>0</v>
      </c>
      <c r="J161" s="94">
        <f>'CONT. ESTOQUE'!$H161-'CONT. ESTOQUE'!$I161</f>
        <v>0</v>
      </c>
    </row>
    <row r="162" spans="2:10" ht="15.75" customHeight="1">
      <c r="B162" s="91" t="str">
        <f>PROD!B162</f>
        <v>530L-234</v>
      </c>
      <c r="C162" s="92">
        <f>IF('CONT. ESTOQUE'!$B162&lt;&gt;"",SUMIF(ENTRADAS!$C$7:$C$1002,'CONT. ESTOQUE'!$B162,ENTRADAS!$E$7:$E$1002),"")</f>
        <v>12</v>
      </c>
      <c r="D162" s="92">
        <f>IF('CONT. ESTOQUE'!$B162&lt;&gt;"",SUMIF(SAÍDAS!$C$7:$C$800,'CONT. ESTOQUE'!$B162,SAÍDAS!$J$7:$J$800),"")</f>
        <v>9</v>
      </c>
      <c r="E162" s="92">
        <f>IFERROR('CONT. ESTOQUE'!$C162-'CONT. ESTOQUE'!$D162,"")</f>
        <v>3</v>
      </c>
      <c r="F162" s="92">
        <f>IFERROR(VLOOKUP('CONT. ESTOQUE'!$B162,PROD!$B$6:$G$1095,4,0),"")</f>
        <v>0</v>
      </c>
      <c r="G162" s="92" t="str">
        <f>IF('CONT. ESTOQUE'!$B162&lt;&gt;"",IF('CONT. ESTOQUE'!$E162=0,"Sem Estoque",IF('CONT. ESTOQUE'!$E162&lt;'CONT. ESTOQUE'!$F162,"Estoque Perigoso","Estoque Confortável")),"")</f>
        <v>Estoque Confortável</v>
      </c>
      <c r="H162" s="93">
        <f>SUMIF(SAÍDAS!$C$7:$C$289,'CONT. ESTOQUE'!$B162,SAÍDAS!$L$7:$L$289)</f>
        <v>0</v>
      </c>
      <c r="I162" s="93">
        <f>SUMIF(ENTRADAS!$C$8:$C$1002,'CONT. ESTOQUE'!$B162,ENTRADAS!$H$7:$H$1002)</f>
        <v>0</v>
      </c>
      <c r="J162" s="94">
        <f>'CONT. ESTOQUE'!$H162-'CONT. ESTOQUE'!$I162</f>
        <v>0</v>
      </c>
    </row>
    <row r="163" spans="2:10" ht="15.75" customHeight="1">
      <c r="B163" s="91" t="str">
        <f>PROD!B163</f>
        <v>530L-226</v>
      </c>
      <c r="C163" s="92">
        <f>IF('CONT. ESTOQUE'!$B163&lt;&gt;"",SUMIF(ENTRADAS!$C$7:$C$1002,'CONT. ESTOQUE'!$B163,ENTRADAS!$E$7:$E$1002),"")</f>
        <v>12</v>
      </c>
      <c r="D163" s="92">
        <f>IF('CONT. ESTOQUE'!$B163&lt;&gt;"",SUMIF(SAÍDAS!$C$7:$C$800,'CONT. ESTOQUE'!$B163,SAÍDAS!$J$7:$J$800),"")</f>
        <v>8</v>
      </c>
      <c r="E163" s="92">
        <f>IFERROR('CONT. ESTOQUE'!$C163-'CONT. ESTOQUE'!$D163,"")</f>
        <v>4</v>
      </c>
      <c r="F163" s="92">
        <f>IFERROR(VLOOKUP('CONT. ESTOQUE'!$B163,PROD!$B$6:$G$1095,4,0),"")</f>
        <v>0</v>
      </c>
      <c r="G163" s="92" t="str">
        <f>IF('CONT. ESTOQUE'!$B163&lt;&gt;"",IF('CONT. ESTOQUE'!$E163=0,"Sem Estoque",IF('CONT. ESTOQUE'!$E163&lt;'CONT. ESTOQUE'!$F163,"Estoque Perigoso","Estoque Confortável")),"")</f>
        <v>Estoque Confortável</v>
      </c>
      <c r="H163" s="93">
        <f>SUMIF(SAÍDAS!$C$7:$C$289,'CONT. ESTOQUE'!$B163,SAÍDAS!$L$7:$L$289)</f>
        <v>0</v>
      </c>
      <c r="I163" s="93">
        <f>SUMIF(ENTRADAS!$C$8:$C$1002,'CONT. ESTOQUE'!$B163,ENTRADAS!$H$7:$H$1002)</f>
        <v>0</v>
      </c>
      <c r="J163" s="94">
        <f>'CONT. ESTOQUE'!$H163-'CONT. ESTOQUE'!$I163</f>
        <v>0</v>
      </c>
    </row>
    <row r="164" spans="2:10" ht="15.75" customHeight="1">
      <c r="B164" s="91" t="str">
        <f>PROD!B164</f>
        <v>530L-218</v>
      </c>
      <c r="C164" s="92">
        <f>IF('CONT. ESTOQUE'!$B164&lt;&gt;"",SUMIF(ENTRADAS!$C$7:$C$1002,'CONT. ESTOQUE'!$B164,ENTRADAS!$E$7:$E$1002),"")</f>
        <v>5</v>
      </c>
      <c r="D164" s="92">
        <f>IF('CONT. ESTOQUE'!$B164&lt;&gt;"",SUMIF(SAÍDAS!$C$7:$C$800,'CONT. ESTOQUE'!$B164,SAÍDAS!$J$7:$J$800),"")</f>
        <v>1</v>
      </c>
      <c r="E164" s="92">
        <f>IFERROR('CONT. ESTOQUE'!$C164-'CONT. ESTOQUE'!$D164,"")</f>
        <v>4</v>
      </c>
      <c r="F164" s="92">
        <f>IFERROR(VLOOKUP('CONT. ESTOQUE'!$B164,PROD!$B$6:$G$1095,4,0),"")</f>
        <v>0</v>
      </c>
      <c r="G164" s="92" t="str">
        <f>IF('CONT. ESTOQUE'!$B164&lt;&gt;"",IF('CONT. ESTOQUE'!$E164=0,"Sem Estoque",IF('CONT. ESTOQUE'!$E164&lt;'CONT. ESTOQUE'!$F164,"Estoque Perigoso","Estoque Confortável")),"")</f>
        <v>Estoque Confortável</v>
      </c>
      <c r="H164" s="93">
        <f>SUMIF(SAÍDAS!$C$7:$C$289,'CONT. ESTOQUE'!$B164,SAÍDAS!$L$7:$L$289)</f>
        <v>0</v>
      </c>
      <c r="I164" s="93">
        <f>SUMIF(ENTRADAS!$C$8:$C$1002,'CONT. ESTOQUE'!$B164,ENTRADAS!$H$7:$H$1002)</f>
        <v>0</v>
      </c>
      <c r="J164" s="94">
        <f>'CONT. ESTOQUE'!$H164-'CONT. ESTOQUE'!$I164</f>
        <v>0</v>
      </c>
    </row>
    <row r="165" spans="2:10" ht="15.75" customHeight="1">
      <c r="B165" s="91" t="str">
        <f>PROD!B165</f>
        <v>530L-210</v>
      </c>
      <c r="C165" s="92">
        <f>IF('CONT. ESTOQUE'!$B165&lt;&gt;"",SUMIF(ENTRADAS!$C$7:$C$1002,'CONT. ESTOQUE'!$B165,ENTRADAS!$E$7:$E$1002),"")</f>
        <v>10</v>
      </c>
      <c r="D165" s="92">
        <f>IF('CONT. ESTOQUE'!$B165&lt;&gt;"",SUMIF(SAÍDAS!$C$7:$C$800,'CONT. ESTOQUE'!$B165,SAÍDAS!$J$7:$J$800),"")</f>
        <v>7</v>
      </c>
      <c r="E165" s="92">
        <f>IFERROR('CONT. ESTOQUE'!$C165-'CONT. ESTOQUE'!$D165,"")</f>
        <v>3</v>
      </c>
      <c r="F165" s="92">
        <f>IFERROR(VLOOKUP('CONT. ESTOQUE'!$B165,PROD!$B$6:$G$1095,4,0),"")</f>
        <v>0</v>
      </c>
      <c r="G165" s="92" t="str">
        <f>IF('CONT. ESTOQUE'!$B165&lt;&gt;"",IF('CONT. ESTOQUE'!$E165=0,"Sem Estoque",IF('CONT. ESTOQUE'!$E165&lt;'CONT. ESTOQUE'!$F165,"Estoque Perigoso","Estoque Confortável")),"")</f>
        <v>Estoque Confortável</v>
      </c>
      <c r="H165" s="93">
        <f>SUMIF(SAÍDAS!$C$7:$C$289,'CONT. ESTOQUE'!$B165,SAÍDAS!$L$7:$L$289)</f>
        <v>0</v>
      </c>
      <c r="I165" s="93">
        <f>SUMIF(ENTRADAS!$C$8:$C$1002,'CONT. ESTOQUE'!$B165,ENTRADAS!$H$7:$H$1002)</f>
        <v>0</v>
      </c>
      <c r="J165" s="94">
        <f>'CONT. ESTOQUE'!$H165-'CONT. ESTOQUE'!$I165</f>
        <v>0</v>
      </c>
    </row>
    <row r="166" spans="2:10" ht="15.75" customHeight="1">
      <c r="B166" s="91" t="str">
        <f>PROD!B166</f>
        <v>530L-200</v>
      </c>
      <c r="C166" s="92">
        <f>IF('CONT. ESTOQUE'!$B166&lt;&gt;"",SUMIF(ENTRADAS!$C$7:$C$1002,'CONT. ESTOQUE'!$B166,ENTRADAS!$E$7:$E$1002),"")</f>
        <v>6</v>
      </c>
      <c r="D166" s="92">
        <f>IF('CONT. ESTOQUE'!$B166&lt;&gt;"",SUMIF(SAÍDAS!$C$7:$C$800,'CONT. ESTOQUE'!$B166,SAÍDAS!$J$7:$J$800),"")</f>
        <v>3</v>
      </c>
      <c r="E166" s="92">
        <f>IFERROR('CONT. ESTOQUE'!$C166-'CONT. ESTOQUE'!$D166,"")</f>
        <v>3</v>
      </c>
      <c r="F166" s="92">
        <f>IFERROR(VLOOKUP('CONT. ESTOQUE'!$B166,PROD!$B$6:$G$1095,4,0),"")</f>
        <v>0</v>
      </c>
      <c r="G166" s="92" t="str">
        <f>IF('CONT. ESTOQUE'!$B166&lt;&gt;"",IF('CONT. ESTOQUE'!$E166=0,"Sem Estoque",IF('CONT. ESTOQUE'!$E166&lt;'CONT. ESTOQUE'!$F166,"Estoque Perigoso","Estoque Confortável")),"")</f>
        <v>Estoque Confortável</v>
      </c>
      <c r="H166" s="93">
        <f>SUMIF(SAÍDAS!$C$7:$C$289,'CONT. ESTOQUE'!$B166,SAÍDAS!$L$7:$L$289)</f>
        <v>0</v>
      </c>
      <c r="I166" s="93">
        <f>SUMIF(ENTRADAS!$C$8:$C$1002,'CONT. ESTOQUE'!$B166,ENTRADAS!$H$7:$H$1002)</f>
        <v>0</v>
      </c>
      <c r="J166" s="94">
        <f>'CONT. ESTOQUE'!$H166-'CONT. ESTOQUE'!$I166</f>
        <v>0</v>
      </c>
    </row>
    <row r="167" spans="2:10" ht="15.75" customHeight="1">
      <c r="B167" s="91" t="str">
        <f>PROD!B167</f>
        <v>530L-190</v>
      </c>
      <c r="C167" s="92">
        <f>IF('CONT. ESTOQUE'!$B167&lt;&gt;"",SUMIF(ENTRADAS!$C$7:$C$1002,'CONT. ESTOQUE'!$B167,ENTRADAS!$E$7:$E$1002),"")</f>
        <v>7</v>
      </c>
      <c r="D167" s="92">
        <f>IF('CONT. ESTOQUE'!$B167&lt;&gt;"",SUMIF(SAÍDAS!$C$7:$C$800,'CONT. ESTOQUE'!$B167,SAÍDAS!$J$7:$J$800),"")</f>
        <v>3</v>
      </c>
      <c r="E167" s="92">
        <f>IFERROR('CONT. ESTOQUE'!$C167-'CONT. ESTOQUE'!$D167,"")</f>
        <v>4</v>
      </c>
      <c r="F167" s="92">
        <f>IFERROR(VLOOKUP('CONT. ESTOQUE'!$B167,PROD!$B$6:$G$1095,4,0),"")</f>
        <v>0</v>
      </c>
      <c r="G167" s="92" t="str">
        <f>IF('CONT. ESTOQUE'!$B167&lt;&gt;"",IF('CONT. ESTOQUE'!$E167=0,"Sem Estoque",IF('CONT. ESTOQUE'!$E167&lt;'CONT. ESTOQUE'!$F167,"Estoque Perigoso","Estoque Confortável")),"")</f>
        <v>Estoque Confortável</v>
      </c>
      <c r="H167" s="93">
        <f>SUMIF(SAÍDAS!$C$7:$C$289,'CONT. ESTOQUE'!$B167,SAÍDAS!$L$7:$L$289)</f>
        <v>0</v>
      </c>
      <c r="I167" s="93">
        <f>SUMIF(ENTRADAS!$C$8:$C$1002,'CONT. ESTOQUE'!$B167,ENTRADAS!$H$7:$H$1002)</f>
        <v>0</v>
      </c>
      <c r="J167" s="94">
        <f>'CONT. ESTOQUE'!$H167-'CONT. ESTOQUE'!$I167</f>
        <v>0</v>
      </c>
    </row>
    <row r="168" spans="2:10" ht="15.75" customHeight="1">
      <c r="B168" s="91" t="str">
        <f>PROD!B168</f>
        <v>530L-180</v>
      </c>
      <c r="C168" s="92">
        <f>IF('CONT. ESTOQUE'!$B168&lt;&gt;"",SUMIF(ENTRADAS!$C$7:$C$1002,'CONT. ESTOQUE'!$B168,ENTRADAS!$E$7:$E$1002),"")</f>
        <v>4</v>
      </c>
      <c r="D168" s="92">
        <f>IF('CONT. ESTOQUE'!$B168&lt;&gt;"",SUMIF(SAÍDAS!$C$7:$C$800,'CONT. ESTOQUE'!$B168,SAÍDAS!$J$7:$J$800),"")</f>
        <v>1</v>
      </c>
      <c r="E168" s="92">
        <f>IFERROR('CONT. ESTOQUE'!$C168-'CONT. ESTOQUE'!$D168,"")</f>
        <v>3</v>
      </c>
      <c r="F168" s="92">
        <f>IFERROR(VLOOKUP('CONT. ESTOQUE'!$B168,PROD!$B$6:$G$1095,4,0),"")</f>
        <v>0</v>
      </c>
      <c r="G168" s="92" t="str">
        <f>IF('CONT. ESTOQUE'!$B168&lt;&gt;"",IF('CONT. ESTOQUE'!$E168=0,"Sem Estoque",IF('CONT. ESTOQUE'!$E168&lt;'CONT. ESTOQUE'!$F168,"Estoque Perigoso","Estoque Confortável")),"")</f>
        <v>Estoque Confortável</v>
      </c>
      <c r="H168" s="93">
        <f>SUMIF(SAÍDAS!$C$7:$C$289,'CONT. ESTOQUE'!$B168,SAÍDAS!$L$7:$L$289)</f>
        <v>0</v>
      </c>
      <c r="I168" s="93">
        <f>SUMIF(ENTRADAS!$C$8:$C$1002,'CONT. ESTOQUE'!$B168,ENTRADAS!$H$7:$H$1002)</f>
        <v>0</v>
      </c>
      <c r="J168" s="94">
        <f>'CONT. ESTOQUE'!$H168-'CONT. ESTOQUE'!$I168</f>
        <v>0</v>
      </c>
    </row>
    <row r="169" spans="2:10" s="121" customFormat="1" ht="15.75" customHeight="1">
      <c r="B169" s="91" t="str">
        <f>PROD!B169</f>
        <v>530L-170</v>
      </c>
      <c r="C169" s="92">
        <f>IF('CONT. ESTOQUE'!$B169&lt;&gt;"",SUMIF(ENTRADAS!$C$7:$C$1002,'CONT. ESTOQUE'!$B169,ENTRADAS!$E$7:$E$1002),"")</f>
        <v>4</v>
      </c>
      <c r="D169" s="92">
        <f>IF('CONT. ESTOQUE'!$B169&lt;&gt;"",SUMIF(SAÍDAS!$C$7:$C$800,'CONT. ESTOQUE'!$B169,SAÍDAS!$J$7:$J$800),"")</f>
        <v>1</v>
      </c>
      <c r="E169" s="92">
        <f>IFERROR('CONT. ESTOQUE'!$C169-'CONT. ESTOQUE'!$D169,"")</f>
        <v>3</v>
      </c>
      <c r="F169" s="92">
        <f>IFERROR(VLOOKUP('CONT. ESTOQUE'!$B169,PROD!$B$6:$G$1095,4,0),"")</f>
        <v>0</v>
      </c>
      <c r="G169" s="92" t="str">
        <f>IF('CONT. ESTOQUE'!$B169&lt;&gt;"",IF('CONT. ESTOQUE'!$E169=0,"Sem Estoque",IF('CONT. ESTOQUE'!$E169&lt;'CONT. ESTOQUE'!$F169,"Estoque Perigoso","Estoque Confortável")),"")</f>
        <v>Estoque Confortável</v>
      </c>
      <c r="H169" s="93">
        <f>SUMIF(SAÍDAS!$C$7:$C$289,'CONT. ESTOQUE'!$B169,SAÍDAS!$L$7:$L$289)</f>
        <v>0</v>
      </c>
      <c r="I169" s="93">
        <f>SUMIF(ENTRADAS!$C$8:$C$1002,'CONT. ESTOQUE'!$B169,ENTRADAS!$H$7:$H$1002)</f>
        <v>0</v>
      </c>
      <c r="J169" s="94">
        <f>'CONT. ESTOQUE'!$H169-'CONT. ESTOQUE'!$I169</f>
        <v>0</v>
      </c>
    </row>
    <row r="170" spans="2:10" s="121" customFormat="1" ht="15.75" customHeight="1">
      <c r="B170" s="120" t="str">
        <f>PROD!B170</f>
        <v>-</v>
      </c>
      <c r="C170" s="122">
        <f>IF('CONT. ESTOQUE'!$B170&lt;&gt;"",SUMIF(ENTRADAS!$C$7:$C$1002,'CONT. ESTOQUE'!$B170,ENTRADAS!$E$7:$E$1002),"")</f>
        <v>0</v>
      </c>
      <c r="D170" s="92">
        <f>IF('CONT. ESTOQUE'!$B170&lt;&gt;"",SUMIF(SAÍDAS!$C$7:$C$800,'CONT. ESTOQUE'!$B170,SAÍDAS!$J$7:$J$800),"")</f>
        <v>0</v>
      </c>
      <c r="E170" s="122">
        <f>IFERROR('CONT. ESTOQUE'!$C170-'CONT. ESTOQUE'!$D170,"")</f>
        <v>0</v>
      </c>
      <c r="F170" s="122">
        <f>IFERROR(VLOOKUP('CONT. ESTOQUE'!$B170,PROD!$B$6:$G$1095,4,0),"")</f>
        <v>0</v>
      </c>
      <c r="G170" s="122" t="str">
        <f>IF('CONT. ESTOQUE'!$B170&lt;&gt;"",IF('CONT. ESTOQUE'!$E170=0,"Sem Estoque",IF('CONT. ESTOQUE'!$E170&lt;'CONT. ESTOQUE'!$F170,"Estoque Perigoso","Estoque Confortável")),"")</f>
        <v>Sem Estoque</v>
      </c>
      <c r="H170" s="123">
        <f>SUMIF(SAÍDAS!$C$7:$C$289,'CONT. ESTOQUE'!$B170,SAÍDAS!$L$7:$L$289)</f>
        <v>0</v>
      </c>
      <c r="I170" s="123">
        <f>SUMIF(ENTRADAS!$C$8:$C$1002,'CONT. ESTOQUE'!$B170,ENTRADAS!$H$7:$H$1002)</f>
        <v>0</v>
      </c>
      <c r="J170" s="124">
        <f>'CONT. ESTOQUE'!$H170-'CONT. ESTOQUE'!$I170</f>
        <v>0</v>
      </c>
    </row>
    <row r="171" spans="2:10" ht="15.75" customHeight="1">
      <c r="B171" s="120" t="str">
        <f>PROD!B171</f>
        <v>VZY2</v>
      </c>
      <c r="C171" s="122">
        <f>IF('CONT. ESTOQUE'!$B171&lt;&gt;"",SUMIF(ENTRADAS!$C$7:$C$1002,'CONT. ESTOQUE'!$B171,ENTRADAS!$E$7:$E$1002),"")</f>
        <v>0</v>
      </c>
      <c r="D171" s="92">
        <f>IF('CONT. ESTOQUE'!$B171&lt;&gt;"",SUMIF(SAÍDAS!$C$7:$C$800,'CONT. ESTOQUE'!$B171,SAÍDAS!$J$7:$J$800),"")</f>
        <v>0</v>
      </c>
      <c r="E171" s="122">
        <f>IFERROR('CONT. ESTOQUE'!$C171-'CONT. ESTOQUE'!$D171,"")</f>
        <v>0</v>
      </c>
      <c r="F171" s="122">
        <f>IFERROR(VLOOKUP('CONT. ESTOQUE'!$B171,PROD!$B$6:$G$1095,4,0),"")</f>
        <v>0</v>
      </c>
      <c r="G171" s="122" t="str">
        <f>IF('CONT. ESTOQUE'!$B171&lt;&gt;"",IF('CONT. ESTOQUE'!$E171=0,"Sem Estoque",IF('CONT. ESTOQUE'!$E171&lt;'CONT. ESTOQUE'!$F171,"Estoque Perigoso","Estoque Confortável")),"")</f>
        <v>Sem Estoque</v>
      </c>
      <c r="H171" s="123">
        <f>SUMIF(SAÍDAS!$C$7:$C$289,'CONT. ESTOQUE'!$B171,SAÍDAS!$L$7:$L$289)</f>
        <v>0</v>
      </c>
      <c r="I171" s="123">
        <f>SUMIF(ENTRADAS!$C$8:$C$1002,'CONT. ESTOQUE'!$B171,ENTRADAS!$H$7:$H$1002)</f>
        <v>0</v>
      </c>
      <c r="J171" s="124">
        <f>'CONT. ESTOQUE'!$H171-'CONT. ESTOQUE'!$I171</f>
        <v>0</v>
      </c>
    </row>
    <row r="172" spans="2:10" ht="15.75" customHeight="1">
      <c r="B172" s="91" t="str">
        <f>PROD!B172</f>
        <v>VZY-260</v>
      </c>
      <c r="C172" s="92">
        <f>IF('CONT. ESTOQUE'!$B172&lt;&gt;"",SUMIF(ENTRADAS!$C$7:$C$1002,'CONT. ESTOQUE'!$B172,ENTRADAS!$E$7:$E$1002),"")</f>
        <v>4</v>
      </c>
      <c r="D172" s="92">
        <f>IF('CONT. ESTOQUE'!$B172&lt;&gt;"",SUMIF(SAÍDAS!$C$7:$C$800,'CONT. ESTOQUE'!$B172,SAÍDAS!$J$7:$J$800),"")</f>
        <v>2</v>
      </c>
      <c r="E172" s="92">
        <f>IFERROR('CONT. ESTOQUE'!$C172-'CONT. ESTOQUE'!$D172,"")</f>
        <v>2</v>
      </c>
      <c r="F172" s="92">
        <f>IFERROR(VLOOKUP('CONT. ESTOQUE'!$B172,PROD!$B$6:$G$1095,4,0),"")</f>
        <v>0</v>
      </c>
      <c r="G172" s="92" t="str">
        <f>IF('CONT. ESTOQUE'!$B172&lt;&gt;"",IF('CONT. ESTOQUE'!$E172=0,"Sem Estoque",IF('CONT. ESTOQUE'!$E172&lt;'CONT. ESTOQUE'!$F172,"Estoque Perigoso","Estoque Confortável")),"")</f>
        <v>Estoque Confortável</v>
      </c>
      <c r="H172" s="93">
        <f>SUMIF(SAÍDAS!$C$7:$C$289,'CONT. ESTOQUE'!$B172,SAÍDAS!$L$7:$L$289)</f>
        <v>0</v>
      </c>
      <c r="I172" s="93">
        <f>SUMIF(ENTRADAS!$C$8:$C$1002,'CONT. ESTOQUE'!$B172,ENTRADAS!$H$7:$H$1002)</f>
        <v>0</v>
      </c>
      <c r="J172" s="94">
        <f>'CONT. ESTOQUE'!$H172-'CONT. ESTOQUE'!$I172</f>
        <v>0</v>
      </c>
    </row>
    <row r="173" spans="2:10" ht="15.75" customHeight="1">
      <c r="B173" s="91" t="str">
        <f>PROD!B173</f>
        <v>VZY-250</v>
      </c>
      <c r="C173" s="92">
        <f>IF('CONT. ESTOQUE'!$B173&lt;&gt;"",SUMIF(ENTRADAS!$C$7:$C$1002,'CONT. ESTOQUE'!$B173,ENTRADAS!$E$7:$E$1002),"")</f>
        <v>10</v>
      </c>
      <c r="D173" s="92">
        <f>IF('CONT. ESTOQUE'!$B173&lt;&gt;"",SUMIF(SAÍDAS!$C$7:$C$800,'CONT. ESTOQUE'!$B173,SAÍDAS!$J$7:$J$800),"")</f>
        <v>2</v>
      </c>
      <c r="E173" s="92">
        <f>IFERROR('CONT. ESTOQUE'!$C173-'CONT. ESTOQUE'!$D173,"")</f>
        <v>8</v>
      </c>
      <c r="F173" s="92">
        <f>IFERROR(VLOOKUP('CONT. ESTOQUE'!$B173,PROD!$B$6:$G$1095,4,0),"")</f>
        <v>0</v>
      </c>
      <c r="G173" s="92" t="str">
        <f>IF('CONT. ESTOQUE'!$B173&lt;&gt;"",IF('CONT. ESTOQUE'!$E173=0,"Sem Estoque",IF('CONT. ESTOQUE'!$E173&lt;'CONT. ESTOQUE'!$F173,"Estoque Perigoso","Estoque Confortável")),"")</f>
        <v>Estoque Confortável</v>
      </c>
      <c r="H173" s="93">
        <f>SUMIF(SAÍDAS!$C$7:$C$289,'CONT. ESTOQUE'!$B173,SAÍDAS!$L$7:$L$289)</f>
        <v>0</v>
      </c>
      <c r="I173" s="93">
        <f>SUMIF(ENTRADAS!$C$8:$C$1002,'CONT. ESTOQUE'!$B173,ENTRADAS!$H$7:$H$1002)</f>
        <v>0</v>
      </c>
      <c r="J173" s="94">
        <f>'CONT. ESTOQUE'!$H173-'CONT. ESTOQUE'!$I173</f>
        <v>0</v>
      </c>
    </row>
    <row r="174" spans="2:10" ht="15.75" customHeight="1">
      <c r="B174" s="91" t="str">
        <f>PROD!B174</f>
        <v>VZY-240</v>
      </c>
      <c r="C174" s="92">
        <f>IF('CONT. ESTOQUE'!$B174&lt;&gt;"",SUMIF(ENTRADAS!$C$7:$C$1002,'CONT. ESTOQUE'!$B174,ENTRADAS!$E$7:$E$1002),"")</f>
        <v>6</v>
      </c>
      <c r="D174" s="92">
        <f>IF('CONT. ESTOQUE'!$B174&lt;&gt;"",SUMIF(SAÍDAS!$C$7:$C$800,'CONT. ESTOQUE'!$B174,SAÍDAS!$J$7:$J$800),"")</f>
        <v>0</v>
      </c>
      <c r="E174" s="92">
        <f>IFERROR('CONT. ESTOQUE'!$C174-'CONT. ESTOQUE'!$D174,"")</f>
        <v>6</v>
      </c>
      <c r="F174" s="92">
        <f>IFERROR(VLOOKUP('CONT. ESTOQUE'!$B174,PROD!$B$6:$G$1095,4,0),"")</f>
        <v>0</v>
      </c>
      <c r="G174" s="92" t="str">
        <f>IF('CONT. ESTOQUE'!$B174&lt;&gt;"",IF('CONT. ESTOQUE'!$E174=0,"Sem Estoque",IF('CONT. ESTOQUE'!$E174&lt;'CONT. ESTOQUE'!$F174,"Estoque Perigoso","Estoque Confortável")),"")</f>
        <v>Estoque Confortável</v>
      </c>
      <c r="H174" s="93">
        <f>SUMIF(SAÍDAS!$C$7:$C$289,'CONT. ESTOQUE'!$B174,SAÍDAS!$L$7:$L$289)</f>
        <v>0</v>
      </c>
      <c r="I174" s="93">
        <f>SUMIF(ENTRADAS!$C$8:$C$1002,'CONT. ESTOQUE'!$B174,ENTRADAS!$H$7:$H$1002)</f>
        <v>0</v>
      </c>
      <c r="J174" s="94">
        <f>'CONT. ESTOQUE'!$H174-'CONT. ESTOQUE'!$I174</f>
        <v>0</v>
      </c>
    </row>
    <row r="175" spans="2:10" s="121" customFormat="1" ht="15.75" customHeight="1">
      <c r="B175" s="91" t="str">
        <f>PROD!B175</f>
        <v>VZY-235</v>
      </c>
      <c r="C175" s="92">
        <f>IF('CONT. ESTOQUE'!$B175&lt;&gt;"",SUMIF(ENTRADAS!$C$7:$C$1002,'CONT. ESTOQUE'!$B175,ENTRADAS!$E$7:$E$1002),"")</f>
        <v>5</v>
      </c>
      <c r="D175" s="92">
        <f>IF('CONT. ESTOQUE'!$B175&lt;&gt;"",SUMIF(SAÍDAS!$C$7:$C$800,'CONT. ESTOQUE'!$B175,SAÍDAS!$J$7:$J$800),"")</f>
        <v>0</v>
      </c>
      <c r="E175" s="92">
        <f>IFERROR('CONT. ESTOQUE'!$C175-'CONT. ESTOQUE'!$D175,"")</f>
        <v>5</v>
      </c>
      <c r="F175" s="92">
        <f>IFERROR(VLOOKUP('CONT. ESTOQUE'!$B175,PROD!$B$6:$G$1095,4,0),"")</f>
        <v>0</v>
      </c>
      <c r="G175" s="92" t="str">
        <f>IF('CONT. ESTOQUE'!$B175&lt;&gt;"",IF('CONT. ESTOQUE'!$E175=0,"Sem Estoque",IF('CONT. ESTOQUE'!$E175&lt;'CONT. ESTOQUE'!$F175,"Estoque Perigoso","Estoque Confortável")),"")</f>
        <v>Estoque Confortável</v>
      </c>
      <c r="H175" s="93">
        <f>SUMIF(SAÍDAS!$C$7:$C$289,'CONT. ESTOQUE'!$B175,SAÍDAS!$L$7:$L$289)</f>
        <v>0</v>
      </c>
      <c r="I175" s="93">
        <f>SUMIF(ENTRADAS!$C$8:$C$1002,'CONT. ESTOQUE'!$B175,ENTRADAS!$H$7:$H$1002)</f>
        <v>0</v>
      </c>
      <c r="J175" s="94">
        <f>'CONT. ESTOQUE'!$H175-'CONT. ESTOQUE'!$I175</f>
        <v>0</v>
      </c>
    </row>
    <row r="176" spans="2:10" s="121" customFormat="1" ht="15.75" customHeight="1">
      <c r="B176" s="120" t="str">
        <f>PROD!B176</f>
        <v>-</v>
      </c>
      <c r="C176" s="122">
        <f>IF('CONT. ESTOQUE'!$B176&lt;&gt;"",SUMIF(ENTRADAS!$C$7:$C$1002,'CONT. ESTOQUE'!$B176,ENTRADAS!$E$7:$E$1002),"")</f>
        <v>0</v>
      </c>
      <c r="D176" s="92">
        <f>IF('CONT. ESTOQUE'!$B176&lt;&gt;"",SUMIF(SAÍDAS!$C$7:$C$800,'CONT. ESTOQUE'!$B176,SAÍDAS!$J$7:$J$800),"")</f>
        <v>0</v>
      </c>
      <c r="E176" s="122">
        <f>IFERROR('CONT. ESTOQUE'!$C176-'CONT. ESTOQUE'!$D176,"")</f>
        <v>0</v>
      </c>
      <c r="F176" s="122">
        <f>IFERROR(VLOOKUP('CONT. ESTOQUE'!$B176,PROD!$B$6:$G$1095,4,0),"")</f>
        <v>0</v>
      </c>
      <c r="G176" s="122" t="str">
        <f>IF('CONT. ESTOQUE'!$B176&lt;&gt;"",IF('CONT. ESTOQUE'!$E176=0,"Sem Estoque",IF('CONT. ESTOQUE'!$E176&lt;'CONT. ESTOQUE'!$F176,"Estoque Perigoso","Estoque Confortável")),"")</f>
        <v>Sem Estoque</v>
      </c>
      <c r="H176" s="123">
        <f>SUMIF(SAÍDAS!$C$7:$C$289,'CONT. ESTOQUE'!$B176,SAÍDAS!$L$7:$L$289)</f>
        <v>0</v>
      </c>
      <c r="I176" s="123">
        <f>SUMIF(ENTRADAS!$C$8:$C$1002,'CONT. ESTOQUE'!$B176,ENTRADAS!$H$7:$H$1002)</f>
        <v>0</v>
      </c>
      <c r="J176" s="124">
        <f>'CONT. ESTOQUE'!$H176-'CONT. ESTOQUE'!$I176</f>
        <v>0</v>
      </c>
    </row>
    <row r="177" spans="2:10" ht="15.75" customHeight="1">
      <c r="B177" s="120" t="str">
        <f>PROD!B177</f>
        <v>DV-MT E</v>
      </c>
      <c r="C177" s="122">
        <f>IF('CONT. ESTOQUE'!$B177&lt;&gt;"",SUMIF(ENTRADAS!$C$7:$C$1002,'CONT. ESTOQUE'!$B177,ENTRADAS!$E$7:$E$1002),"")</f>
        <v>0</v>
      </c>
      <c r="D177" s="92">
        <f>IF('CONT. ESTOQUE'!$B177&lt;&gt;"",SUMIF(SAÍDAS!$C$7:$C$800,'CONT. ESTOQUE'!$B177,SAÍDAS!$J$7:$J$800),"")</f>
        <v>0</v>
      </c>
      <c r="E177" s="122">
        <f>IFERROR('CONT. ESTOQUE'!$C177-'CONT. ESTOQUE'!$D177,"")</f>
        <v>0</v>
      </c>
      <c r="F177" s="122">
        <f>IFERROR(VLOOKUP('CONT. ESTOQUE'!$B177,PROD!$B$6:$G$1095,4,0),"")</f>
        <v>0</v>
      </c>
      <c r="G177" s="122" t="str">
        <f>IF('CONT. ESTOQUE'!$B177&lt;&gt;"",IF('CONT. ESTOQUE'!$E177=0,"Sem Estoque",IF('CONT. ESTOQUE'!$E177&lt;'CONT. ESTOQUE'!$F177,"Estoque Perigoso","Estoque Confortável")),"")</f>
        <v>Sem Estoque</v>
      </c>
      <c r="H177" s="123">
        <f>SUMIF(SAÍDAS!$C$7:$C$289,'CONT. ESTOQUE'!$B177,SAÍDAS!$L$7:$L$289)</f>
        <v>0</v>
      </c>
      <c r="I177" s="123">
        <f>SUMIF(ENTRADAS!$C$8:$C$1002,'CONT. ESTOQUE'!$B177,ENTRADAS!$H$7:$H$1002)</f>
        <v>0</v>
      </c>
      <c r="J177" s="124">
        <f>'CONT. ESTOQUE'!$H177-'CONT. ESTOQUE'!$I177</f>
        <v>0</v>
      </c>
    </row>
    <row r="178" spans="2:10" ht="15.75" customHeight="1">
      <c r="B178" s="91" t="str">
        <f>PROD!B178</f>
        <v>MT E-266</v>
      </c>
      <c r="C178" s="92">
        <f>IF('CONT. ESTOQUE'!$B178&lt;&gt;"",SUMIF(ENTRADAS!$C$7:$C$1002,'CONT. ESTOQUE'!$B178,ENTRADAS!$E$7:$E$1002),"")</f>
        <v>14</v>
      </c>
      <c r="D178" s="92">
        <f>IF('CONT. ESTOQUE'!$B178&lt;&gt;"",SUMIF(SAÍDAS!$C$7:$C$800,'CONT. ESTOQUE'!$B178,SAÍDAS!$J$7:$J$800),"")</f>
        <v>6</v>
      </c>
      <c r="E178" s="92">
        <f>IFERROR('CONT. ESTOQUE'!$C178-'CONT. ESTOQUE'!$D178,"")</f>
        <v>8</v>
      </c>
      <c r="F178" s="92">
        <f>IFERROR(VLOOKUP('CONT. ESTOQUE'!$B178,PROD!$B$6:$G$1095,4,0),"")</f>
        <v>0</v>
      </c>
      <c r="G178" s="92" t="str">
        <f>IF('CONT. ESTOQUE'!$B178&lt;&gt;"",IF('CONT. ESTOQUE'!$E178=0,"Sem Estoque",IF('CONT. ESTOQUE'!$E178&lt;'CONT. ESTOQUE'!$F178,"Estoque Perigoso","Estoque Confortável")),"")</f>
        <v>Estoque Confortável</v>
      </c>
      <c r="H178" s="93">
        <f>SUMIF(SAÍDAS!$C$7:$C$289,'CONT. ESTOQUE'!$B178,SAÍDAS!$L$7:$L$289)</f>
        <v>0</v>
      </c>
      <c r="I178" s="93">
        <f>SUMIF(ENTRADAS!$C$8:$C$1002,'CONT. ESTOQUE'!$B178,ENTRADAS!$H$7:$H$1002)</f>
        <v>0</v>
      </c>
      <c r="J178" s="94">
        <f>'CONT. ESTOQUE'!$H178-'CONT. ESTOQUE'!$I178</f>
        <v>0</v>
      </c>
    </row>
    <row r="179" spans="2:10" ht="15.75" customHeight="1">
      <c r="B179" s="91" t="str">
        <f>PROD!B179</f>
        <v>MT E-258</v>
      </c>
      <c r="C179" s="92">
        <f>IF('CONT. ESTOQUE'!$B179&lt;&gt;"",SUMIF(ENTRADAS!$C$7:$C$1002,'CONT. ESTOQUE'!$B179,ENTRADAS!$E$7:$E$1002),"")</f>
        <v>5</v>
      </c>
      <c r="D179" s="92">
        <f>IF('CONT. ESTOQUE'!$B179&lt;&gt;"",SUMIF(SAÍDAS!$C$7:$C$800,'CONT. ESTOQUE'!$B179,SAÍDAS!$J$7:$J$800),"")</f>
        <v>2</v>
      </c>
      <c r="E179" s="92">
        <f>IFERROR('CONT. ESTOQUE'!$C179-'CONT. ESTOQUE'!$D179,"")</f>
        <v>3</v>
      </c>
      <c r="F179" s="92">
        <f>IFERROR(VLOOKUP('CONT. ESTOQUE'!$B179,PROD!$B$6:$G$1095,4,0),"")</f>
        <v>0</v>
      </c>
      <c r="G179" s="92" t="str">
        <f>IF('CONT. ESTOQUE'!$B179&lt;&gt;"",IF('CONT. ESTOQUE'!$E179=0,"Sem Estoque",IF('CONT. ESTOQUE'!$E179&lt;'CONT. ESTOQUE'!$F179,"Estoque Perigoso","Estoque Confortável")),"")</f>
        <v>Estoque Confortável</v>
      </c>
      <c r="H179" s="93">
        <f>SUMIF(SAÍDAS!$C$7:$C$289,'CONT. ESTOQUE'!$B179,SAÍDAS!$L$7:$L$289)</f>
        <v>0</v>
      </c>
      <c r="I179" s="93">
        <f>SUMIF(ENTRADAS!$C$8:$C$1002,'CONT. ESTOQUE'!$B179,ENTRADAS!$H$7:$H$1002)</f>
        <v>0</v>
      </c>
      <c r="J179" s="94">
        <f>'CONT. ESTOQUE'!$H179-'CONT. ESTOQUE'!$I179</f>
        <v>0</v>
      </c>
    </row>
    <row r="180" spans="2:10" ht="15.75" customHeight="1">
      <c r="B180" s="91" t="str">
        <f>PROD!B180</f>
        <v>MT E-250</v>
      </c>
      <c r="C180" s="92">
        <f>IF('CONT. ESTOQUE'!$B180&lt;&gt;"",SUMIF(ENTRADAS!$C$7:$C$1002,'CONT. ESTOQUE'!$B180,ENTRADAS!$E$7:$E$1002),"")</f>
        <v>11</v>
      </c>
      <c r="D180" s="92">
        <f>IF('CONT. ESTOQUE'!$B180&lt;&gt;"",SUMIF(SAÍDAS!$C$7:$C$800,'CONT. ESTOQUE'!$B180,SAÍDAS!$J$7:$J$800),"")</f>
        <v>7</v>
      </c>
      <c r="E180" s="92">
        <f>IFERROR('CONT. ESTOQUE'!$C180-'CONT. ESTOQUE'!$D180,"")</f>
        <v>4</v>
      </c>
      <c r="F180" s="92">
        <f>IFERROR(VLOOKUP('CONT. ESTOQUE'!$B180,PROD!$B$6:$G$1095,4,0),"")</f>
        <v>0</v>
      </c>
      <c r="G180" s="92" t="str">
        <f>IF('CONT. ESTOQUE'!$B180&lt;&gt;"",IF('CONT. ESTOQUE'!$E180=0,"Sem Estoque",IF('CONT. ESTOQUE'!$E180&lt;'CONT. ESTOQUE'!$F180,"Estoque Perigoso","Estoque Confortável")),"")</f>
        <v>Estoque Confortável</v>
      </c>
      <c r="H180" s="93">
        <f>SUMIF(SAÍDAS!$C$7:$C$289,'CONT. ESTOQUE'!$B180,SAÍDAS!$L$7:$L$289)</f>
        <v>0</v>
      </c>
      <c r="I180" s="93">
        <f>SUMIF(ENTRADAS!$C$8:$C$1002,'CONT. ESTOQUE'!$B180,ENTRADAS!$H$7:$H$1002)</f>
        <v>0</v>
      </c>
      <c r="J180" s="94">
        <f>'CONT. ESTOQUE'!$H180-'CONT. ESTOQUE'!$I180</f>
        <v>0</v>
      </c>
    </row>
    <row r="181" spans="2:10" ht="15.75" customHeight="1">
      <c r="B181" s="91" t="str">
        <f>PROD!B181</f>
        <v>MT E-242</v>
      </c>
      <c r="C181" s="92">
        <f>IF('CONT. ESTOQUE'!$B181&lt;&gt;"",SUMIF(ENTRADAS!$C$7:$C$1002,'CONT. ESTOQUE'!$B181,ENTRADAS!$E$7:$E$1002),"")</f>
        <v>4</v>
      </c>
      <c r="D181" s="92">
        <f>IF('CONT. ESTOQUE'!$B181&lt;&gt;"",SUMIF(SAÍDAS!$C$7:$C$800,'CONT. ESTOQUE'!$B181,SAÍDAS!$J$7:$J$800),"")</f>
        <v>0</v>
      </c>
      <c r="E181" s="92">
        <f>IFERROR('CONT. ESTOQUE'!$C181-'CONT. ESTOQUE'!$D181,"")</f>
        <v>4</v>
      </c>
      <c r="F181" s="92">
        <f>IFERROR(VLOOKUP('CONT. ESTOQUE'!$B181,PROD!$B$6:$G$1095,4,0),"")</f>
        <v>0</v>
      </c>
      <c r="G181" s="92" t="str">
        <f>IF('CONT. ESTOQUE'!$B181&lt;&gt;"",IF('CONT. ESTOQUE'!$E181=0,"Sem Estoque",IF('CONT. ESTOQUE'!$E181&lt;'CONT. ESTOQUE'!$F181,"Estoque Perigoso","Estoque Confortável")),"")</f>
        <v>Estoque Confortável</v>
      </c>
      <c r="H181" s="93">
        <f>SUMIF(SAÍDAS!$C$7:$C$289,'CONT. ESTOQUE'!$B181,SAÍDAS!$L$7:$L$289)</f>
        <v>0</v>
      </c>
      <c r="I181" s="93">
        <f>SUMIF(ENTRADAS!$C$8:$C$1002,'CONT. ESTOQUE'!$B181,ENTRADAS!$H$7:$H$1002)</f>
        <v>0</v>
      </c>
      <c r="J181" s="94">
        <f>'CONT. ESTOQUE'!$H181-'CONT. ESTOQUE'!$I181</f>
        <v>0</v>
      </c>
    </row>
    <row r="182" spans="2:10" ht="15.75" customHeight="1">
      <c r="B182" s="91" t="str">
        <f>PROD!B182</f>
        <v>MT E-234</v>
      </c>
      <c r="C182" s="92">
        <f>IF('CONT. ESTOQUE'!$B182&lt;&gt;"",SUMIF(ENTRADAS!$C$7:$C$1002,'CONT. ESTOQUE'!$B182,ENTRADAS!$E$7:$E$1002),"")</f>
        <v>3</v>
      </c>
      <c r="D182" s="92">
        <f>IF('CONT. ESTOQUE'!$B182&lt;&gt;"",SUMIF(SAÍDAS!$C$7:$C$800,'CONT. ESTOQUE'!$B182,SAÍDAS!$J$7:$J$800),"")</f>
        <v>0</v>
      </c>
      <c r="E182" s="92">
        <f>IFERROR('CONT. ESTOQUE'!$C182-'CONT. ESTOQUE'!$D182,"")</f>
        <v>3</v>
      </c>
      <c r="F182" s="92">
        <f>IFERROR(VLOOKUP('CONT. ESTOQUE'!$B182,PROD!$B$6:$G$1095,4,0),"")</f>
        <v>0</v>
      </c>
      <c r="G182" s="92" t="str">
        <f>IF('CONT. ESTOQUE'!$B182&lt;&gt;"",IF('CONT. ESTOQUE'!$E182=0,"Sem Estoque",IF('CONT. ESTOQUE'!$E182&lt;'CONT. ESTOQUE'!$F182,"Estoque Perigoso","Estoque Confortável")),"")</f>
        <v>Estoque Confortável</v>
      </c>
      <c r="H182" s="93">
        <f>SUMIF(SAÍDAS!$C$7:$C$289,'CONT. ESTOQUE'!$B182,SAÍDAS!$L$7:$L$289)</f>
        <v>0</v>
      </c>
      <c r="I182" s="93">
        <f>SUMIF(ENTRADAS!$C$8:$C$1002,'CONT. ESTOQUE'!$B182,ENTRADAS!$H$7:$H$1002)</f>
        <v>0</v>
      </c>
      <c r="J182" s="94">
        <f>'CONT. ESTOQUE'!$H182-'CONT. ESTOQUE'!$I182</f>
        <v>0</v>
      </c>
    </row>
    <row r="183" spans="2:10" s="119" customFormat="1" ht="15.75" customHeight="1">
      <c r="B183" s="91" t="str">
        <f>PROD!B183</f>
        <v>MT E-226</v>
      </c>
      <c r="C183" s="92">
        <f>IF('CONT. ESTOQUE'!$B183&lt;&gt;"",SUMIF(ENTRADAS!$C$7:$C$1002,'CONT. ESTOQUE'!$B183,ENTRADAS!$E$7:$E$1002),"")</f>
        <v>4</v>
      </c>
      <c r="D183" s="92">
        <f>IF('CONT. ESTOQUE'!$B183&lt;&gt;"",SUMIF(SAÍDAS!$C$7:$C$800,'CONT. ESTOQUE'!$B183,SAÍDAS!$J$7:$J$800),"")</f>
        <v>1</v>
      </c>
      <c r="E183" s="92">
        <f>IFERROR('CONT. ESTOQUE'!$C183-'CONT. ESTOQUE'!$D183,"")</f>
        <v>3</v>
      </c>
      <c r="F183" s="92">
        <f>IFERROR(VLOOKUP('CONT. ESTOQUE'!$B183,PROD!$B$6:$G$1095,4,0),"")</f>
        <v>0</v>
      </c>
      <c r="G183" s="92" t="str">
        <f>IF('CONT. ESTOQUE'!$B183&lt;&gt;"",IF('CONT. ESTOQUE'!$E183=0,"Sem Estoque",IF('CONT. ESTOQUE'!$E183&lt;'CONT. ESTOQUE'!$F183,"Estoque Perigoso","Estoque Confortável")),"")</f>
        <v>Estoque Confortável</v>
      </c>
      <c r="H183" s="93">
        <f>SUMIF(SAÍDAS!$C$7:$C$289,'CONT. ESTOQUE'!$B183,SAÍDAS!$L$7:$L$289)</f>
        <v>0</v>
      </c>
      <c r="I183" s="93">
        <f>SUMIF(ENTRADAS!$C$8:$C$1002,'CONT. ESTOQUE'!$B183,ENTRADAS!$H$7:$H$1002)</f>
        <v>0</v>
      </c>
      <c r="J183" s="94">
        <f>'CONT. ESTOQUE'!$H183-'CONT. ESTOQUE'!$I183</f>
        <v>0</v>
      </c>
    </row>
    <row r="184" spans="2:10" s="121" customFormat="1" ht="15.75" customHeight="1">
      <c r="B184" s="91" t="str">
        <f>PROD!B184</f>
        <v>-</v>
      </c>
      <c r="C184" s="92">
        <f>IF('CONT. ESTOQUE'!$B184&lt;&gt;"",SUMIF(ENTRADAS!$C$7:$C$1002,'CONT. ESTOQUE'!$B184,ENTRADAS!$E$7:$E$1002),"")</f>
        <v>0</v>
      </c>
      <c r="D184" s="92">
        <f>IF('CONT. ESTOQUE'!$B184&lt;&gt;"",SUMIF(SAÍDAS!$C$7:$C$800,'CONT. ESTOQUE'!$B184,SAÍDAS!$J$7:$J$800),"")</f>
        <v>0</v>
      </c>
      <c r="E184" s="92">
        <f>IFERROR('CONT. ESTOQUE'!$C184-'CONT. ESTOQUE'!$D184,"")</f>
        <v>0</v>
      </c>
      <c r="F184" s="92">
        <f>IFERROR(VLOOKUP('CONT. ESTOQUE'!$B184,PROD!$B$6:$G$1095,4,0),"")</f>
        <v>0</v>
      </c>
      <c r="G184" s="92" t="str">
        <f>IF('CONT. ESTOQUE'!$B184&lt;&gt;"",IF('CONT. ESTOQUE'!$E184=0,"Sem Estoque",IF('CONT. ESTOQUE'!$E184&lt;'CONT. ESTOQUE'!$F184,"Estoque Perigoso","Estoque Confortável")),"")</f>
        <v>Sem Estoque</v>
      </c>
      <c r="H184" s="93">
        <f>SUMIF(SAÍDAS!$C$7:$C$289,'CONT. ESTOQUE'!$B184,SAÍDAS!$L$7:$L$289)</f>
        <v>0</v>
      </c>
      <c r="I184" s="93">
        <f>SUMIF(ENTRADAS!$C$8:$C$1002,'CONT. ESTOQUE'!$B184,ENTRADAS!$H$7:$H$1002)</f>
        <v>0</v>
      </c>
      <c r="J184" s="94">
        <f>'CONT. ESTOQUE'!$H184-'CONT. ESTOQUE'!$I184</f>
        <v>0</v>
      </c>
    </row>
    <row r="185" spans="2:10" ht="15.75" customHeight="1">
      <c r="B185" s="120" t="str">
        <f>PROD!B185</f>
        <v>VP410</v>
      </c>
      <c r="C185" s="122">
        <f>IF('CONT. ESTOQUE'!$B185&lt;&gt;"",SUMIF(ENTRADAS!$C$7:$C$1002,'CONT. ESTOQUE'!$B185,ENTRADAS!$E$7:$E$1002),"")</f>
        <v>0</v>
      </c>
      <c r="D185" s="92">
        <f>IF('CONT. ESTOQUE'!$B185&lt;&gt;"",SUMIF(SAÍDAS!$C$7:$C$800,'CONT. ESTOQUE'!$B185,SAÍDAS!$J$7:$J$800),"")</f>
        <v>0</v>
      </c>
      <c r="E185" s="122">
        <f>IFERROR('CONT. ESTOQUE'!$C185-'CONT. ESTOQUE'!$D185,"")</f>
        <v>0</v>
      </c>
      <c r="F185" s="122">
        <f>IFERROR(VLOOKUP('CONT. ESTOQUE'!$B185,PROD!$B$6:$G$1095,4,0),"")</f>
        <v>0</v>
      </c>
      <c r="G185" s="122" t="str">
        <f>IF('CONT. ESTOQUE'!$B185&lt;&gt;"",IF('CONT. ESTOQUE'!$E185=0,"Sem Estoque",IF('CONT. ESTOQUE'!$E185&lt;'CONT. ESTOQUE'!$F185,"Estoque Perigoso","Estoque Confortável")),"")</f>
        <v>Sem Estoque</v>
      </c>
      <c r="H185" s="123">
        <f>SUMIF(SAÍDAS!$C$7:$C$289,'CONT. ESTOQUE'!$B185,SAÍDAS!$L$7:$L$289)</f>
        <v>0</v>
      </c>
      <c r="I185" s="123">
        <f>SUMIF(ENTRADAS!$C$8:$C$1002,'CONT. ESTOQUE'!$B185,ENTRADAS!$H$7:$H$1002)</f>
        <v>0</v>
      </c>
      <c r="J185" s="124">
        <f>'CONT. ESTOQUE'!$H185-'CONT. ESTOQUE'!$I185</f>
        <v>0</v>
      </c>
    </row>
    <row r="186" spans="2:10" ht="15.75" customHeight="1">
      <c r="B186" s="91" t="str">
        <f>PROD!B186</f>
        <v>410-230</v>
      </c>
      <c r="C186" s="92">
        <f>IF('CONT. ESTOQUE'!$B186&lt;&gt;"",SUMIF(ENTRADAS!$C$7:$C$1002,'CONT. ESTOQUE'!$B186,ENTRADAS!$E$7:$E$1002),"")</f>
        <v>3</v>
      </c>
      <c r="D186" s="92">
        <f>IF('CONT. ESTOQUE'!$B186&lt;&gt;"",SUMIF(SAÍDAS!$C$7:$C$800,'CONT. ESTOQUE'!$B186,SAÍDAS!$J$7:$J$800),"")</f>
        <v>0</v>
      </c>
      <c r="E186" s="92">
        <f>IFERROR('CONT. ESTOQUE'!$C186-'CONT. ESTOQUE'!$D186,"")</f>
        <v>3</v>
      </c>
      <c r="F186" s="92">
        <f>IFERROR(VLOOKUP('CONT. ESTOQUE'!$B186,PROD!$B$6:$G$1095,4,0),"")</f>
        <v>0</v>
      </c>
      <c r="G186" s="92" t="str">
        <f>IF('CONT. ESTOQUE'!$B186&lt;&gt;"",IF('CONT. ESTOQUE'!$E186=0,"Sem Estoque",IF('CONT. ESTOQUE'!$E186&lt;'CONT. ESTOQUE'!$F186,"Estoque Perigoso","Estoque Confortável")),"")</f>
        <v>Estoque Confortável</v>
      </c>
      <c r="H186" s="93">
        <f>SUMIF(SAÍDAS!$C$7:$C$289,'CONT. ESTOQUE'!$B186,SAÍDAS!$L$7:$L$289)</f>
        <v>0</v>
      </c>
      <c r="I186" s="93">
        <f>SUMIF(ENTRADAS!$C$8:$C$1002,'CONT. ESTOQUE'!$B186,ENTRADAS!$H$7:$H$1002)</f>
        <v>0</v>
      </c>
      <c r="J186" s="94">
        <f>'CONT. ESTOQUE'!$H186-'CONT. ESTOQUE'!$I186</f>
        <v>0</v>
      </c>
    </row>
    <row r="187" spans="2:10" ht="15.75" customHeight="1">
      <c r="B187" s="91" t="str">
        <f>PROD!B187</f>
        <v>410-220</v>
      </c>
      <c r="C187" s="92">
        <f>IF('CONT. ESTOQUE'!$B187&lt;&gt;"",SUMIF(ENTRADAS!$C$7:$C$1002,'CONT. ESTOQUE'!$B187,ENTRADAS!$E$7:$E$1002),"")</f>
        <v>3</v>
      </c>
      <c r="D187" s="92">
        <f>IF('CONT. ESTOQUE'!$B187&lt;&gt;"",SUMIF(SAÍDAS!$C$7:$C$800,'CONT. ESTOQUE'!$B187,SAÍDAS!$J$7:$J$800),"")</f>
        <v>0</v>
      </c>
      <c r="E187" s="92">
        <f>IFERROR('CONT. ESTOQUE'!$C187-'CONT. ESTOQUE'!$D187,"")</f>
        <v>3</v>
      </c>
      <c r="F187" s="92">
        <f>IFERROR(VLOOKUP('CONT. ESTOQUE'!$B187,PROD!$B$6:$G$1095,4,0),"")</f>
        <v>0</v>
      </c>
      <c r="G187" s="92" t="str">
        <f>IF('CONT. ESTOQUE'!$B187&lt;&gt;"",IF('CONT. ESTOQUE'!$E187=0,"Sem Estoque",IF('CONT. ESTOQUE'!$E187&lt;'CONT. ESTOQUE'!$F187,"Estoque Perigoso","Estoque Confortável")),"")</f>
        <v>Estoque Confortável</v>
      </c>
      <c r="H187" s="93">
        <f>SUMIF(SAÍDAS!$C$7:$C$289,'CONT. ESTOQUE'!$B187,SAÍDAS!$L$7:$L$289)</f>
        <v>0</v>
      </c>
      <c r="I187" s="93">
        <f>SUMIF(ENTRADAS!$C$8:$C$1002,'CONT. ESTOQUE'!$B187,ENTRADAS!$H$7:$H$1002)</f>
        <v>0</v>
      </c>
      <c r="J187" s="94">
        <f>'CONT. ESTOQUE'!$H187-'CONT. ESTOQUE'!$I187</f>
        <v>0</v>
      </c>
    </row>
    <row r="188" spans="2:10" ht="15.75" customHeight="1">
      <c r="B188" s="91" t="str">
        <f>PROD!B188</f>
        <v>410-210</v>
      </c>
      <c r="C188" s="92">
        <f>IF('CONT. ESTOQUE'!$B188&lt;&gt;"",SUMIF(ENTRADAS!$C$7:$C$1002,'CONT. ESTOQUE'!$B188,ENTRADAS!$E$7:$E$1002),"")</f>
        <v>4</v>
      </c>
      <c r="D188" s="92">
        <f>IF('CONT. ESTOQUE'!$B188&lt;&gt;"",SUMIF(SAÍDAS!$C$7:$C$800,'CONT. ESTOQUE'!$B188,SAÍDAS!$J$7:$J$800),"")</f>
        <v>0</v>
      </c>
      <c r="E188" s="92">
        <f>IFERROR('CONT. ESTOQUE'!$C188-'CONT. ESTOQUE'!$D188,"")</f>
        <v>4</v>
      </c>
      <c r="F188" s="92">
        <f>IFERROR(VLOOKUP('CONT. ESTOQUE'!$B188,PROD!$B$6:$G$1095,4,0),"")</f>
        <v>0</v>
      </c>
      <c r="G188" s="92" t="str">
        <f>IF('CONT. ESTOQUE'!$B188&lt;&gt;"",IF('CONT. ESTOQUE'!$E188=0,"Sem Estoque",IF('CONT. ESTOQUE'!$E188&lt;'CONT. ESTOQUE'!$F188,"Estoque Perigoso","Estoque Confortável")),"")</f>
        <v>Estoque Confortável</v>
      </c>
      <c r="H188" s="93">
        <f>SUMIF(SAÍDAS!$C$7:$C$289,'CONT. ESTOQUE'!$B188,SAÍDAS!$L$7:$L$289)</f>
        <v>0</v>
      </c>
      <c r="I188" s="93">
        <f>SUMIF(ENTRADAS!$C$8:$C$1002,'CONT. ESTOQUE'!$B188,ENTRADAS!$H$7:$H$1002)</f>
        <v>0</v>
      </c>
      <c r="J188" s="94">
        <f>'CONT. ESTOQUE'!$H188-'CONT. ESTOQUE'!$I188</f>
        <v>0</v>
      </c>
    </row>
    <row r="189" spans="2:10" s="119" customFormat="1" ht="15.75" customHeight="1">
      <c r="B189" s="91" t="str">
        <f>PROD!B189</f>
        <v>410-190</v>
      </c>
      <c r="C189" s="92">
        <f>IF('CONT. ESTOQUE'!$B189&lt;&gt;"",SUMIF(ENTRADAS!$C$7:$C$1002,'CONT. ESTOQUE'!$B189,ENTRADAS!$E$7:$E$1002),"")</f>
        <v>5</v>
      </c>
      <c r="D189" s="92">
        <f>IF('CONT. ESTOQUE'!$B189&lt;&gt;"",SUMIF(SAÍDAS!$C$7:$C$800,'CONT. ESTOQUE'!$B189,SAÍDAS!$J$7:$J$800),"")</f>
        <v>1</v>
      </c>
      <c r="E189" s="92">
        <f>IFERROR('CONT. ESTOQUE'!$C189-'CONT. ESTOQUE'!$D189,"")</f>
        <v>4</v>
      </c>
      <c r="F189" s="92">
        <f>IFERROR(VLOOKUP('CONT. ESTOQUE'!$B189,PROD!$B$6:$G$1095,4,0),"")</f>
        <v>0</v>
      </c>
      <c r="G189" s="92" t="str">
        <f>IF('CONT. ESTOQUE'!$B189&lt;&gt;"",IF('CONT. ESTOQUE'!$E189=0,"Sem Estoque",IF('CONT. ESTOQUE'!$E189&lt;'CONT. ESTOQUE'!$F189,"Estoque Perigoso","Estoque Confortável")),"")</f>
        <v>Estoque Confortável</v>
      </c>
      <c r="H189" s="93">
        <f>SUMIF(SAÍDAS!$C$7:$C$289,'CONT. ESTOQUE'!$B189,SAÍDAS!$L$7:$L$289)</f>
        <v>0</v>
      </c>
      <c r="I189" s="93">
        <f>SUMIF(ENTRADAS!$C$8:$C$1002,'CONT. ESTOQUE'!$B189,ENTRADAS!$H$7:$H$1002)</f>
        <v>0</v>
      </c>
      <c r="J189" s="94">
        <f>'CONT. ESTOQUE'!$H189-'CONT. ESTOQUE'!$I189</f>
        <v>0</v>
      </c>
    </row>
    <row r="190" spans="2:10" s="121" customFormat="1" ht="15.75" customHeight="1">
      <c r="B190" s="91" t="str">
        <f>PROD!B190</f>
        <v>-</v>
      </c>
      <c r="C190" s="92">
        <f>IF('CONT. ESTOQUE'!$B190&lt;&gt;"",SUMIF(ENTRADAS!$C$7:$C$1002,'CONT. ESTOQUE'!$B190,ENTRADAS!$E$7:$E$1002),"")</f>
        <v>0</v>
      </c>
      <c r="D190" s="92">
        <f>IF('CONT. ESTOQUE'!$B190&lt;&gt;"",SUMIF(SAÍDAS!$C$7:$C$800,'CONT. ESTOQUE'!$B190,SAÍDAS!$J$7:$J$800),"")</f>
        <v>0</v>
      </c>
      <c r="E190" s="92">
        <f>IFERROR('CONT. ESTOQUE'!$C190-'CONT. ESTOQUE'!$D190,"")</f>
        <v>0</v>
      </c>
      <c r="F190" s="92">
        <f>IFERROR(VLOOKUP('CONT. ESTOQUE'!$B190,PROD!$B$6:$G$1095,4,0),"")</f>
        <v>0</v>
      </c>
      <c r="G190" s="92" t="str">
        <f>IF('CONT. ESTOQUE'!$B190&lt;&gt;"",IF('CONT. ESTOQUE'!$E190=0,"Sem Estoque",IF('CONT. ESTOQUE'!$E190&lt;'CONT. ESTOQUE'!$F190,"Estoque Perigoso","Estoque Confortável")),"")</f>
        <v>Sem Estoque</v>
      </c>
      <c r="H190" s="93">
        <f>SUMIF(SAÍDAS!$C$7:$C$289,'CONT. ESTOQUE'!$B190,SAÍDAS!$L$7:$L$289)</f>
        <v>0</v>
      </c>
      <c r="I190" s="93">
        <f>SUMIF(ENTRADAS!$C$8:$C$1002,'CONT. ESTOQUE'!$B190,ENTRADAS!$H$7:$H$1002)</f>
        <v>0</v>
      </c>
      <c r="J190" s="94">
        <f>'CONT. ESTOQUE'!$H190-'CONT. ESTOQUE'!$I190</f>
        <v>0</v>
      </c>
    </row>
    <row r="191" spans="2:10" ht="15.75" customHeight="1">
      <c r="B191" s="120" t="str">
        <f>PROD!B191</f>
        <v>VLW</v>
      </c>
      <c r="C191" s="122">
        <f>IF('CONT. ESTOQUE'!$B191&lt;&gt;"",SUMIF(ENTRADAS!$C$7:$C$1002,'CONT. ESTOQUE'!$B191,ENTRADAS!$E$7:$E$1002),"")</f>
        <v>0</v>
      </c>
      <c r="D191" s="92">
        <f>IF('CONT. ESTOQUE'!$B191&lt;&gt;"",SUMIF(SAÍDAS!$C$7:$C$800,'CONT. ESTOQUE'!$B191,SAÍDAS!$J$7:$J$800),"")</f>
        <v>0</v>
      </c>
      <c r="E191" s="122">
        <f>IFERROR('CONT. ESTOQUE'!$C191-'CONT. ESTOQUE'!$D191,"")</f>
        <v>0</v>
      </c>
      <c r="F191" s="122">
        <f>IFERROR(VLOOKUP('CONT. ESTOQUE'!$B191,PROD!$B$6:$G$1095,4,0),"")</f>
        <v>0</v>
      </c>
      <c r="G191" s="122" t="str">
        <f>IF('CONT. ESTOQUE'!$B191&lt;&gt;"",IF('CONT. ESTOQUE'!$E191=0,"Sem Estoque",IF('CONT. ESTOQUE'!$E191&lt;'CONT. ESTOQUE'!$F191,"Estoque Perigoso","Estoque Confortável")),"")</f>
        <v>Sem Estoque</v>
      </c>
      <c r="H191" s="123">
        <f>SUMIF(SAÍDAS!$C$7:$C$289,'CONT. ESTOQUE'!$B191,SAÍDAS!$L$7:$L$289)</f>
        <v>0</v>
      </c>
      <c r="I191" s="123">
        <f>SUMIF(ENTRADAS!$C$8:$C$1002,'CONT. ESTOQUE'!$B191,ENTRADAS!$H$7:$H$1002)</f>
        <v>0</v>
      </c>
      <c r="J191" s="124">
        <f>'CONT. ESTOQUE'!$H191-'CONT. ESTOQUE'!$I191</f>
        <v>0</v>
      </c>
    </row>
    <row r="192" spans="2:10" s="129" customFormat="1" ht="15.75" customHeight="1">
      <c r="B192" s="91" t="str">
        <f>PROD!B192</f>
        <v>VLW-254</v>
      </c>
      <c r="C192" s="92">
        <f>IF('CONT. ESTOQUE'!$B192&lt;&gt;"",SUMIF(ENTRADAS!$C$7:$C$1002,'CONT. ESTOQUE'!$B192,ENTRADAS!$E$7:$E$1002),"")</f>
        <v>3</v>
      </c>
      <c r="D192" s="92">
        <f>IF('CONT. ESTOQUE'!$B192&lt;&gt;"",SUMIF(SAÍDAS!$C$7:$C$800,'CONT. ESTOQUE'!$B192,SAÍDAS!$J$7:$J$800),"")</f>
        <v>0</v>
      </c>
      <c r="E192" s="92">
        <f>IFERROR('CONT. ESTOQUE'!$C192-'CONT. ESTOQUE'!$D192,"")</f>
        <v>3</v>
      </c>
      <c r="F192" s="92">
        <f>IFERROR(VLOOKUP('CONT. ESTOQUE'!$B192,PROD!$B$6:$G$1095,4,0),"")</f>
        <v>0</v>
      </c>
      <c r="G192" s="92" t="str">
        <f>IF('CONT. ESTOQUE'!$B192&lt;&gt;"",IF('CONT. ESTOQUE'!$E192=0,"Sem Estoque",IF('CONT. ESTOQUE'!$E192&lt;'CONT. ESTOQUE'!$F192,"Estoque Perigoso","Estoque Confortável")),"")</f>
        <v>Estoque Confortável</v>
      </c>
      <c r="H192" s="93">
        <f>SUMIF(SAÍDAS!$C$7:$C$289,'CONT. ESTOQUE'!$B192,SAÍDAS!$L$7:$L$289)</f>
        <v>0</v>
      </c>
      <c r="I192" s="93">
        <f>SUMIF(ENTRADAS!$C$8:$C$1002,'CONT. ESTOQUE'!$B192,ENTRADAS!$H$7:$H$1002)</f>
        <v>0</v>
      </c>
      <c r="J192" s="94">
        <f>'CONT. ESTOQUE'!$H192-'CONT. ESTOQUE'!$I192</f>
        <v>0</v>
      </c>
    </row>
    <row r="193" spans="2:10" ht="15.75" customHeight="1">
      <c r="B193" s="91" t="str">
        <f>PROD!B193</f>
        <v>VLW-246</v>
      </c>
      <c r="C193" s="92">
        <f>IF('CONT. ESTOQUE'!$B193&lt;&gt;"",SUMIF(ENTRADAS!$C$7:$C$1002,'CONT. ESTOQUE'!$B193,ENTRADAS!$E$7:$E$1002),"")</f>
        <v>7</v>
      </c>
      <c r="D193" s="92">
        <f>IF('CONT. ESTOQUE'!$B193&lt;&gt;"",SUMIF(SAÍDAS!$C$7:$C$800,'CONT. ESTOQUE'!$B193,SAÍDAS!$J$7:$J$800),"")</f>
        <v>1</v>
      </c>
      <c r="E193" s="92">
        <f>IFERROR('CONT. ESTOQUE'!$C193-'CONT. ESTOQUE'!$D193,"")</f>
        <v>6</v>
      </c>
      <c r="F193" s="92">
        <f>IFERROR(VLOOKUP('CONT. ESTOQUE'!$B193,PROD!$B$6:$G$1095,4,0),"")</f>
        <v>0</v>
      </c>
      <c r="G193" s="92" t="str">
        <f>IF('CONT. ESTOQUE'!$B193&lt;&gt;"",IF('CONT. ESTOQUE'!$E193=0,"Sem Estoque",IF('CONT. ESTOQUE'!$E193&lt;'CONT. ESTOQUE'!$F193,"Estoque Perigoso","Estoque Confortável")),"")</f>
        <v>Estoque Confortável</v>
      </c>
      <c r="H193" s="93">
        <f>SUMIF(SAÍDAS!$C$7:$C$289,'CONT. ESTOQUE'!$B193,SAÍDAS!$L$7:$L$289)</f>
        <v>0</v>
      </c>
      <c r="I193" s="93">
        <f>SUMIF(ENTRADAS!$C$8:$C$1002,'CONT. ESTOQUE'!$B193,ENTRADAS!$H$7:$H$1002)</f>
        <v>0</v>
      </c>
      <c r="J193" s="94">
        <f>'CONT. ESTOQUE'!$H193-'CONT. ESTOQUE'!$I193</f>
        <v>0</v>
      </c>
    </row>
    <row r="194" spans="2:10" ht="15.75" customHeight="1">
      <c r="B194" s="91" t="str">
        <f>PROD!B194</f>
        <v>VLW-238</v>
      </c>
      <c r="C194" s="92">
        <f>IF('CONT. ESTOQUE'!$B194&lt;&gt;"",SUMIF(ENTRADAS!$C$7:$C$1002,'CONT. ESTOQUE'!$B194,ENTRADAS!$E$7:$E$1002),"")</f>
        <v>36</v>
      </c>
      <c r="D194" s="92">
        <f>IF('CONT. ESTOQUE'!$B194&lt;&gt;"",SUMIF(SAÍDAS!$C$7:$C$800,'CONT. ESTOQUE'!$B194,SAÍDAS!$J$7:$J$800),"")</f>
        <v>44</v>
      </c>
      <c r="E194" s="92">
        <f>IFERROR('CONT. ESTOQUE'!$C194-'CONT. ESTOQUE'!$D194,"")</f>
        <v>-8</v>
      </c>
      <c r="F194" s="92">
        <f>IFERROR(VLOOKUP('CONT. ESTOQUE'!$B194,PROD!$B$6:$G$1095,4,0),"")</f>
        <v>0</v>
      </c>
      <c r="G194" s="92" t="str">
        <f>IF('CONT. ESTOQUE'!$B194&lt;&gt;"",IF('CONT. ESTOQUE'!$E194=0,"Sem Estoque",IF('CONT. ESTOQUE'!$E194&lt;'CONT. ESTOQUE'!$F194,"Estoque Perigoso","Estoque Confortável")),"")</f>
        <v>Estoque Perigoso</v>
      </c>
      <c r="H194" s="93">
        <f>SUMIF(SAÍDAS!$C$7:$C$289,'CONT. ESTOQUE'!$B194,SAÍDAS!$L$7:$L$289)</f>
        <v>0</v>
      </c>
      <c r="I194" s="93">
        <f>SUMIF(ENTRADAS!$C$8:$C$1002,'CONT. ESTOQUE'!$B194,ENTRADAS!$H$7:$H$1002)</f>
        <v>0</v>
      </c>
      <c r="J194" s="94">
        <f>'CONT. ESTOQUE'!$H194-'CONT. ESTOQUE'!$I194</f>
        <v>0</v>
      </c>
    </row>
    <row r="195" spans="2:10" ht="15.75" customHeight="1">
      <c r="B195" s="91" t="str">
        <f>PROD!B195</f>
        <v>VLW-230</v>
      </c>
      <c r="C195" s="92">
        <f>IF('CONT. ESTOQUE'!$B195&lt;&gt;"",SUMIF(ENTRADAS!$C$7:$C$1002,'CONT. ESTOQUE'!$B195,ENTRADAS!$E$7:$E$1002),"")</f>
        <v>6</v>
      </c>
      <c r="D195" s="92">
        <f>IF('CONT. ESTOQUE'!$B195&lt;&gt;"",SUMIF(SAÍDAS!$C$7:$C$800,'CONT. ESTOQUE'!$B195,SAÍDAS!$J$7:$J$800),"")</f>
        <v>2</v>
      </c>
      <c r="E195" s="92">
        <f>IFERROR('CONT. ESTOQUE'!$C195-'CONT. ESTOQUE'!$D195,"")</f>
        <v>4</v>
      </c>
      <c r="F195" s="92">
        <f>IFERROR(VLOOKUP('CONT. ESTOQUE'!$B195,PROD!$B$6:$G$1095,4,0),"")</f>
        <v>0</v>
      </c>
      <c r="G195" s="92" t="str">
        <f>IF('CONT. ESTOQUE'!$B195&lt;&gt;"",IF('CONT. ESTOQUE'!$E195=0,"Sem Estoque",IF('CONT. ESTOQUE'!$E195&lt;'CONT. ESTOQUE'!$F195,"Estoque Perigoso","Estoque Confortável")),"")</f>
        <v>Estoque Confortável</v>
      </c>
      <c r="H195" s="93">
        <f>SUMIF(SAÍDAS!$C$7:$C$289,'CONT. ESTOQUE'!$B195,SAÍDAS!$L$7:$L$289)</f>
        <v>0</v>
      </c>
      <c r="I195" s="93">
        <f>SUMIF(ENTRADAS!$C$8:$C$1002,'CONT. ESTOQUE'!$B195,ENTRADAS!$H$7:$H$1002)</f>
        <v>0</v>
      </c>
      <c r="J195" s="94">
        <f>'CONT. ESTOQUE'!$H195-'CONT. ESTOQUE'!$I195</f>
        <v>0</v>
      </c>
    </row>
    <row r="196" spans="2:10" ht="15.75" customHeight="1">
      <c r="B196" s="91" t="str">
        <f>PROD!B196</f>
        <v>VLW-222</v>
      </c>
      <c r="C196" s="92">
        <f>IF('CONT. ESTOQUE'!$B196&lt;&gt;"",SUMIF(ENTRADAS!$C$7:$C$1002,'CONT. ESTOQUE'!$B196,ENTRADAS!$E$7:$E$1002),"")</f>
        <v>1</v>
      </c>
      <c r="D196" s="92">
        <f>IF('CONT. ESTOQUE'!$B196&lt;&gt;"",SUMIF(SAÍDAS!$C$7:$C$800,'CONT. ESTOQUE'!$B196,SAÍDAS!$J$7:$J$800),"")</f>
        <v>2</v>
      </c>
      <c r="E196" s="92">
        <f>IFERROR('CONT. ESTOQUE'!$C196-'CONT. ESTOQUE'!$D196,"")</f>
        <v>-1</v>
      </c>
      <c r="F196" s="92">
        <f>IFERROR(VLOOKUP('CONT. ESTOQUE'!$B196,PROD!$B$6:$G$1095,4,0),"")</f>
        <v>0</v>
      </c>
      <c r="G196" s="92" t="str">
        <f>IF('CONT. ESTOQUE'!$B196&lt;&gt;"",IF('CONT. ESTOQUE'!$E196=0,"Sem Estoque",IF('CONT. ESTOQUE'!$E196&lt;'CONT. ESTOQUE'!$F196,"Estoque Perigoso","Estoque Confortável")),"")</f>
        <v>Estoque Perigoso</v>
      </c>
      <c r="H196" s="93">
        <f>SUMIF(SAÍDAS!$C$7:$C$289,'CONT. ESTOQUE'!$B196,SAÍDAS!$L$7:$L$289)</f>
        <v>0</v>
      </c>
      <c r="I196" s="93">
        <f>SUMIF(ENTRADAS!$C$8:$C$1002,'CONT. ESTOQUE'!$B196,ENTRADAS!$H$7:$H$1002)</f>
        <v>0</v>
      </c>
      <c r="J196" s="94">
        <f>'CONT. ESTOQUE'!$H196-'CONT. ESTOQUE'!$I196</f>
        <v>0</v>
      </c>
    </row>
    <row r="197" spans="2:10" s="119" customFormat="1" ht="15.75" customHeight="1">
      <c r="B197" s="120" t="str">
        <f>PROD!B197</f>
        <v>VLW-214</v>
      </c>
      <c r="C197" s="92">
        <f>IF('CONT. ESTOQUE'!$B197&lt;&gt;"",SUMIF(ENTRADAS!$C$7:$C$1002,'CONT. ESTOQUE'!$B197,ENTRADAS!$E$7:$E$1002),"")</f>
        <v>8</v>
      </c>
      <c r="D197" s="92">
        <f>IF('CONT. ESTOQUE'!$B197&lt;&gt;"",SUMIF(SAÍDAS!$C$7:$C$800,'CONT. ESTOQUE'!$B197,SAÍDAS!$J$7:$J$800),"")</f>
        <v>0</v>
      </c>
      <c r="E197" s="92">
        <f>IFERROR('CONT. ESTOQUE'!$C197-'CONT. ESTOQUE'!$D197,"")</f>
        <v>8</v>
      </c>
      <c r="F197" s="92">
        <f>IFERROR(VLOOKUP('CONT. ESTOQUE'!$B197,PROD!$B$6:$G$1095,4,0),"")</f>
        <v>0</v>
      </c>
      <c r="G197" s="92" t="str">
        <f>IF('CONT. ESTOQUE'!$B197&lt;&gt;"",IF('CONT. ESTOQUE'!$E197=0,"Sem Estoque",IF('CONT. ESTOQUE'!$E197&lt;'CONT. ESTOQUE'!$F197,"Estoque Perigoso","Estoque Confortável")),"")</f>
        <v>Estoque Confortável</v>
      </c>
      <c r="H197" s="93">
        <f>SUMIF(SAÍDAS!$C$7:$C$289,'CONT. ESTOQUE'!$B197,SAÍDAS!$L$7:$L$289)</f>
        <v>0</v>
      </c>
      <c r="I197" s="93">
        <f>SUMIF(ENTRADAS!$C$8:$C$1002,'CONT. ESTOQUE'!$B197,ENTRADAS!$H$7:$H$1002)</f>
        <v>0</v>
      </c>
      <c r="J197" s="94">
        <f>'CONT. ESTOQUE'!$H197-'CONT. ESTOQUE'!$I197</f>
        <v>0</v>
      </c>
    </row>
    <row r="198" spans="2:10" s="121" customFormat="1" ht="15.75" customHeight="1">
      <c r="B198" s="91" t="str">
        <f>PROD!B198</f>
        <v>-</v>
      </c>
      <c r="C198" s="92">
        <f>IF('CONT. ESTOQUE'!$B198&lt;&gt;"",SUMIF(ENTRADAS!$C$7:$C$1002,'CONT. ESTOQUE'!$B198,ENTRADAS!$E$7:$E$1002),"")</f>
        <v>0</v>
      </c>
      <c r="D198" s="92">
        <f>IF('CONT. ESTOQUE'!$B198&lt;&gt;"",SUMIF(SAÍDAS!$C$7:$C$800,'CONT. ESTOQUE'!$B198,SAÍDAS!$J$7:$J$800),"")</f>
        <v>0</v>
      </c>
      <c r="E198" s="92">
        <f>IFERROR('CONT. ESTOQUE'!$C198-'CONT. ESTOQUE'!$D198,"")</f>
        <v>0</v>
      </c>
      <c r="F198" s="92">
        <f>IFERROR(VLOOKUP('CONT. ESTOQUE'!$B198,PROD!$B$6:$G$1095,4,0),"")</f>
        <v>0</v>
      </c>
      <c r="G198" s="92" t="str">
        <f>IF('CONT. ESTOQUE'!$B198&lt;&gt;"",IF('CONT. ESTOQUE'!$E198=0,"Sem Estoque",IF('CONT. ESTOQUE'!$E198&lt;'CONT. ESTOQUE'!$F198,"Estoque Perigoso","Estoque Confortável")),"")</f>
        <v>Sem Estoque</v>
      </c>
      <c r="H198" s="93">
        <f>SUMIF(SAÍDAS!$C$7:$C$289,'CONT. ESTOQUE'!$B198,SAÍDAS!$L$7:$L$289)</f>
        <v>0</v>
      </c>
      <c r="I198" s="93">
        <f>SUMIF(ENTRADAS!$C$8:$C$1002,'CONT. ESTOQUE'!$B198,ENTRADAS!$H$7:$H$1002)</f>
        <v>0</v>
      </c>
      <c r="J198" s="94">
        <f>'CONT. ESTOQUE'!$H198-'CONT. ESTOQUE'!$I198</f>
        <v>0</v>
      </c>
    </row>
    <row r="199" spans="2:10" ht="15.75" customHeight="1">
      <c r="B199" s="120" t="str">
        <f>PROD!B199</f>
        <v>DV-UM3</v>
      </c>
      <c r="C199" s="122">
        <f>IF('CONT. ESTOQUE'!$B199&lt;&gt;"",SUMIF(ENTRADAS!$C$7:$C$1002,'CONT. ESTOQUE'!$B199,ENTRADAS!$E$7:$E$1002),"")</f>
        <v>0</v>
      </c>
      <c r="D199" s="92">
        <f>IF('CONT. ESTOQUE'!$B199&lt;&gt;"",SUMIF(SAÍDAS!$C$7:$C$800,'CONT. ESTOQUE'!$B199,SAÍDAS!$J$7:$J$800),"")</f>
        <v>0</v>
      </c>
      <c r="E199" s="122">
        <f>IFERROR('CONT. ESTOQUE'!$C199-'CONT. ESTOQUE'!$D199,"")</f>
        <v>0</v>
      </c>
      <c r="F199" s="122">
        <f>IFERROR(VLOOKUP('CONT. ESTOQUE'!$B199,PROD!$B$6:$G$1095,4,0),"")</f>
        <v>0</v>
      </c>
      <c r="G199" s="122" t="str">
        <f>IF('CONT. ESTOQUE'!$B199&lt;&gt;"",IF('CONT. ESTOQUE'!$E199=0,"Sem Estoque",IF('CONT. ESTOQUE'!$E199&lt;'CONT. ESTOQUE'!$F199,"Estoque Perigoso","Estoque Confortável")),"")</f>
        <v>Sem Estoque</v>
      </c>
      <c r="H199" s="123">
        <f>SUMIF(SAÍDAS!$C$7:$C$289,'CONT. ESTOQUE'!$B199,SAÍDAS!$L$7:$L$289)</f>
        <v>0</v>
      </c>
      <c r="I199" s="123">
        <f>SUMIF(ENTRADAS!$C$8:$C$1002,'CONT. ESTOQUE'!$B199,ENTRADAS!$H$7:$H$1002)</f>
        <v>0</v>
      </c>
      <c r="J199" s="124">
        <f>'CONT. ESTOQUE'!$H199-'CONT. ESTOQUE'!$I199</f>
        <v>0</v>
      </c>
    </row>
    <row r="200" spans="2:10" ht="15.75" customHeight="1">
      <c r="B200" s="91" t="str">
        <f>PROD!B200</f>
        <v>UM3-258</v>
      </c>
      <c r="C200" s="92">
        <f>IF('CONT. ESTOQUE'!$B200&lt;&gt;"",SUMIF(ENTRADAS!$C$7:$C$1002,'CONT. ESTOQUE'!$B200,ENTRADAS!$E$7:$E$1002),"")</f>
        <v>6</v>
      </c>
      <c r="D200" s="92">
        <f>IF('CONT. ESTOQUE'!$B200&lt;&gt;"",SUMIF(SAÍDAS!$C$7:$C$800,'CONT. ESTOQUE'!$B200,SAÍDAS!$J$7:$J$800),"")</f>
        <v>0</v>
      </c>
      <c r="E200" s="92">
        <f>IFERROR('CONT. ESTOQUE'!$C200-'CONT. ESTOQUE'!$D200,"")</f>
        <v>6</v>
      </c>
      <c r="F200" s="92">
        <f>IFERROR(VLOOKUP('CONT. ESTOQUE'!$B200,PROD!$B$6:$G$1095,4,0),"")</f>
        <v>0</v>
      </c>
      <c r="G200" s="92" t="str">
        <f>IF('CONT. ESTOQUE'!$B200&lt;&gt;"",IF('CONT. ESTOQUE'!$E200=0,"Sem Estoque",IF('CONT. ESTOQUE'!$E200&lt;'CONT. ESTOQUE'!$F200,"Estoque Perigoso","Estoque Confortável")),"")</f>
        <v>Estoque Confortável</v>
      </c>
      <c r="H200" s="93">
        <f>SUMIF(SAÍDAS!$C$7:$C$289,'CONT. ESTOQUE'!$B200,SAÍDAS!$L$7:$L$289)</f>
        <v>0</v>
      </c>
      <c r="I200" s="93">
        <f>SUMIF(ENTRADAS!$C$8:$C$1002,'CONT. ESTOQUE'!$B200,ENTRADAS!$H$7:$H$1002)</f>
        <v>0</v>
      </c>
      <c r="J200" s="94">
        <f>'CONT. ESTOQUE'!$H200-'CONT. ESTOQUE'!$I200</f>
        <v>0</v>
      </c>
    </row>
    <row r="201" spans="2:10" ht="15.75" customHeight="1">
      <c r="B201" s="91" t="str">
        <f>PROD!B201</f>
        <v>UM3-250</v>
      </c>
      <c r="C201" s="92">
        <f>IF('CONT. ESTOQUE'!$B201&lt;&gt;"",SUMIF(ENTRADAS!$C$7:$C$1002,'CONT. ESTOQUE'!$B201,ENTRADAS!$E$7:$E$1002),"")</f>
        <v>6</v>
      </c>
      <c r="D201" s="92">
        <f>IF('CONT. ESTOQUE'!$B201&lt;&gt;"",SUMIF(SAÍDAS!$C$7:$C$800,'CONT. ESTOQUE'!$B201,SAÍDAS!$J$7:$J$800),"")</f>
        <v>1</v>
      </c>
      <c r="E201" s="92">
        <f>IFERROR('CONT. ESTOQUE'!$C201-'CONT. ESTOQUE'!$D201,"")</f>
        <v>5</v>
      </c>
      <c r="F201" s="92">
        <f>IFERROR(VLOOKUP('CONT. ESTOQUE'!$B201,PROD!$B$6:$G$1095,4,0),"")</f>
        <v>0</v>
      </c>
      <c r="G201" s="92" t="str">
        <f>IF('CONT. ESTOQUE'!$B201&lt;&gt;"",IF('CONT. ESTOQUE'!$E201=0,"Sem Estoque",IF('CONT. ESTOQUE'!$E201&lt;'CONT. ESTOQUE'!$F201,"Estoque Perigoso","Estoque Confortável")),"")</f>
        <v>Estoque Confortável</v>
      </c>
      <c r="H201" s="93">
        <f>SUMIF(SAÍDAS!$C$7:$C$289,'CONT. ESTOQUE'!$B201,SAÍDAS!$L$7:$L$289)</f>
        <v>0</v>
      </c>
      <c r="I201" s="93">
        <f>SUMIF(ENTRADAS!$C$8:$C$1002,'CONT. ESTOQUE'!$B201,ENTRADAS!$H$7:$H$1002)</f>
        <v>0</v>
      </c>
      <c r="J201" s="94">
        <f>'CONT. ESTOQUE'!$H201-'CONT. ESTOQUE'!$I201</f>
        <v>0</v>
      </c>
    </row>
    <row r="202" spans="2:10" ht="15.75" customHeight="1">
      <c r="B202" s="91" t="str">
        <f>PROD!B202</f>
        <v>UM3-242</v>
      </c>
      <c r="C202" s="92">
        <f>IF('CONT. ESTOQUE'!$B202&lt;&gt;"",SUMIF(ENTRADAS!$C$7:$C$1002,'CONT. ESTOQUE'!$B202,ENTRADAS!$E$7:$E$1002),"")</f>
        <v>7</v>
      </c>
      <c r="D202" s="92">
        <f>IF('CONT. ESTOQUE'!$B202&lt;&gt;"",SUMIF(SAÍDAS!$C$7:$C$800,'CONT. ESTOQUE'!$B202,SAÍDAS!$J$7:$J$800),"")</f>
        <v>2</v>
      </c>
      <c r="E202" s="92">
        <f>IFERROR('CONT. ESTOQUE'!$C202-'CONT. ESTOQUE'!$D202,"")</f>
        <v>5</v>
      </c>
      <c r="F202" s="92">
        <f>IFERROR(VLOOKUP('CONT. ESTOQUE'!$B202,PROD!$B$6:$G$1095,4,0),"")</f>
        <v>0</v>
      </c>
      <c r="G202" s="92" t="str">
        <f>IF('CONT. ESTOQUE'!$B202&lt;&gt;"",IF('CONT. ESTOQUE'!$E202=0,"Sem Estoque",IF('CONT. ESTOQUE'!$E202&lt;'CONT. ESTOQUE'!$F202,"Estoque Perigoso","Estoque Confortável")),"")</f>
        <v>Estoque Confortável</v>
      </c>
      <c r="H202" s="93">
        <f>SUMIF(SAÍDAS!$C$7:$C$289,'CONT. ESTOQUE'!$B202,SAÍDAS!$L$7:$L$289)</f>
        <v>0</v>
      </c>
      <c r="I202" s="93">
        <f>SUMIF(ENTRADAS!$C$8:$C$1002,'CONT. ESTOQUE'!$B202,ENTRADAS!$H$7:$H$1002)</f>
        <v>0</v>
      </c>
      <c r="J202" s="94">
        <f>'CONT. ESTOQUE'!$H202-'CONT. ESTOQUE'!$I202</f>
        <v>0</v>
      </c>
    </row>
    <row r="203" spans="2:10" s="119" customFormat="1" ht="15.75" customHeight="1">
      <c r="B203" s="91" t="str">
        <f>PROD!B203</f>
        <v>UM3-234</v>
      </c>
      <c r="C203" s="92">
        <f>IF('CONT. ESTOQUE'!$B203&lt;&gt;"",SUMIF(ENTRADAS!$C$7:$C$1002,'CONT. ESTOQUE'!$B203,ENTRADAS!$E$7:$E$1002),"")</f>
        <v>2</v>
      </c>
      <c r="D203" s="92">
        <f>IF('CONT. ESTOQUE'!$B203&lt;&gt;"",SUMIF(SAÍDAS!$C$7:$C$800,'CONT. ESTOQUE'!$B203,SAÍDAS!$J$7:$J$800),"")</f>
        <v>0</v>
      </c>
      <c r="E203" s="92">
        <f>IFERROR('CONT. ESTOQUE'!$C203-'CONT. ESTOQUE'!$D203,"")</f>
        <v>2</v>
      </c>
      <c r="F203" s="92">
        <f>IFERROR(VLOOKUP('CONT. ESTOQUE'!$B203,PROD!$B$6:$G$1095,4,0),"")</f>
        <v>0</v>
      </c>
      <c r="G203" s="92" t="str">
        <f>IF('CONT. ESTOQUE'!$B203&lt;&gt;"",IF('CONT. ESTOQUE'!$E203=0,"Sem Estoque",IF('CONT. ESTOQUE'!$E203&lt;'CONT. ESTOQUE'!$F203,"Estoque Perigoso","Estoque Confortável")),"")</f>
        <v>Estoque Confortável</v>
      </c>
      <c r="H203" s="93">
        <f>SUMIF(SAÍDAS!$C$7:$C$289,'CONT. ESTOQUE'!$B203,SAÍDAS!$L$7:$L$289)</f>
        <v>0</v>
      </c>
      <c r="I203" s="93">
        <f>SUMIF(ENTRADAS!$C$8:$C$1002,'CONT. ESTOQUE'!$B203,ENTRADAS!$H$7:$H$1002)</f>
        <v>0</v>
      </c>
      <c r="J203" s="94">
        <f>'CONT. ESTOQUE'!$H203-'CONT. ESTOQUE'!$I203</f>
        <v>0</v>
      </c>
    </row>
    <row r="204" spans="2:10" s="149" customFormat="1" ht="15.75" customHeight="1">
      <c r="B204" s="91" t="str">
        <f>PROD!B204</f>
        <v>UM3-226</v>
      </c>
      <c r="C204" s="92">
        <f>IF('CONT. ESTOQUE'!$B204&lt;&gt;"",SUMIF(ENTRADAS!$C$7:$C$1002,'CONT. ESTOQUE'!$B204,ENTRADAS!$E$7:$E$1002),"")</f>
        <v>3</v>
      </c>
      <c r="D204" s="92">
        <f>IF('CONT. ESTOQUE'!$B204&lt;&gt;"",SUMIF(SAÍDAS!$C$7:$C$800,'CONT. ESTOQUE'!$B204,SAÍDAS!$J$7:$J$800),"")</f>
        <v>0</v>
      </c>
      <c r="E204" s="92">
        <f>IFERROR('CONT. ESTOQUE'!$C204-'CONT. ESTOQUE'!$D204,"")</f>
        <v>3</v>
      </c>
      <c r="F204" s="92">
        <f>IFERROR(VLOOKUP('CONT. ESTOQUE'!$B204,PROD!$B$6:$G$1095,4,0),"")</f>
        <v>0</v>
      </c>
      <c r="G204" s="92" t="str">
        <f>IF('CONT. ESTOQUE'!$B204&lt;&gt;"",IF('CONT. ESTOQUE'!$E204=0,"Sem Estoque",IF('CONT. ESTOQUE'!$E204&lt;'CONT. ESTOQUE'!$F204,"Estoque Perigoso","Estoque Confortável")),"")</f>
        <v>Estoque Confortável</v>
      </c>
      <c r="H204" s="93">
        <f>SUMIF(SAÍDAS!$C$7:$C$289,'CONT. ESTOQUE'!$B204,SAÍDAS!$L$7:$L$289)</f>
        <v>0</v>
      </c>
      <c r="I204" s="93">
        <f>SUMIF(ENTRADAS!$C$8:$C$1002,'CONT. ESTOQUE'!$B204,ENTRADAS!$H$7:$H$1002)</f>
        <v>0</v>
      </c>
      <c r="J204" s="94">
        <f>'CONT. ESTOQUE'!$H204-'CONT. ESTOQUE'!$I204</f>
        <v>0</v>
      </c>
    </row>
    <row r="205" spans="2:10" s="121" customFormat="1" ht="15.75" customHeight="1">
      <c r="B205" s="91" t="str">
        <f>PROD!B205</f>
        <v>-</v>
      </c>
      <c r="C205" s="92">
        <f>IF('CONT. ESTOQUE'!$B205&lt;&gt;"",SUMIF(ENTRADAS!$C$7:$C$1002,'CONT. ESTOQUE'!$B205,ENTRADAS!$E$7:$E$1002),"")</f>
        <v>0</v>
      </c>
      <c r="D205" s="92">
        <f>IF('CONT. ESTOQUE'!$B205&lt;&gt;"",SUMIF(SAÍDAS!$C$7:$C$800,'CONT. ESTOQUE'!$B205,SAÍDAS!$J$7:$J$800),"")</f>
        <v>0</v>
      </c>
      <c r="E205" s="92">
        <f>IFERROR('CONT. ESTOQUE'!$C205-'CONT. ESTOQUE'!$D205,"")</f>
        <v>0</v>
      </c>
      <c r="F205" s="92">
        <f>IFERROR(VLOOKUP('CONT. ESTOQUE'!$B205,PROD!$B$6:$G$1095,4,0),"")</f>
        <v>0</v>
      </c>
      <c r="G205" s="92" t="str">
        <f>IF('CONT. ESTOQUE'!$B205&lt;&gt;"",IF('CONT. ESTOQUE'!$E205=0,"Sem Estoque",IF('CONT. ESTOQUE'!$E205&lt;'CONT. ESTOQUE'!$F205,"Estoque Perigoso","Estoque Confortável")),"")</f>
        <v>Sem Estoque</v>
      </c>
      <c r="H205" s="93">
        <f>SUMIF(SAÍDAS!$C$7:$C$289,'CONT. ESTOQUE'!$B205,SAÍDAS!$L$7:$L$289)</f>
        <v>0</v>
      </c>
      <c r="I205" s="93">
        <f>SUMIF(ENTRADAS!$C$8:$C$1002,'CONT. ESTOQUE'!$B205,ENTRADAS!$H$7:$H$1002)</f>
        <v>0</v>
      </c>
      <c r="J205" s="94">
        <f>'CONT. ESTOQUE'!$H205-'CONT. ESTOQUE'!$I205</f>
        <v>0</v>
      </c>
    </row>
    <row r="206" spans="2:10" ht="15.75" customHeight="1">
      <c r="B206" s="120" t="str">
        <f>PROD!B206</f>
        <v>VT830</v>
      </c>
      <c r="C206" s="122">
        <f>IF('CONT. ESTOQUE'!$B206&lt;&gt;"",SUMIF(ENTRADAS!$C$7:$C$1002,'CONT. ESTOQUE'!$B206,ENTRADAS!$E$7:$E$1002),"")</f>
        <v>0</v>
      </c>
      <c r="D206" s="92">
        <f>IF('CONT. ESTOQUE'!$B206&lt;&gt;"",SUMIF(SAÍDAS!$C$7:$C$800,'CONT. ESTOQUE'!$B206,SAÍDAS!$J$7:$J$800),"")</f>
        <v>0</v>
      </c>
      <c r="E206" s="122">
        <f>IFERROR('CONT. ESTOQUE'!$C206-'CONT. ESTOQUE'!$D206,"")</f>
        <v>0</v>
      </c>
      <c r="F206" s="122">
        <f>IFERROR(VLOOKUP('CONT. ESTOQUE'!$B206,PROD!$B$6:$G$1095,4,0),"")</f>
        <v>0</v>
      </c>
      <c r="G206" s="122" t="str">
        <f>IF('CONT. ESTOQUE'!$B206&lt;&gt;"",IF('CONT. ESTOQUE'!$E206=0,"Sem Estoque",IF('CONT. ESTOQUE'!$E206&lt;'CONT. ESTOQUE'!$F206,"Estoque Perigoso","Estoque Confortável")),"")</f>
        <v>Sem Estoque</v>
      </c>
      <c r="H206" s="123">
        <f>SUMIF(SAÍDAS!$C$7:$C$289,'CONT. ESTOQUE'!$B206,SAÍDAS!$L$7:$L$289)</f>
        <v>0</v>
      </c>
      <c r="I206" s="123">
        <f>SUMIF(ENTRADAS!$C$8:$C$1002,'CONT. ESTOQUE'!$B206,ENTRADAS!$H$7:$H$1002)</f>
        <v>0</v>
      </c>
      <c r="J206" s="124">
        <f>'CONT. ESTOQUE'!$H206-'CONT. ESTOQUE'!$I206</f>
        <v>0</v>
      </c>
    </row>
    <row r="207" spans="2:10" ht="15.75" customHeight="1">
      <c r="B207" s="91" t="str">
        <f>PROD!B207</f>
        <v>VT830-266</v>
      </c>
      <c r="C207" s="92">
        <f>IF('CONT. ESTOQUE'!$B207&lt;&gt;"",SUMIF(ENTRADAS!$C$7:$C$1002,'CONT. ESTOQUE'!$B207,ENTRADAS!$E$7:$E$1002),"")</f>
        <v>0</v>
      </c>
      <c r="D207" s="92">
        <f>IF('CONT. ESTOQUE'!$B207&lt;&gt;"",SUMIF(SAÍDAS!$C$7:$C$800,'CONT. ESTOQUE'!$B207,SAÍDAS!$J$7:$J$800),"")</f>
        <v>0</v>
      </c>
      <c r="E207" s="92">
        <f>IFERROR('CONT. ESTOQUE'!$C207-'CONT. ESTOQUE'!$D207,"")</f>
        <v>0</v>
      </c>
      <c r="F207" s="92">
        <f>IFERROR(VLOOKUP('CONT. ESTOQUE'!$B207,PROD!$B$6:$G$1095,4,0),"")</f>
        <v>0</v>
      </c>
      <c r="G207" s="92" t="str">
        <f>IF('CONT. ESTOQUE'!$B207&lt;&gt;"",IF('CONT. ESTOQUE'!$E207=0,"Sem Estoque",IF('CONT. ESTOQUE'!$E207&lt;'CONT. ESTOQUE'!$F207,"Estoque Perigoso","Estoque Confortável")),"")</f>
        <v>Sem Estoque</v>
      </c>
      <c r="H207" s="93">
        <f>SUMIF(SAÍDAS!$C$7:$C$289,'CONT. ESTOQUE'!$B207,SAÍDAS!$L$7:$L$289)</f>
        <v>0</v>
      </c>
      <c r="I207" s="93">
        <f>SUMIF(ENTRADAS!$C$8:$C$1002,'CONT. ESTOQUE'!$B207,ENTRADAS!$H$7:$H$1002)</f>
        <v>0</v>
      </c>
      <c r="J207" s="94">
        <f>'CONT. ESTOQUE'!$H207-'CONT. ESTOQUE'!$I207</f>
        <v>0</v>
      </c>
    </row>
    <row r="208" spans="2:10" ht="15.75" customHeight="1">
      <c r="B208" s="91" t="str">
        <f>PROD!B208</f>
        <v>VT830-258</v>
      </c>
      <c r="C208" s="92">
        <f>IF('CONT. ESTOQUE'!$B208&lt;&gt;"",SUMIF(ENTRADAS!$C$7:$C$1002,'CONT. ESTOQUE'!$B208,ENTRADAS!$E$7:$E$1002),"")</f>
        <v>4</v>
      </c>
      <c r="D208" s="92">
        <f>IF('CONT. ESTOQUE'!$B208&lt;&gt;"",SUMIF(SAÍDAS!$C$7:$C$800,'CONT. ESTOQUE'!$B208,SAÍDAS!$J$7:$J$800),"")</f>
        <v>2</v>
      </c>
      <c r="E208" s="92">
        <f>IFERROR('CONT. ESTOQUE'!$C208-'CONT. ESTOQUE'!$D208,"")</f>
        <v>2</v>
      </c>
      <c r="F208" s="92">
        <f>IFERROR(VLOOKUP('CONT. ESTOQUE'!$B208,PROD!$B$6:$G$1095,4,0),"")</f>
        <v>0</v>
      </c>
      <c r="G208" s="92" t="str">
        <f>IF('CONT. ESTOQUE'!$B208&lt;&gt;"",IF('CONT. ESTOQUE'!$E208=0,"Sem Estoque",IF('CONT. ESTOQUE'!$E208&lt;'CONT. ESTOQUE'!$F208,"Estoque Perigoso","Estoque Confortável")),"")</f>
        <v>Estoque Confortável</v>
      </c>
      <c r="H208" s="93">
        <f>SUMIF(SAÍDAS!$C$7:$C$289,'CONT. ESTOQUE'!$B208,SAÍDAS!$L$7:$L$289)</f>
        <v>0</v>
      </c>
      <c r="I208" s="93">
        <f>SUMIF(ENTRADAS!$C$8:$C$1002,'CONT. ESTOQUE'!$B208,ENTRADAS!$H$7:$H$1002)</f>
        <v>0</v>
      </c>
      <c r="J208" s="94">
        <f>'CONT. ESTOQUE'!$H208-'CONT. ESTOQUE'!$I208</f>
        <v>0</v>
      </c>
    </row>
    <row r="209" spans="2:10" ht="15.75" customHeight="1">
      <c r="B209" s="91" t="str">
        <f>PROD!B209</f>
        <v>VT830-250</v>
      </c>
      <c r="C209" s="92">
        <f>IF('CONT. ESTOQUE'!$B209&lt;&gt;"",SUMIF(ENTRADAS!$C$7:$C$1002,'CONT. ESTOQUE'!$B209,ENTRADAS!$E$7:$E$1002),"")</f>
        <v>10</v>
      </c>
      <c r="D209" s="92">
        <f>IF('CONT. ESTOQUE'!$B209&lt;&gt;"",SUMIF(SAÍDAS!$C$7:$C$800,'CONT. ESTOQUE'!$B209,SAÍDAS!$J$7:$J$800),"")</f>
        <v>5</v>
      </c>
      <c r="E209" s="92">
        <f>IFERROR('CONT. ESTOQUE'!$C209-'CONT. ESTOQUE'!$D209,"")</f>
        <v>5</v>
      </c>
      <c r="F209" s="92">
        <f>IFERROR(VLOOKUP('CONT. ESTOQUE'!$B209,PROD!$B$6:$G$1095,4,0),"")</f>
        <v>0</v>
      </c>
      <c r="G209" s="92" t="str">
        <f>IF('CONT. ESTOQUE'!$B209&lt;&gt;"",IF('CONT. ESTOQUE'!$E209=0,"Sem Estoque",IF('CONT. ESTOQUE'!$E209&lt;'CONT. ESTOQUE'!$F209,"Estoque Perigoso","Estoque Confortável")),"")</f>
        <v>Estoque Confortável</v>
      </c>
      <c r="H209" s="93">
        <f>SUMIF(SAÍDAS!$C$7:$C$289,'CONT. ESTOQUE'!$B209,SAÍDAS!$L$7:$L$289)</f>
        <v>0</v>
      </c>
      <c r="I209" s="93">
        <f>SUMIF(ENTRADAS!$C$8:$C$1002,'CONT. ESTOQUE'!$B209,ENTRADAS!$H$7:$H$1002)</f>
        <v>0</v>
      </c>
      <c r="J209" s="94">
        <f>'CONT. ESTOQUE'!$H209-'CONT. ESTOQUE'!$I209</f>
        <v>0</v>
      </c>
    </row>
    <row r="210" spans="2:10" s="119" customFormat="1" ht="15.75" customHeight="1">
      <c r="B210" s="91" t="str">
        <f>PROD!B210</f>
        <v>VT830-242</v>
      </c>
      <c r="C210" s="92">
        <f>IF('CONT. ESTOQUE'!$B210&lt;&gt;"",SUMIF(ENTRADAS!$C$7:$C$1002,'CONT. ESTOQUE'!$B210,ENTRADAS!$E$7:$E$1002),"")</f>
        <v>4</v>
      </c>
      <c r="D210" s="92">
        <f>IF('CONT. ESTOQUE'!$B210&lt;&gt;"",SUMIF(SAÍDAS!$C$7:$C$800,'CONT. ESTOQUE'!$B210,SAÍDAS!$J$7:$J$800),"")</f>
        <v>1</v>
      </c>
      <c r="E210" s="92">
        <f>IFERROR('CONT. ESTOQUE'!$C210-'CONT. ESTOQUE'!$D210,"")</f>
        <v>3</v>
      </c>
      <c r="F210" s="92">
        <f>IFERROR(VLOOKUP('CONT. ESTOQUE'!$B210,PROD!$B$6:$G$1095,4,0),"")</f>
        <v>0</v>
      </c>
      <c r="G210" s="92" t="str">
        <f>IF('CONT. ESTOQUE'!$B210&lt;&gt;"",IF('CONT. ESTOQUE'!$E210=0,"Sem Estoque",IF('CONT. ESTOQUE'!$E210&lt;'CONT. ESTOQUE'!$F210,"Estoque Perigoso","Estoque Confortável")),"")</f>
        <v>Estoque Confortável</v>
      </c>
      <c r="H210" s="93">
        <f>SUMIF(SAÍDAS!$C$7:$C$289,'CONT. ESTOQUE'!$B210,SAÍDAS!$L$7:$L$289)</f>
        <v>0</v>
      </c>
      <c r="I210" s="93">
        <f>SUMIF(ENTRADAS!$C$8:$C$1002,'CONT. ESTOQUE'!$B210,ENTRADAS!$H$7:$H$1002)</f>
        <v>0</v>
      </c>
      <c r="J210" s="94">
        <f>'CONT. ESTOQUE'!$H210-'CONT. ESTOQUE'!$I210</f>
        <v>0</v>
      </c>
    </row>
    <row r="211" spans="2:10" s="144" customFormat="1" ht="15.75" customHeight="1">
      <c r="B211" s="91" t="str">
        <f>PROD!B211</f>
        <v>-</v>
      </c>
      <c r="C211" s="92">
        <f>IF('CONT. ESTOQUE'!$B211&lt;&gt;"",SUMIF(ENTRADAS!$C$7:$C$1002,'CONT. ESTOQUE'!$B211,ENTRADAS!$E$7:$E$1002),"")</f>
        <v>0</v>
      </c>
      <c r="D211" s="92">
        <f>IF('CONT. ESTOQUE'!$B211&lt;&gt;"",SUMIF(SAÍDAS!$C$7:$C$800,'CONT. ESTOQUE'!$B211,SAÍDAS!$J$7:$J$800),"")</f>
        <v>0</v>
      </c>
      <c r="E211" s="92">
        <f>IFERROR('CONT. ESTOQUE'!$C211-'CONT. ESTOQUE'!$D211,"")</f>
        <v>0</v>
      </c>
      <c r="F211" s="92">
        <f>IFERROR(VLOOKUP('CONT. ESTOQUE'!$B211,PROD!$B$6:$G$1095,4,0),"")</f>
        <v>0</v>
      </c>
      <c r="G211" s="92" t="str">
        <f>IF('CONT. ESTOQUE'!$B211&lt;&gt;"",IF('CONT. ESTOQUE'!$E211=0,"Sem Estoque",IF('CONT. ESTOQUE'!$E211&lt;'CONT. ESTOQUE'!$F211,"Estoque Perigoso","Estoque Confortável")),"")</f>
        <v>Sem Estoque</v>
      </c>
      <c r="H211" s="93">
        <f>SUMIF(SAÍDAS!$C$7:$C$289,'CONT. ESTOQUE'!$B211,SAÍDAS!$L$7:$L$289)</f>
        <v>0</v>
      </c>
      <c r="I211" s="93">
        <f>SUMIF(ENTRADAS!$C$8:$C$1002,'CONT. ESTOQUE'!$B211,ENTRADAS!$H$7:$H$1002)</f>
        <v>0</v>
      </c>
      <c r="J211" s="94">
        <f>'CONT. ESTOQUE'!$H211-'CONT. ESTOQUE'!$I211</f>
        <v>0</v>
      </c>
    </row>
    <row r="212" spans="2:10" s="144" customFormat="1" ht="15.75" customHeight="1">
      <c r="B212" s="120" t="str">
        <f>PROD!B212</f>
        <v>VI600</v>
      </c>
      <c r="C212" s="92">
        <f>IF('CONT. ESTOQUE'!$B212&lt;&gt;"",SUMIF(ENTRADAS!$C$7:$C$1002,'CONT. ESTOQUE'!$B212,ENTRADAS!$E$7:$E$1002),"")</f>
        <v>0</v>
      </c>
      <c r="D212" s="92">
        <f>IF('CONT. ESTOQUE'!$B212&lt;&gt;"",SUMIF(SAÍDAS!$C$7:$C$800,'CONT. ESTOQUE'!$B212,SAÍDAS!$J$7:$J$800),"")</f>
        <v>0</v>
      </c>
      <c r="E212" s="92">
        <f>IFERROR('CONT. ESTOQUE'!$C212-'CONT. ESTOQUE'!$D212,"")</f>
        <v>0</v>
      </c>
      <c r="F212" s="92">
        <f>IFERROR(VLOOKUP('CONT. ESTOQUE'!$B212,PROD!$B$6:$G$1095,4,0),"")</f>
        <v>0</v>
      </c>
      <c r="G212" s="92" t="str">
        <f>IF('CONT. ESTOQUE'!$B212&lt;&gt;"",IF('CONT. ESTOQUE'!$E212=0,"Sem Estoque",IF('CONT. ESTOQUE'!$E212&lt;'CONT. ESTOQUE'!$F212,"Estoque Perigoso","Estoque Confortável")),"")</f>
        <v>Sem Estoque</v>
      </c>
      <c r="H212" s="93">
        <f>SUMIF(SAÍDAS!$C$7:$C$289,'CONT. ESTOQUE'!$B212,SAÍDAS!$L$7:$L$289)</f>
        <v>0</v>
      </c>
      <c r="I212" s="93">
        <f>SUMIF(ENTRADAS!$C$8:$C$1002,'CONT. ESTOQUE'!$B212,ENTRADAS!$H$7:$H$1002)</f>
        <v>0</v>
      </c>
      <c r="J212" s="94">
        <f>'CONT. ESTOQUE'!$H212-'CONT. ESTOQUE'!$I212</f>
        <v>0</v>
      </c>
    </row>
    <row r="213" spans="2:10" s="145" customFormat="1" ht="15.75" customHeight="1">
      <c r="B213" s="91" t="str">
        <f>PROD!B213</f>
        <v>600-194</v>
      </c>
      <c r="C213" s="92">
        <f>IF('CONT. ESTOQUE'!$B213&lt;&gt;"",SUMIF(ENTRADAS!$C$7:$C$1002,'CONT. ESTOQUE'!$B213,ENTRADAS!$E$7:$E$1002),"")</f>
        <v>0</v>
      </c>
      <c r="D213" s="92">
        <f>IF('CONT. ESTOQUE'!$B213&lt;&gt;"",SUMIF(SAÍDAS!$C$7:$C$800,'CONT. ESTOQUE'!$B213,SAÍDAS!$J$7:$J$800),"")</f>
        <v>0</v>
      </c>
      <c r="E213" s="92">
        <f>IFERROR('CONT. ESTOQUE'!$C213-'CONT. ESTOQUE'!$D213,"")</f>
        <v>0</v>
      </c>
      <c r="F213" s="92">
        <f>IFERROR(VLOOKUP('CONT. ESTOQUE'!$B213,PROD!$B$6:$G$1095,4,0),"")</f>
        <v>0</v>
      </c>
      <c r="G213" s="92" t="str">
        <f>IF('CONT. ESTOQUE'!$B213&lt;&gt;"",IF('CONT. ESTOQUE'!$E213=0,"Sem Estoque",IF('CONT. ESTOQUE'!$E213&lt;'CONT. ESTOQUE'!$F213,"Estoque Perigoso","Estoque Confortável")),"")</f>
        <v>Sem Estoque</v>
      </c>
      <c r="H213" s="93">
        <f>SUMIF(SAÍDAS!$C$7:$C$289,'CONT. ESTOQUE'!$B213,SAÍDAS!$L$7:$L$289)</f>
        <v>0</v>
      </c>
      <c r="I213" s="93">
        <f>SUMIF(ENTRADAS!$C$8:$C$1002,'CONT. ESTOQUE'!$B213,ENTRADAS!$H$7:$H$1002)</f>
        <v>0</v>
      </c>
      <c r="J213" s="94">
        <f>'CONT. ESTOQUE'!$H213-'CONT. ESTOQUE'!$I213</f>
        <v>0</v>
      </c>
    </row>
    <row r="214" spans="2:10" s="145" customFormat="1" ht="15.75" customHeight="1">
      <c r="B214" s="91" t="str">
        <f>PROD!B214</f>
        <v>600-186</v>
      </c>
      <c r="C214" s="92">
        <f>IF('CONT. ESTOQUE'!$B214&lt;&gt;"",SUMIF(ENTRADAS!$C$7:$C$1002,'CONT. ESTOQUE'!$B214,ENTRADAS!$E$7:$E$1002),"")</f>
        <v>0</v>
      </c>
      <c r="D214" s="92">
        <f>IF('CONT. ESTOQUE'!$B214&lt;&gt;"",SUMIF(SAÍDAS!$C$7:$C$800,'CONT. ESTOQUE'!$B214,SAÍDAS!$J$7:$J$800),"")</f>
        <v>0</v>
      </c>
      <c r="E214" s="92">
        <f>IFERROR('CONT. ESTOQUE'!$C214-'CONT. ESTOQUE'!$D214,"")</f>
        <v>0</v>
      </c>
      <c r="F214" s="92">
        <f>IFERROR(VLOOKUP('CONT. ESTOQUE'!$B214,PROD!$B$6:$G$1095,4,0),"")</f>
        <v>0</v>
      </c>
      <c r="G214" s="92" t="str">
        <f>IF('CONT. ESTOQUE'!$B214&lt;&gt;"",IF('CONT. ESTOQUE'!$E214=0,"Sem Estoque",IF('CONT. ESTOQUE'!$E214&lt;'CONT. ESTOQUE'!$F214,"Estoque Perigoso","Estoque Confortável")),"")</f>
        <v>Sem Estoque</v>
      </c>
      <c r="H214" s="93">
        <f>SUMIF(SAÍDAS!$C$7:$C$289,'CONT. ESTOQUE'!$B214,SAÍDAS!$L$7:$L$289)</f>
        <v>0</v>
      </c>
      <c r="I214" s="93">
        <f>SUMIF(ENTRADAS!$C$8:$C$1002,'CONT. ESTOQUE'!$B214,ENTRADAS!$H$7:$H$1002)</f>
        <v>0</v>
      </c>
      <c r="J214" s="94">
        <f>'CONT. ESTOQUE'!$H214-'CONT. ESTOQUE'!$I214</f>
        <v>0</v>
      </c>
    </row>
    <row r="215" spans="2:10" s="145" customFormat="1" ht="15.75" customHeight="1">
      <c r="B215" s="91" t="str">
        <f>PROD!B215</f>
        <v>600-178</v>
      </c>
      <c r="C215" s="92">
        <f>IF('CONT. ESTOQUE'!$B215&lt;&gt;"",SUMIF(ENTRADAS!$C$7:$C$1002,'CONT. ESTOQUE'!$B215,ENTRADAS!$E$7:$E$1002),"")</f>
        <v>0</v>
      </c>
      <c r="D215" s="92">
        <f>IF('CONT. ESTOQUE'!$B215&lt;&gt;"",SUMIF(SAÍDAS!$C$7:$C$800,'CONT. ESTOQUE'!$B215,SAÍDAS!$J$7:$J$800),"")</f>
        <v>0</v>
      </c>
      <c r="E215" s="92">
        <f>IFERROR('CONT. ESTOQUE'!$C215-'CONT. ESTOQUE'!$D215,"")</f>
        <v>0</v>
      </c>
      <c r="F215" s="92">
        <f>IFERROR(VLOOKUP('CONT. ESTOQUE'!$B215,PROD!$B$6:$G$1095,4,0),"")</f>
        <v>0</v>
      </c>
      <c r="G215" s="92" t="str">
        <f>IF('CONT. ESTOQUE'!$B215&lt;&gt;"",IF('CONT. ESTOQUE'!$E215=0,"Sem Estoque",IF('CONT. ESTOQUE'!$E215&lt;'CONT. ESTOQUE'!$F215,"Estoque Perigoso","Estoque Confortável")),"")</f>
        <v>Sem Estoque</v>
      </c>
      <c r="H215" s="93">
        <f>SUMIF(SAÍDAS!$C$7:$C$289,'CONT. ESTOQUE'!$B215,SAÍDAS!$L$7:$L$289)</f>
        <v>0</v>
      </c>
      <c r="I215" s="93">
        <f>SUMIF(ENTRADAS!$C$8:$C$1002,'CONT. ESTOQUE'!$B215,ENTRADAS!$H$7:$H$1002)</f>
        <v>0</v>
      </c>
      <c r="J215" s="94">
        <f>'CONT. ESTOQUE'!$H215-'CONT. ESTOQUE'!$I215</f>
        <v>0</v>
      </c>
    </row>
    <row r="216" spans="2:10" s="144" customFormat="1" ht="15.75" customHeight="1">
      <c r="B216" s="91" t="str">
        <f>PROD!B216</f>
        <v>600-162</v>
      </c>
      <c r="C216" s="92">
        <f>IF('CONT. ESTOQUE'!$B216&lt;&gt;"",SUMIF(ENTRADAS!$C$7:$C$1002,'CONT. ESTOQUE'!$B216,ENTRADAS!$E$7:$E$1002),"")</f>
        <v>0</v>
      </c>
      <c r="D216" s="92">
        <f>IF('CONT. ESTOQUE'!$B216&lt;&gt;"",SUMIF(SAÍDAS!$C$7:$C$800,'CONT. ESTOQUE'!$B216,SAÍDAS!$J$7:$J$800),"")</f>
        <v>0</v>
      </c>
      <c r="E216" s="92">
        <f>IFERROR('CONT. ESTOQUE'!$C216-'CONT. ESTOQUE'!$D216,"")</f>
        <v>0</v>
      </c>
      <c r="F216" s="92">
        <f>IFERROR(VLOOKUP('CONT. ESTOQUE'!$B216,PROD!$B$6:$G$1095,4,0),"")</f>
        <v>0</v>
      </c>
      <c r="G216" s="92" t="str">
        <f>IF('CONT. ESTOQUE'!$B216&lt;&gt;"",IF('CONT. ESTOQUE'!$E216=0,"Sem Estoque",IF('CONT. ESTOQUE'!$E216&lt;'CONT. ESTOQUE'!$F216,"Estoque Perigoso","Estoque Confortável")),"")</f>
        <v>Sem Estoque</v>
      </c>
      <c r="H216" s="93">
        <f>SUMIF(SAÍDAS!$C$7:$C$289,'CONT. ESTOQUE'!$B216,SAÍDAS!$L$7:$L$289)</f>
        <v>0</v>
      </c>
      <c r="I216" s="93">
        <f>SUMIF(ENTRADAS!$C$8:$C$1002,'CONT. ESTOQUE'!$B216,ENTRADAS!$H$7:$H$1002)</f>
        <v>0</v>
      </c>
      <c r="J216" s="94">
        <f>'CONT. ESTOQUE'!$H216-'CONT. ESTOQUE'!$I216</f>
        <v>0</v>
      </c>
    </row>
    <row r="217" spans="2:10" s="144" customFormat="1" ht="15.75" customHeight="1">
      <c r="B217" s="91" t="str">
        <f>PROD!B217</f>
        <v>600-154</v>
      </c>
      <c r="C217" s="92">
        <f>IF('CONT. ESTOQUE'!$B217&lt;&gt;"",SUMIF(ENTRADAS!$C$7:$C$1002,'CONT. ESTOQUE'!$B217,ENTRADAS!$E$7:$E$1002),"")</f>
        <v>2</v>
      </c>
      <c r="D217" s="92">
        <f>IF('CONT. ESTOQUE'!$B217&lt;&gt;"",SUMIF(SAÍDAS!$C$7:$C$800,'CONT. ESTOQUE'!$B217,SAÍDAS!$J$7:$J$800),"")</f>
        <v>0</v>
      </c>
      <c r="E217" s="92">
        <f>IFERROR('CONT. ESTOQUE'!$C217-'CONT. ESTOQUE'!$D217,"")</f>
        <v>2</v>
      </c>
      <c r="F217" s="92">
        <f>IFERROR(VLOOKUP('CONT. ESTOQUE'!$B217,PROD!$B$6:$G$1095,4,0),"")</f>
        <v>0</v>
      </c>
      <c r="G217" s="92" t="str">
        <f>IF('CONT. ESTOQUE'!$B217&lt;&gt;"",IF('CONT. ESTOQUE'!$E217=0,"Sem Estoque",IF('CONT. ESTOQUE'!$E217&lt;'CONT. ESTOQUE'!$F217,"Estoque Perigoso","Estoque Confortável")),"")</f>
        <v>Estoque Confortável</v>
      </c>
      <c r="H217" s="93">
        <f>SUMIF(SAÍDAS!$C$7:$C$289,'CONT. ESTOQUE'!$B217,SAÍDAS!$L$7:$L$289)</f>
        <v>0</v>
      </c>
      <c r="I217" s="93">
        <f>SUMIF(ENTRADAS!$C$8:$C$1002,'CONT. ESTOQUE'!$B217,ENTRADAS!$H$7:$H$1002)</f>
        <v>0</v>
      </c>
      <c r="J217" s="94">
        <f>'CONT. ESTOQUE'!$H217-'CONT. ESTOQUE'!$I217</f>
        <v>0</v>
      </c>
    </row>
    <row r="218" spans="2:10" s="144" customFormat="1" ht="15.75" customHeight="1">
      <c r="B218" s="91" t="str">
        <f>PROD!B218</f>
        <v>600-138</v>
      </c>
      <c r="C218" s="92">
        <f>IF('CONT. ESTOQUE'!$B218&lt;&gt;"",SUMIF(ENTRADAS!$C$7:$C$1002,'CONT. ESTOQUE'!$B218,ENTRADAS!$E$7:$E$1002),"")</f>
        <v>2</v>
      </c>
      <c r="D218" s="92">
        <f>IF('CONT. ESTOQUE'!$B218&lt;&gt;"",SUMIF(SAÍDAS!$C$7:$C$800,'CONT. ESTOQUE'!$B218,SAÍDAS!$J$7:$J$800),"")</f>
        <v>0</v>
      </c>
      <c r="E218" s="92">
        <f>IFERROR('CONT. ESTOQUE'!$C218-'CONT. ESTOQUE'!$D218,"")</f>
        <v>2</v>
      </c>
      <c r="F218" s="92">
        <f>IFERROR(VLOOKUP('CONT. ESTOQUE'!$B218,PROD!$B$6:$G$1095,4,0),"")</f>
        <v>0</v>
      </c>
      <c r="G218" s="92" t="str">
        <f>IF('CONT. ESTOQUE'!$B218&lt;&gt;"",IF('CONT. ESTOQUE'!$E218=0,"Sem Estoque",IF('CONT. ESTOQUE'!$E218&lt;'CONT. ESTOQUE'!$F218,"Estoque Perigoso","Estoque Confortável")),"")</f>
        <v>Estoque Confortável</v>
      </c>
      <c r="H218" s="93">
        <f>SUMIF(SAÍDAS!$C$7:$C$289,'CONT. ESTOQUE'!$B218,SAÍDAS!$L$7:$L$289)</f>
        <v>0</v>
      </c>
      <c r="I218" s="93">
        <f>SUMIF(ENTRADAS!$C$8:$C$1002,'CONT. ESTOQUE'!$B218,ENTRADAS!$H$7:$H$1002)</f>
        <v>0</v>
      </c>
      <c r="J218" s="94">
        <f>'CONT. ESTOQUE'!$H218-'CONT. ESTOQUE'!$I218</f>
        <v>0</v>
      </c>
    </row>
    <row r="219" spans="2:10" s="144" customFormat="1" ht="15.75" customHeight="1">
      <c r="B219" s="91" t="str">
        <f>PROD!B219</f>
        <v>600-122</v>
      </c>
      <c r="C219" s="92">
        <f>IF('CONT. ESTOQUE'!$B219&lt;&gt;"",SUMIF(ENTRADAS!$C$7:$C$1002,'CONT. ESTOQUE'!$B219,ENTRADAS!$E$7:$E$1002),"")</f>
        <v>1</v>
      </c>
      <c r="D219" s="92">
        <f>IF('CONT. ESTOQUE'!$B219&lt;&gt;"",SUMIF(SAÍDAS!$C$7:$C$800,'CONT. ESTOQUE'!$B219,SAÍDAS!$J$7:$J$800),"")</f>
        <v>0</v>
      </c>
      <c r="E219" s="92">
        <f>IFERROR('CONT. ESTOQUE'!$C219-'CONT. ESTOQUE'!$D219,"")</f>
        <v>1</v>
      </c>
      <c r="F219" s="92">
        <f>IFERROR(VLOOKUP('CONT. ESTOQUE'!$B219,PROD!$B$6:$G$1095,4,0),"")</f>
        <v>0</v>
      </c>
      <c r="G219" s="92" t="str">
        <f>IF('CONT. ESTOQUE'!$B219&lt;&gt;"",IF('CONT. ESTOQUE'!$E219=0,"Sem Estoque",IF('CONT. ESTOQUE'!$E219&lt;'CONT. ESTOQUE'!$F219,"Estoque Perigoso","Estoque Confortável")),"")</f>
        <v>Estoque Confortável</v>
      </c>
      <c r="H219" s="93">
        <f>SUMIF(SAÍDAS!$C$7:$C$289,'CONT. ESTOQUE'!$B219,SAÍDAS!$L$7:$L$289)</f>
        <v>0</v>
      </c>
      <c r="I219" s="93">
        <f>SUMIF(ENTRADAS!$C$8:$C$1002,'CONT. ESTOQUE'!$B219,ENTRADAS!$H$7:$H$1002)</f>
        <v>0</v>
      </c>
      <c r="J219" s="94">
        <f>'CONT. ESTOQUE'!$H219-'CONT. ESTOQUE'!$I219</f>
        <v>0</v>
      </c>
    </row>
    <row r="220" spans="2:10" s="144" customFormat="1" ht="15.75" customHeight="1">
      <c r="B220" s="91" t="str">
        <f>PROD!B220</f>
        <v>-</v>
      </c>
      <c r="C220" s="92">
        <f>IF('CONT. ESTOQUE'!$B220&lt;&gt;"",SUMIF(ENTRADAS!$C$7:$C$1002,'CONT. ESTOQUE'!$B220,ENTRADAS!$E$7:$E$1002),"")</f>
        <v>0</v>
      </c>
      <c r="D220" s="92">
        <f>IF('CONT. ESTOQUE'!$B220&lt;&gt;"",SUMIF(SAÍDAS!$C$7:$C$800,'CONT. ESTOQUE'!$B220,SAÍDAS!$J$7:$J$800),"")</f>
        <v>0</v>
      </c>
      <c r="E220" s="92">
        <f>IFERROR('CONT. ESTOQUE'!$C220-'CONT. ESTOQUE'!$D220,"")</f>
        <v>0</v>
      </c>
      <c r="F220" s="92">
        <f>IFERROR(VLOOKUP('CONT. ESTOQUE'!$B220,PROD!$B$6:$G$1095,4,0),"")</f>
        <v>0</v>
      </c>
      <c r="G220" s="92" t="str">
        <f>IF('CONT. ESTOQUE'!$B220&lt;&gt;"",IF('CONT. ESTOQUE'!$E220=0,"Sem Estoque",IF('CONT. ESTOQUE'!$E220&lt;'CONT. ESTOQUE'!$F220,"Estoque Perigoso","Estoque Confortável")),"")</f>
        <v>Sem Estoque</v>
      </c>
      <c r="H220" s="93">
        <f>SUMIF(SAÍDAS!$C$7:$C$289,'CONT. ESTOQUE'!$B220,SAÍDAS!$L$7:$L$289)</f>
        <v>0</v>
      </c>
      <c r="I220" s="93">
        <f>SUMIF(ENTRADAS!$C$8:$C$1002,'CONT. ESTOQUE'!$B220,ENTRADAS!$H$7:$H$1002)</f>
        <v>0</v>
      </c>
      <c r="J220" s="94">
        <f>'CONT. ESTOQUE'!$H220-'CONT. ESTOQUE'!$I220</f>
        <v>0</v>
      </c>
    </row>
    <row r="221" spans="2:10" s="144" customFormat="1" ht="15.75" customHeight="1">
      <c r="B221" s="120" t="str">
        <f>PROD!B221</f>
        <v>DV-RT4</v>
      </c>
      <c r="C221" s="92">
        <f>IF('CONT. ESTOQUE'!$B221&lt;&gt;"",SUMIF(ENTRADAS!$C$7:$C$1002,'CONT. ESTOQUE'!$B221,ENTRADAS!$E$7:$E$1002),"")</f>
        <v>0</v>
      </c>
      <c r="D221" s="92">
        <f>IF('CONT. ESTOQUE'!$B221&lt;&gt;"",SUMIF(SAÍDAS!$C$7:$C$800,'CONT. ESTOQUE'!$B221,SAÍDAS!$J$7:$J$800),"")</f>
        <v>0</v>
      </c>
      <c r="E221" s="92">
        <f>IFERROR('CONT. ESTOQUE'!$C221-'CONT. ESTOQUE'!$D221,"")</f>
        <v>0</v>
      </c>
      <c r="F221" s="92">
        <f>IFERROR(VLOOKUP('CONT. ESTOQUE'!$B221,PROD!$B$6:$G$1095,4,0),"")</f>
        <v>0</v>
      </c>
      <c r="G221" s="92" t="str">
        <f>IF('CONT. ESTOQUE'!$B221&lt;&gt;"",IF('CONT. ESTOQUE'!$E221=0,"Sem Estoque",IF('CONT. ESTOQUE'!$E221&lt;'CONT. ESTOQUE'!$F221,"Estoque Perigoso","Estoque Confortável")),"")</f>
        <v>Sem Estoque</v>
      </c>
      <c r="H221" s="93">
        <f>SUMIF(SAÍDAS!$C$7:$C$289,'CONT. ESTOQUE'!$B221,SAÍDAS!$L$7:$L$289)</f>
        <v>0</v>
      </c>
      <c r="I221" s="93">
        <f>SUMIF(ENTRADAS!$C$8:$C$1002,'CONT. ESTOQUE'!$B221,ENTRADAS!$H$7:$H$1002)</f>
        <v>0</v>
      </c>
      <c r="J221" s="94">
        <f>'CONT. ESTOQUE'!$H221-'CONT. ESTOQUE'!$I221</f>
        <v>0</v>
      </c>
    </row>
    <row r="222" spans="2:10" s="144" customFormat="1" ht="15.75" customHeight="1">
      <c r="B222" s="91" t="str">
        <f>PROD!B222</f>
        <v>RT4-266</v>
      </c>
      <c r="C222" s="92">
        <f>IF('CONT. ESTOQUE'!$B222&lt;&gt;"",SUMIF(ENTRADAS!$C$7:$C$1002,'CONT. ESTOQUE'!$B222,ENTRADAS!$E$7:$E$1002),"")</f>
        <v>0</v>
      </c>
      <c r="D222" s="92">
        <f>IF('CONT. ESTOQUE'!$B222&lt;&gt;"",SUMIF(SAÍDAS!$C$7:$C$800,'CONT. ESTOQUE'!$B222,SAÍDAS!$J$7:$J$800),"")</f>
        <v>0</v>
      </c>
      <c r="E222" s="92">
        <f>IFERROR('CONT. ESTOQUE'!$C222-'CONT. ESTOQUE'!$D222,"")</f>
        <v>0</v>
      </c>
      <c r="F222" s="92">
        <f>IFERROR(VLOOKUP('CONT. ESTOQUE'!$B222,PROD!$B$6:$G$1095,4,0),"")</f>
        <v>0</v>
      </c>
      <c r="G222" s="92" t="str">
        <f>IF('CONT. ESTOQUE'!$B222&lt;&gt;"",IF('CONT. ESTOQUE'!$E222=0,"Sem Estoque",IF('CONT. ESTOQUE'!$E222&lt;'CONT. ESTOQUE'!$F222,"Estoque Perigoso","Estoque Confortável")),"")</f>
        <v>Sem Estoque</v>
      </c>
      <c r="H222" s="93">
        <f>SUMIF(SAÍDAS!$C$7:$C$289,'CONT. ESTOQUE'!$B222,SAÍDAS!$L$7:$L$289)</f>
        <v>0</v>
      </c>
      <c r="I222" s="93">
        <f>SUMIF(ENTRADAS!$C$8:$C$1002,'CONT. ESTOQUE'!$B222,ENTRADAS!$H$7:$H$1002)</f>
        <v>0</v>
      </c>
      <c r="J222" s="94">
        <f>'CONT. ESTOQUE'!$H222-'CONT. ESTOQUE'!$I222</f>
        <v>0</v>
      </c>
    </row>
    <row r="223" spans="2:10" s="129" customFormat="1" ht="15.75" customHeight="1">
      <c r="B223" s="91" t="str">
        <f>PROD!B223</f>
        <v>-</v>
      </c>
      <c r="C223" s="92">
        <f>IF('CONT. ESTOQUE'!$B223&lt;&gt;"",SUMIF(ENTRADAS!$C$7:$C$1002,'CONT. ESTOQUE'!$B223,ENTRADAS!$E$7:$E$1002),"")</f>
        <v>0</v>
      </c>
      <c r="D223" s="92">
        <f>IF('CONT. ESTOQUE'!$B223&lt;&gt;"",SUMIF(SAÍDAS!$C$7:$C$800,'CONT. ESTOQUE'!$B223,SAÍDAS!$J$7:$J$800),"")</f>
        <v>0</v>
      </c>
      <c r="E223" s="92">
        <f>IFERROR('CONT. ESTOQUE'!$C223-'CONT. ESTOQUE'!$D223,"")</f>
        <v>0</v>
      </c>
      <c r="F223" s="92">
        <f>IFERROR(VLOOKUP('CONT. ESTOQUE'!$B223,PROD!$B$6:$G$1095,4,0),"")</f>
        <v>0</v>
      </c>
      <c r="G223" s="92" t="str">
        <f>IF('CONT. ESTOQUE'!$B223&lt;&gt;"",IF('CONT. ESTOQUE'!$E223=0,"Sem Estoque",IF('CONT. ESTOQUE'!$E223&lt;'CONT. ESTOQUE'!$F223,"Estoque Perigoso","Estoque Confortável")),"")</f>
        <v>Sem Estoque</v>
      </c>
      <c r="H223" s="93">
        <f>SUMIF(SAÍDAS!$C$7:$C$289,'CONT. ESTOQUE'!$B223,SAÍDAS!$L$7:$L$289)</f>
        <v>0</v>
      </c>
      <c r="I223" s="93">
        <f>SUMIF(ENTRADAS!$C$8:$C$1002,'CONT. ESTOQUE'!$B223,ENTRADAS!$H$7:$H$1002)</f>
        <v>0</v>
      </c>
      <c r="J223" s="94">
        <f>'CONT. ESTOQUE'!$H223-'CONT. ESTOQUE'!$I223</f>
        <v>0</v>
      </c>
    </row>
    <row r="224" spans="2:10" s="121" customFormat="1" ht="15.75" customHeight="1">
      <c r="B224" s="120" t="str">
        <f>PROD!B224</f>
        <v>DV-RMB</v>
      </c>
      <c r="C224" s="122">
        <f>IF('CONT. ESTOQUE'!$B224&lt;&gt;"",SUMIF(ENTRADAS!$C$7:$C$1002,'CONT. ESTOQUE'!$B224,ENTRADAS!$E$7:$E$1002),"")</f>
        <v>0</v>
      </c>
      <c r="D224" s="92">
        <f>IF('CONT. ESTOQUE'!$B224&lt;&gt;"",SUMIF(SAÍDAS!$C$7:$C$800,'CONT. ESTOQUE'!$B224,SAÍDAS!$J$7:$J$800),"")</f>
        <v>0</v>
      </c>
      <c r="E224" s="122">
        <f>IFERROR('CONT. ESTOQUE'!$C224-'CONT. ESTOQUE'!$D224,"")</f>
        <v>0</v>
      </c>
      <c r="F224" s="122">
        <f>IFERROR(VLOOKUP('CONT. ESTOQUE'!$B224,PROD!$B$6:$G$1095,4,0),"")</f>
        <v>0</v>
      </c>
      <c r="G224" s="122" t="str">
        <f>IF('CONT. ESTOQUE'!$B224&lt;&gt;"",IF('CONT. ESTOQUE'!$E224=0,"Sem Estoque",IF('CONT. ESTOQUE'!$E224&lt;'CONT. ESTOQUE'!$F224,"Estoque Perigoso","Estoque Confortável")),"")</f>
        <v>Sem Estoque</v>
      </c>
      <c r="H224" s="123">
        <f>SUMIF(SAÍDAS!$C$7:$C$289,'CONT. ESTOQUE'!$B224,SAÍDAS!$L$7:$L$289)</f>
        <v>0</v>
      </c>
      <c r="I224" s="123">
        <f>SUMIF(ENTRADAS!$C$8:$C$1002,'CONT. ESTOQUE'!$B224,ENTRADAS!$H$7:$H$1002)</f>
        <v>0</v>
      </c>
      <c r="J224" s="124">
        <f>'CONT. ESTOQUE'!$H224-'CONT. ESTOQUE'!$I224</f>
        <v>0</v>
      </c>
    </row>
    <row r="225" spans="2:10" s="144" customFormat="1" ht="15.75" customHeight="1">
      <c r="B225" s="91" t="str">
        <f>PROD!B225</f>
        <v>RMB-250</v>
      </c>
      <c r="C225" s="92">
        <f>IF('CONT. ESTOQUE'!$B225&lt;&gt;"",SUMIF(ENTRADAS!$C$7:$C$1002,'CONT. ESTOQUE'!$B225,ENTRADAS!$E$7:$E$1002),"")</f>
        <v>4</v>
      </c>
      <c r="D225" s="92">
        <f>IF('CONT. ESTOQUE'!$B225&lt;&gt;"",SUMIF(SAÍDAS!$C$7:$C$800,'CONT. ESTOQUE'!$B225,SAÍDAS!$J$7:$J$800),"")</f>
        <v>1</v>
      </c>
      <c r="E225" s="92">
        <f>IFERROR('CONT. ESTOQUE'!$C225-'CONT. ESTOQUE'!$D225,"")</f>
        <v>3</v>
      </c>
      <c r="F225" s="92">
        <f>IFERROR(VLOOKUP('CONT. ESTOQUE'!$B225,PROD!$B$6:$G$1095,4,0),"")</f>
        <v>0</v>
      </c>
      <c r="G225" s="92" t="str">
        <f>IF('CONT. ESTOQUE'!$B225&lt;&gt;"",IF('CONT. ESTOQUE'!$E225=0,"Sem Estoque",IF('CONT. ESTOQUE'!$E225&lt;'CONT. ESTOQUE'!$F225,"Estoque Perigoso","Estoque Confortável")),"")</f>
        <v>Estoque Confortável</v>
      </c>
      <c r="H225" s="93">
        <f>SUMIF(SAÍDAS!$C$7:$C$289,'CONT. ESTOQUE'!$B225,SAÍDAS!$L$7:$L$289)</f>
        <v>0</v>
      </c>
      <c r="I225" s="93">
        <f>SUMIF(ENTRADAS!$C$8:$C$1002,'CONT. ESTOQUE'!$B225,ENTRADAS!$H$7:$H$1002)</f>
        <v>0</v>
      </c>
      <c r="J225" s="94">
        <f>'CONT. ESTOQUE'!$H225-'CONT. ESTOQUE'!$I225</f>
        <v>0</v>
      </c>
    </row>
    <row r="226" spans="2:10" s="144" customFormat="1" ht="15.75" customHeight="1">
      <c r="B226" s="91" t="str">
        <f>PROD!B226</f>
        <v>RMB-242</v>
      </c>
      <c r="C226" s="92">
        <f>IF('CONT. ESTOQUE'!$B226&lt;&gt;"",SUMIF(ENTRADAS!$C$7:$C$1002,'CONT. ESTOQUE'!$B226,ENTRADAS!$E$7:$E$1002),"")</f>
        <v>7</v>
      </c>
      <c r="D226" s="92">
        <f>IF('CONT. ESTOQUE'!$B226&lt;&gt;"",SUMIF(SAÍDAS!$C$7:$C$800,'CONT. ESTOQUE'!$B226,SAÍDAS!$J$7:$J$800),"")</f>
        <v>2</v>
      </c>
      <c r="E226" s="92">
        <f>IFERROR('CONT. ESTOQUE'!$C226-'CONT. ESTOQUE'!$D226,"")</f>
        <v>5</v>
      </c>
      <c r="F226" s="92">
        <f>IFERROR(VLOOKUP('CONT. ESTOQUE'!$B226,PROD!$B$6:$G$1095,4,0),"")</f>
        <v>0</v>
      </c>
      <c r="G226" s="92" t="str">
        <f>IF('CONT. ESTOQUE'!$B226&lt;&gt;"",IF('CONT. ESTOQUE'!$E226=0,"Sem Estoque",IF('CONT. ESTOQUE'!$E226&lt;'CONT. ESTOQUE'!$F226,"Estoque Perigoso","Estoque Confortável")),"")</f>
        <v>Estoque Confortável</v>
      </c>
      <c r="H226" s="93">
        <f>SUMIF(SAÍDAS!$C$7:$C$289,'CONT. ESTOQUE'!$B226,SAÍDAS!$L$7:$L$289)</f>
        <v>0</v>
      </c>
      <c r="I226" s="93">
        <f>SUMIF(ENTRADAS!$C$8:$C$1002,'CONT. ESTOQUE'!$B226,ENTRADAS!$H$7:$H$1002)</f>
        <v>0</v>
      </c>
      <c r="J226" s="94">
        <f>'CONT. ESTOQUE'!$H226-'CONT. ESTOQUE'!$I226</f>
        <v>0</v>
      </c>
    </row>
    <row r="227" spans="2:10" s="129" customFormat="1" ht="15.75" customHeight="1">
      <c r="B227" s="91" t="str">
        <f>PROD!B227</f>
        <v>RMB-234</v>
      </c>
      <c r="C227" s="92">
        <f>IF('CONT. ESTOQUE'!$B227&lt;&gt;"",SUMIF(ENTRADAS!$C$7:$C$1002,'CONT. ESTOQUE'!$B227,ENTRADAS!$E$7:$E$1002),"")</f>
        <v>5</v>
      </c>
      <c r="D227" s="92">
        <f>IF('CONT. ESTOQUE'!$B227&lt;&gt;"",SUMIF(SAÍDAS!$C$7:$C$800,'CONT. ESTOQUE'!$B227,SAÍDAS!$J$7:$J$800),"")</f>
        <v>0</v>
      </c>
      <c r="E227" s="92">
        <f>IFERROR('CONT. ESTOQUE'!$C227-'CONT. ESTOQUE'!$D227,"")</f>
        <v>5</v>
      </c>
      <c r="F227" s="92">
        <f>IFERROR(VLOOKUP('CONT. ESTOQUE'!$B227,PROD!$B$6:$G$1095,4,0),"")</f>
        <v>0</v>
      </c>
      <c r="G227" s="92" t="str">
        <f>IF('CONT. ESTOQUE'!$B227&lt;&gt;"",IF('CONT. ESTOQUE'!$E227=0,"Sem Estoque",IF('CONT. ESTOQUE'!$E227&lt;'CONT. ESTOQUE'!$F227,"Estoque Perigoso","Estoque Confortável")),"")</f>
        <v>Estoque Confortável</v>
      </c>
      <c r="H227" s="93">
        <f>SUMIF(SAÍDAS!$C$7:$C$289,'CONT. ESTOQUE'!$B227,SAÍDAS!$L$7:$L$289)</f>
        <v>0</v>
      </c>
      <c r="I227" s="93">
        <f>SUMIF(ENTRADAS!$C$8:$C$1002,'CONT. ESTOQUE'!$B227,ENTRADAS!$H$7:$H$1002)</f>
        <v>0</v>
      </c>
      <c r="J227" s="94">
        <f>'CONT. ESTOQUE'!$H227-'CONT. ESTOQUE'!$I227</f>
        <v>0</v>
      </c>
    </row>
    <row r="228" spans="2:10" s="129" customFormat="1" ht="15.75" customHeight="1">
      <c r="B228" s="91" t="str">
        <f>PROD!B228</f>
        <v>RMB-226</v>
      </c>
      <c r="C228" s="92">
        <f>IF('CONT. ESTOQUE'!$B228&lt;&gt;"",SUMIF(ENTRADAS!$C$7:$C$1002,'CONT. ESTOQUE'!$B228,ENTRADAS!$E$7:$E$1002),"")</f>
        <v>3</v>
      </c>
      <c r="D228" s="92">
        <f>IF('CONT. ESTOQUE'!$B228&lt;&gt;"",SUMIF(SAÍDAS!$C$7:$C$800,'CONT. ESTOQUE'!$B228,SAÍDAS!$J$7:$J$800),"")</f>
        <v>0</v>
      </c>
      <c r="E228" s="92">
        <f>IFERROR('CONT. ESTOQUE'!$C228-'CONT. ESTOQUE'!$D228,"")</f>
        <v>3</v>
      </c>
      <c r="F228" s="92">
        <f>IFERROR(VLOOKUP('CONT. ESTOQUE'!$B228,PROD!$B$6:$G$1095,4,0),"")</f>
        <v>0</v>
      </c>
      <c r="G228" s="92" t="str">
        <f>IF('CONT. ESTOQUE'!$B228&lt;&gt;"",IF('CONT. ESTOQUE'!$E228=0,"Sem Estoque",IF('CONT. ESTOQUE'!$E228&lt;'CONT. ESTOQUE'!$F228,"Estoque Perigoso","Estoque Confortável")),"")</f>
        <v>Estoque Confortável</v>
      </c>
      <c r="H228" s="93">
        <f>SUMIF(SAÍDAS!$C$7:$C$289,'CONT. ESTOQUE'!$B228,SAÍDAS!$L$7:$L$289)</f>
        <v>0</v>
      </c>
      <c r="I228" s="93">
        <f>SUMIF(ENTRADAS!$C$8:$C$1002,'CONT. ESTOQUE'!$B228,ENTRADAS!$H$7:$H$1002)</f>
        <v>0</v>
      </c>
      <c r="J228" s="94">
        <f>'CONT. ESTOQUE'!$H228-'CONT. ESTOQUE'!$I228</f>
        <v>0</v>
      </c>
    </row>
    <row r="229" spans="2:10" s="129" customFormat="1" ht="15.75" customHeight="1">
      <c r="B229" s="91" t="str">
        <f>PROD!B229</f>
        <v>-</v>
      </c>
      <c r="C229" s="92">
        <f>IF('CONT. ESTOQUE'!$B229&lt;&gt;"",SUMIF(ENTRADAS!$C$7:$C$1002,'CONT. ESTOQUE'!$B229,ENTRADAS!$E$7:$E$1002),"")</f>
        <v>0</v>
      </c>
      <c r="D229" s="92">
        <f>IF('CONT. ESTOQUE'!$B229&lt;&gt;"",SUMIF(SAÍDAS!$C$7:$C$800,'CONT. ESTOQUE'!$B229,SAÍDAS!$J$7:$J$800),"")</f>
        <v>0</v>
      </c>
      <c r="E229" s="92">
        <f>IFERROR('CONT. ESTOQUE'!$C229-'CONT. ESTOQUE'!$D229,"")</f>
        <v>0</v>
      </c>
      <c r="F229" s="92">
        <f>IFERROR(VLOOKUP('CONT. ESTOQUE'!$B229,PROD!$B$6:$G$1095,4,0),"")</f>
        <v>0</v>
      </c>
      <c r="G229" s="92" t="str">
        <f>IF('CONT. ESTOQUE'!$B229&lt;&gt;"",IF('CONT. ESTOQUE'!$E229=0,"Sem Estoque",IF('CONT. ESTOQUE'!$E229&lt;'CONT. ESTOQUE'!$F229,"Estoque Perigoso","Estoque Confortável")),"")</f>
        <v>Sem Estoque</v>
      </c>
      <c r="H229" s="93">
        <f>SUMIF(SAÍDAS!$C$7:$C$289,'CONT. ESTOQUE'!$B229,SAÍDAS!$L$7:$L$289)</f>
        <v>0</v>
      </c>
      <c r="I229" s="93">
        <f>SUMIF(ENTRADAS!$C$8:$C$1002,'CONT. ESTOQUE'!$B229,ENTRADAS!$H$7:$H$1002)</f>
        <v>0</v>
      </c>
      <c r="J229" s="94">
        <f>'CONT. ESTOQUE'!$H229-'CONT. ESTOQUE'!$I229</f>
        <v>0</v>
      </c>
    </row>
    <row r="230" spans="2:10" s="121" customFormat="1" ht="15.75" customHeight="1">
      <c r="B230" s="120" t="str">
        <f>PROD!B230</f>
        <v>DV-MM</v>
      </c>
      <c r="C230" s="122">
        <f>IF('CONT. ESTOQUE'!$B230&lt;&gt;"",SUMIF(ENTRADAS!$C$7:$C$1002,'CONT. ESTOQUE'!$B230,ENTRADAS!$E$7:$E$1002),"")</f>
        <v>0</v>
      </c>
      <c r="D230" s="92">
        <f>IF('CONT. ESTOQUE'!$B230&lt;&gt;"",SUMIF(SAÍDAS!$C$7:$C$800,'CONT. ESTOQUE'!$B230,SAÍDAS!$J$7:$J$800),"")</f>
        <v>0</v>
      </c>
      <c r="E230" s="122">
        <f>IFERROR('CONT. ESTOQUE'!$C230-'CONT. ESTOQUE'!$D230,"")</f>
        <v>0</v>
      </c>
      <c r="F230" s="122">
        <f>IFERROR(VLOOKUP('CONT. ESTOQUE'!$B230,PROD!$B$6:$G$1095,4,0),"")</f>
        <v>0</v>
      </c>
      <c r="G230" s="122" t="str">
        <f>IF('CONT. ESTOQUE'!$B230&lt;&gt;"",IF('CONT. ESTOQUE'!$E230=0,"Sem Estoque",IF('CONT. ESTOQUE'!$E230&lt;'CONT. ESTOQUE'!$F230,"Estoque Perigoso","Estoque Confortável")),"")</f>
        <v>Sem Estoque</v>
      </c>
      <c r="H230" s="123">
        <f>SUMIF(SAÍDAS!$C$7:$C$289,'CONT. ESTOQUE'!$B230,SAÍDAS!$L$7:$L$289)</f>
        <v>0</v>
      </c>
      <c r="I230" s="123">
        <f>SUMIF(ENTRADAS!$C$8:$C$1002,'CONT. ESTOQUE'!$B230,ENTRADAS!$H$7:$H$1002)</f>
        <v>0</v>
      </c>
      <c r="J230" s="124">
        <f>'CONT. ESTOQUE'!$H230-'CONT. ESTOQUE'!$I230</f>
        <v>0</v>
      </c>
    </row>
    <row r="231" spans="2:10" s="129" customFormat="1" ht="15.75" customHeight="1">
      <c r="B231" s="91" t="str">
        <f>PROD!B231</f>
        <v>MM-250</v>
      </c>
      <c r="C231" s="92">
        <f>IF('CONT. ESTOQUE'!$B231&lt;&gt;"",SUMIF(ENTRADAS!$C$7:$C$1002,'CONT. ESTOQUE'!$B231,ENTRADAS!$E$7:$E$1002),"")</f>
        <v>4</v>
      </c>
      <c r="D231" s="92">
        <f>IF('CONT. ESTOQUE'!$B231&lt;&gt;"",SUMIF(SAÍDAS!$C$7:$C$800,'CONT. ESTOQUE'!$B231,SAÍDAS!$J$7:$J$800),"")</f>
        <v>0</v>
      </c>
      <c r="E231" s="92">
        <f>IFERROR('CONT. ESTOQUE'!$C231-'CONT. ESTOQUE'!$D231,"")</f>
        <v>4</v>
      </c>
      <c r="F231" s="92">
        <f>IFERROR(VLOOKUP('CONT. ESTOQUE'!$B231,PROD!$B$6:$G$1095,4,0),"")</f>
        <v>0</v>
      </c>
      <c r="G231" s="92" t="str">
        <f>IF('CONT. ESTOQUE'!$B231&lt;&gt;"",IF('CONT. ESTOQUE'!$E231=0,"Sem Estoque",IF('CONT. ESTOQUE'!$E231&lt;'CONT. ESTOQUE'!$F231,"Estoque Perigoso","Estoque Confortável")),"")</f>
        <v>Estoque Confortável</v>
      </c>
      <c r="H231" s="93">
        <f>SUMIF(SAÍDAS!$C$7:$C$289,'CONT. ESTOQUE'!$B231,SAÍDAS!$L$7:$L$289)</f>
        <v>0</v>
      </c>
      <c r="I231" s="93">
        <f>SUMIF(ENTRADAS!$C$8:$C$1002,'CONT. ESTOQUE'!$B231,ENTRADAS!$H$7:$H$1002)</f>
        <v>0</v>
      </c>
      <c r="J231" s="94">
        <f>'CONT. ESTOQUE'!$H231-'CONT. ESTOQUE'!$I231</f>
        <v>0</v>
      </c>
    </row>
    <row r="232" spans="2:10" s="129" customFormat="1" ht="15.75" customHeight="1">
      <c r="B232" s="91" t="str">
        <f>PROD!B232</f>
        <v>MM-242</v>
      </c>
      <c r="C232" s="92">
        <f>IF('CONT. ESTOQUE'!$B232&lt;&gt;"",SUMIF(ENTRADAS!$C$7:$C$1002,'CONT. ESTOQUE'!$B232,ENTRADAS!$E$7:$E$1002),"")</f>
        <v>4</v>
      </c>
      <c r="D232" s="92">
        <f>IF('CONT. ESTOQUE'!$B232&lt;&gt;"",SUMIF(SAÍDAS!$C$7:$C$800,'CONT. ESTOQUE'!$B232,SAÍDAS!$J$7:$J$800),"")</f>
        <v>0</v>
      </c>
      <c r="E232" s="92">
        <f>IFERROR('CONT. ESTOQUE'!$C232-'CONT. ESTOQUE'!$D232,"")</f>
        <v>4</v>
      </c>
      <c r="F232" s="92">
        <f>IFERROR(VLOOKUP('CONT. ESTOQUE'!$B232,PROD!$B$6:$G$1095,4,0),"")</f>
        <v>0</v>
      </c>
      <c r="G232" s="92" t="str">
        <f>IF('CONT. ESTOQUE'!$B232&lt;&gt;"",IF('CONT. ESTOQUE'!$E232=0,"Sem Estoque",IF('CONT. ESTOQUE'!$E232&lt;'CONT. ESTOQUE'!$F232,"Estoque Perigoso","Estoque Confortável")),"")</f>
        <v>Estoque Confortável</v>
      </c>
      <c r="H232" s="93">
        <f>SUMIF(SAÍDAS!$C$7:$C$289,'CONT. ESTOQUE'!$B232,SAÍDAS!$L$7:$L$289)</f>
        <v>0</v>
      </c>
      <c r="I232" s="93">
        <f>SUMIF(ENTRADAS!$C$8:$C$1002,'CONT. ESTOQUE'!$B232,ENTRADAS!$H$7:$H$1002)</f>
        <v>0</v>
      </c>
      <c r="J232" s="94">
        <f>'CONT. ESTOQUE'!$H232-'CONT. ESTOQUE'!$I232</f>
        <v>0</v>
      </c>
    </row>
    <row r="233" spans="2:10" s="144" customFormat="1" ht="15.75" customHeight="1">
      <c r="B233" s="91" t="str">
        <f>PROD!B233</f>
        <v>-</v>
      </c>
      <c r="C233" s="92">
        <f>IF('CONT. ESTOQUE'!$B233&lt;&gt;"",SUMIF(ENTRADAS!$C$7:$C$1002,'CONT. ESTOQUE'!$B233,ENTRADAS!$E$7:$E$1002),"")</f>
        <v>0</v>
      </c>
      <c r="D233" s="92">
        <f>IF('CONT. ESTOQUE'!$B233&lt;&gt;"",SUMIF(SAÍDAS!$C$7:$C$800,'CONT. ESTOQUE'!$B233,SAÍDAS!$J$7:$J$800),"")</f>
        <v>0</v>
      </c>
      <c r="E233" s="92">
        <f>IFERROR('CONT. ESTOQUE'!$C233-'CONT. ESTOQUE'!$D233,"")</f>
        <v>0</v>
      </c>
      <c r="F233" s="92">
        <f>IFERROR(VLOOKUP('CONT. ESTOQUE'!$B233,PROD!$B$6:$G$1095,4,0),"")</f>
        <v>0</v>
      </c>
      <c r="G233" s="92" t="str">
        <f>IF('CONT. ESTOQUE'!$B233&lt;&gt;"",IF('CONT. ESTOQUE'!$E233=0,"Sem Estoque",IF('CONT. ESTOQUE'!$E233&lt;'CONT. ESTOQUE'!$F233,"Estoque Perigoso","Estoque Confortável")),"")</f>
        <v>Sem Estoque</v>
      </c>
      <c r="H233" s="93">
        <f>SUMIF(SAÍDAS!$C$7:$C$289,'CONT. ESTOQUE'!$B233,SAÍDAS!$L$7:$L$289)</f>
        <v>0</v>
      </c>
      <c r="I233" s="93">
        <f>SUMIF(ENTRADAS!$C$8:$C$1002,'CONT. ESTOQUE'!$B233,ENTRADAS!$H$7:$H$1002)</f>
        <v>0</v>
      </c>
      <c r="J233" s="94">
        <f>'CONT. ESTOQUE'!$H233-'CONT. ESTOQUE'!$I233</f>
        <v>0</v>
      </c>
    </row>
    <row r="234" spans="2:10" s="144" customFormat="1" ht="15.75" customHeight="1">
      <c r="B234" s="120" t="str">
        <f>PROD!B234</f>
        <v>DV-UM3B</v>
      </c>
      <c r="C234" s="92">
        <f>IF('CONT. ESTOQUE'!$B234&lt;&gt;"",SUMIF(ENTRADAS!$C$7:$C$1002,'CONT. ESTOQUE'!$B234,ENTRADAS!$E$7:$E$1002),"")</f>
        <v>0</v>
      </c>
      <c r="D234" s="92">
        <f>IF('CONT. ESTOQUE'!$B234&lt;&gt;"",SUMIF(SAÍDAS!$C$7:$C$800,'CONT. ESTOQUE'!$B234,SAÍDAS!$J$7:$J$800),"")</f>
        <v>0</v>
      </c>
      <c r="E234" s="92">
        <f>IFERROR('CONT. ESTOQUE'!$C234-'CONT. ESTOQUE'!$D234,"")</f>
        <v>0</v>
      </c>
      <c r="F234" s="92">
        <f>IFERROR(VLOOKUP('CONT. ESTOQUE'!$B234,PROD!$B$6:$G$1095,4,0),"")</f>
        <v>0</v>
      </c>
      <c r="G234" s="92" t="str">
        <f>IF('CONT. ESTOQUE'!$B234&lt;&gt;"",IF('CONT. ESTOQUE'!$E234=0,"Sem Estoque",IF('CONT. ESTOQUE'!$E234&lt;'CONT. ESTOQUE'!$F234,"Estoque Perigoso","Estoque Confortável")),"")</f>
        <v>Sem Estoque</v>
      </c>
      <c r="H234" s="93">
        <f>SUMIF(SAÍDAS!$C$7:$C$289,'CONT. ESTOQUE'!$B234,SAÍDAS!$L$7:$L$289)</f>
        <v>0</v>
      </c>
      <c r="I234" s="93">
        <f>SUMIF(ENTRADAS!$C$8:$C$1002,'CONT. ESTOQUE'!$B234,ENTRADAS!$H$7:$H$1002)</f>
        <v>0</v>
      </c>
      <c r="J234" s="94">
        <f>'CONT. ESTOQUE'!$H234-'CONT. ESTOQUE'!$I234</f>
        <v>0</v>
      </c>
    </row>
    <row r="235" spans="2:10" s="144" customFormat="1" ht="15.75" customHeight="1">
      <c r="B235" s="91" t="str">
        <f>PROD!B235</f>
        <v>UM3B-250</v>
      </c>
      <c r="C235" s="92">
        <f>IF('CONT. ESTOQUE'!$B235&lt;&gt;"",SUMIF(ENTRADAS!$C$7:$C$1002,'CONT. ESTOQUE'!$B235,ENTRADAS!$E$7:$E$1002),"")</f>
        <v>5</v>
      </c>
      <c r="D235" s="92">
        <f>IF('CONT. ESTOQUE'!$B235&lt;&gt;"",SUMIF(SAÍDAS!$C$7:$C$800,'CONT. ESTOQUE'!$B235,SAÍDAS!$J$7:$J$800),"")</f>
        <v>0</v>
      </c>
      <c r="E235" s="92">
        <f>IFERROR('CONT. ESTOQUE'!$C235-'CONT. ESTOQUE'!$D235,"")</f>
        <v>5</v>
      </c>
      <c r="F235" s="92">
        <f>IFERROR(VLOOKUP('CONT. ESTOQUE'!$B235,PROD!$B$6:$G$1095,4,0),"")</f>
        <v>0</v>
      </c>
      <c r="G235" s="92" t="str">
        <f>IF('CONT. ESTOQUE'!$B235&lt;&gt;"",IF('CONT. ESTOQUE'!$E235=0,"Sem Estoque",IF('CONT. ESTOQUE'!$E235&lt;'CONT. ESTOQUE'!$F235,"Estoque Perigoso","Estoque Confortável")),"")</f>
        <v>Estoque Confortável</v>
      </c>
      <c r="H235" s="93">
        <f>SUMIF(SAÍDAS!$C$7:$C$289,'CONT. ESTOQUE'!$B235,SAÍDAS!$L$7:$L$289)</f>
        <v>0</v>
      </c>
      <c r="I235" s="93">
        <f>SUMIF(ENTRADAS!$C$8:$C$1002,'CONT. ESTOQUE'!$B235,ENTRADAS!$H$7:$H$1002)</f>
        <v>0</v>
      </c>
      <c r="J235" s="94">
        <f>'CONT. ESTOQUE'!$H235-'CONT. ESTOQUE'!$I235</f>
        <v>0</v>
      </c>
    </row>
    <row r="236" spans="2:10" s="144" customFormat="1" ht="15.75" customHeight="1">
      <c r="B236" s="91" t="str">
        <f>PROD!B236</f>
        <v>UM3B-242</v>
      </c>
      <c r="C236" s="92">
        <f>IF('CONT. ESTOQUE'!$B236&lt;&gt;"",SUMIF(ENTRADAS!$C$7:$C$1002,'CONT. ESTOQUE'!$B236,ENTRADAS!$E$7:$E$1002),"")</f>
        <v>8</v>
      </c>
      <c r="D236" s="92">
        <f>IF('CONT. ESTOQUE'!$B236&lt;&gt;"",SUMIF(SAÍDAS!$C$7:$C$800,'CONT. ESTOQUE'!$B236,SAÍDAS!$J$7:$J$800),"")</f>
        <v>4</v>
      </c>
      <c r="E236" s="92">
        <f>IFERROR('CONT. ESTOQUE'!$C236-'CONT. ESTOQUE'!$D236,"")</f>
        <v>4</v>
      </c>
      <c r="F236" s="92">
        <f>IFERROR(VLOOKUP('CONT. ESTOQUE'!$B236,PROD!$B$6:$G$1095,4,0),"")</f>
        <v>0</v>
      </c>
      <c r="G236" s="92" t="str">
        <f>IF('CONT. ESTOQUE'!$B236&lt;&gt;"",IF('CONT. ESTOQUE'!$E236=0,"Sem Estoque",IF('CONT. ESTOQUE'!$E236&lt;'CONT. ESTOQUE'!$F236,"Estoque Perigoso","Estoque Confortável")),"")</f>
        <v>Estoque Confortável</v>
      </c>
      <c r="H236" s="93">
        <f>SUMIF(SAÍDAS!$C$7:$C$289,'CONT. ESTOQUE'!$B236,SAÍDAS!$L$7:$L$289)</f>
        <v>0</v>
      </c>
      <c r="I236" s="93">
        <f>SUMIF(ENTRADAS!$C$8:$C$1002,'CONT. ESTOQUE'!$B236,ENTRADAS!$H$7:$H$1002)</f>
        <v>0</v>
      </c>
      <c r="J236" s="94">
        <f>'CONT. ESTOQUE'!$H236-'CONT. ESTOQUE'!$I236</f>
        <v>0</v>
      </c>
    </row>
    <row r="237" spans="2:10" s="144" customFormat="1" ht="15.75" customHeight="1">
      <c r="B237" s="91" t="str">
        <f>PROD!B237</f>
        <v>UM3B-234</v>
      </c>
      <c r="C237" s="92">
        <f>IF('CONT. ESTOQUE'!$B237&lt;&gt;"",SUMIF(ENTRADAS!$C$7:$C$1002,'CONT. ESTOQUE'!$B237,ENTRADAS!$E$7:$E$1002),"")</f>
        <v>6</v>
      </c>
      <c r="D237" s="92">
        <f>IF('CONT. ESTOQUE'!$B237&lt;&gt;"",SUMIF(SAÍDAS!$C$7:$C$800,'CONT. ESTOQUE'!$B237,SAÍDAS!$J$7:$J$800),"")</f>
        <v>0</v>
      </c>
      <c r="E237" s="92">
        <f>IFERROR('CONT. ESTOQUE'!$C237-'CONT. ESTOQUE'!$D237,"")</f>
        <v>6</v>
      </c>
      <c r="F237" s="92">
        <f>IFERROR(VLOOKUP('CONT. ESTOQUE'!$B237,PROD!$B$6:$G$1095,4,0),"")</f>
        <v>0</v>
      </c>
      <c r="G237" s="92" t="str">
        <f>IF('CONT. ESTOQUE'!$B237&lt;&gt;"",IF('CONT. ESTOQUE'!$E237=0,"Sem Estoque",IF('CONT. ESTOQUE'!$E237&lt;'CONT. ESTOQUE'!$F237,"Estoque Perigoso","Estoque Confortável")),"")</f>
        <v>Estoque Confortável</v>
      </c>
      <c r="H237" s="93">
        <f>SUMIF(SAÍDAS!$C$7:$C$289,'CONT. ESTOQUE'!$B237,SAÍDAS!$L$7:$L$289)</f>
        <v>0</v>
      </c>
      <c r="I237" s="93">
        <f>SUMIF(ENTRADAS!$C$8:$C$1002,'CONT. ESTOQUE'!$B237,ENTRADAS!$H$7:$H$1002)</f>
        <v>0</v>
      </c>
      <c r="J237" s="94">
        <f>'CONT. ESTOQUE'!$H237-'CONT. ESTOQUE'!$I237</f>
        <v>0</v>
      </c>
    </row>
    <row r="238" spans="2:10" s="144" customFormat="1" ht="15.75" customHeight="1">
      <c r="B238" s="91" t="str">
        <f>PROD!B238</f>
        <v>UM3B-226</v>
      </c>
      <c r="C238" s="92">
        <f>IF('CONT. ESTOQUE'!$B238&lt;&gt;"",SUMIF(ENTRADAS!$C$7:$C$1002,'CONT. ESTOQUE'!$B238,ENTRADAS!$E$7:$E$1002),"")</f>
        <v>3</v>
      </c>
      <c r="D238" s="92">
        <f>IF('CONT. ESTOQUE'!$B238&lt;&gt;"",SUMIF(SAÍDAS!$C$7:$C$800,'CONT. ESTOQUE'!$B238,SAÍDAS!$J$7:$J$800),"")</f>
        <v>0</v>
      </c>
      <c r="E238" s="92">
        <f>IFERROR('CONT. ESTOQUE'!$C238-'CONT. ESTOQUE'!$D238,"")</f>
        <v>3</v>
      </c>
      <c r="F238" s="92">
        <f>IFERROR(VLOOKUP('CONT. ESTOQUE'!$B238,PROD!$B$6:$G$1095,4,0),"")</f>
        <v>0</v>
      </c>
      <c r="G238" s="92" t="str">
        <f>IF('CONT. ESTOQUE'!$B238&lt;&gt;"",IF('CONT. ESTOQUE'!$E238=0,"Sem Estoque",IF('CONT. ESTOQUE'!$E238&lt;'CONT. ESTOQUE'!$F238,"Estoque Perigoso","Estoque Confortável")),"")</f>
        <v>Estoque Confortável</v>
      </c>
      <c r="H238" s="93">
        <f>SUMIF(SAÍDAS!$C$7:$C$289,'CONT. ESTOQUE'!$B238,SAÍDAS!$L$7:$L$289)</f>
        <v>0</v>
      </c>
      <c r="I238" s="93">
        <f>SUMIF(ENTRADAS!$C$8:$C$1002,'CONT. ESTOQUE'!$B238,ENTRADAS!$H$7:$H$1002)</f>
        <v>0</v>
      </c>
      <c r="J238" s="94">
        <f>'CONT. ESTOQUE'!$H238-'CONT. ESTOQUE'!$I238</f>
        <v>0</v>
      </c>
    </row>
    <row r="239" spans="2:10" s="144" customFormat="1" ht="15.75" customHeight="1">
      <c r="B239" s="91" t="str">
        <f>PROD!B239</f>
        <v>UM3B-218</v>
      </c>
      <c r="C239" s="92">
        <f>IF('CONT. ESTOQUE'!$B239&lt;&gt;"",SUMIF(ENTRADAS!$C$7:$C$1002,'CONT. ESTOQUE'!$B239,ENTRADAS!$E$7:$E$1002),"")</f>
        <v>3</v>
      </c>
      <c r="D239" s="92">
        <f>IF('CONT. ESTOQUE'!$B239&lt;&gt;"",SUMIF(SAÍDAS!$C$7:$C$800,'CONT. ESTOQUE'!$B239,SAÍDAS!$J$7:$J$800),"")</f>
        <v>0</v>
      </c>
      <c r="E239" s="92">
        <f>IFERROR('CONT. ESTOQUE'!$C239-'CONT. ESTOQUE'!$D239,"")</f>
        <v>3</v>
      </c>
      <c r="F239" s="92">
        <f>IFERROR(VLOOKUP('CONT. ESTOQUE'!$B239,PROD!$B$6:$G$1095,4,0),"")</f>
        <v>0</v>
      </c>
      <c r="G239" s="92" t="str">
        <f>IF('CONT. ESTOQUE'!$B239&lt;&gt;"",IF('CONT. ESTOQUE'!$E239=0,"Sem Estoque",IF('CONT. ESTOQUE'!$E239&lt;'CONT. ESTOQUE'!$F239,"Estoque Perigoso","Estoque Confortável")),"")</f>
        <v>Estoque Confortável</v>
      </c>
      <c r="H239" s="93">
        <f>SUMIF(SAÍDAS!$C$7:$C$289,'CONT. ESTOQUE'!$B239,SAÍDAS!$L$7:$L$289)</f>
        <v>0</v>
      </c>
      <c r="I239" s="93">
        <f>SUMIF(ENTRADAS!$C$8:$C$1002,'CONT. ESTOQUE'!$B239,ENTRADAS!$H$7:$H$1002)</f>
        <v>0</v>
      </c>
      <c r="J239" s="94">
        <f>'CONT. ESTOQUE'!$H239-'CONT. ESTOQUE'!$I239</f>
        <v>0</v>
      </c>
    </row>
    <row r="240" spans="2:10" s="145" customFormat="1" ht="15.75" customHeight="1">
      <c r="B240" s="91" t="str">
        <f>PROD!B240</f>
        <v>-</v>
      </c>
      <c r="C240" s="92">
        <f>IF('CONT. ESTOQUE'!$B240&lt;&gt;"",SUMIF(ENTRADAS!$C$7:$C$1002,'CONT. ESTOQUE'!$B240,ENTRADAS!$E$7:$E$1002),"")</f>
        <v>0</v>
      </c>
      <c r="D240" s="92">
        <f>IF('CONT. ESTOQUE'!$B240&lt;&gt;"",SUMIF(SAÍDAS!$C$7:$C$800,'CONT. ESTOQUE'!$B240,SAÍDAS!$J$7:$J$800),"")</f>
        <v>0</v>
      </c>
      <c r="E240" s="92">
        <f>IFERROR('CONT. ESTOQUE'!$C240-'CONT. ESTOQUE'!$D240,"")</f>
        <v>0</v>
      </c>
      <c r="F240" s="92">
        <f>IFERROR(VLOOKUP('CONT. ESTOQUE'!$B240,PROD!$B$6:$G$1095,4,0),"")</f>
        <v>0</v>
      </c>
      <c r="G240" s="92" t="str">
        <f>IF('CONT. ESTOQUE'!$B240&lt;&gt;"",IF('CONT. ESTOQUE'!$E240=0,"Sem Estoque",IF('CONT. ESTOQUE'!$E240&lt;'CONT. ESTOQUE'!$F240,"Estoque Perigoso","Estoque Confortável")),"")</f>
        <v>Sem Estoque</v>
      </c>
      <c r="H240" s="93">
        <f>SUMIF(SAÍDAS!$C$7:$C$289,'CONT. ESTOQUE'!$B240,SAÍDAS!$L$7:$L$289)</f>
        <v>0</v>
      </c>
      <c r="I240" s="93">
        <f>SUMIF(ENTRADAS!$C$8:$C$1002,'CONT. ESTOQUE'!$B240,ENTRADAS!$H$7:$H$1002)</f>
        <v>0</v>
      </c>
      <c r="J240" s="94">
        <f>'CONT. ESTOQUE'!$H240-'CONT. ESTOQUE'!$I240</f>
        <v>0</v>
      </c>
    </row>
    <row r="241" spans="2:10" s="145" customFormat="1" ht="15.75" customHeight="1">
      <c r="B241" s="120" t="str">
        <f>PROD!B241</f>
        <v>VT840</v>
      </c>
      <c r="C241" s="92">
        <f>IF('CONT. ESTOQUE'!$B241&lt;&gt;"",SUMIF(ENTRADAS!$C$7:$C$1002,'CONT. ESTOQUE'!$B241,ENTRADAS!$E$7:$E$1002),"")</f>
        <v>0</v>
      </c>
      <c r="D241" s="92">
        <f>IF('CONT. ESTOQUE'!$B241&lt;&gt;"",SUMIF(SAÍDAS!$C$7:$C$800,'CONT. ESTOQUE'!$B241,SAÍDAS!$J$7:$J$800),"")</f>
        <v>0</v>
      </c>
      <c r="E241" s="92">
        <f>IFERROR('CONT. ESTOQUE'!$C241-'CONT. ESTOQUE'!$D241,"")</f>
        <v>0</v>
      </c>
      <c r="F241" s="92">
        <f>IFERROR(VLOOKUP('CONT. ESTOQUE'!$B241,PROD!$B$6:$G$1095,4,0),"")</f>
        <v>0</v>
      </c>
      <c r="G241" s="92" t="str">
        <f>IF('CONT. ESTOQUE'!$B241&lt;&gt;"",IF('CONT. ESTOQUE'!$E241=0,"Sem Estoque",IF('CONT. ESTOQUE'!$E241&lt;'CONT. ESTOQUE'!$F241,"Estoque Perigoso","Estoque Confortável")),"")</f>
        <v>Sem Estoque</v>
      </c>
      <c r="H241" s="93">
        <f>SUMIF(SAÍDAS!$C$7:$C$289,'CONT. ESTOQUE'!$B241,SAÍDAS!$L$7:$L$289)</f>
        <v>0</v>
      </c>
      <c r="I241" s="93">
        <f>SUMIF(ENTRADAS!$C$8:$C$1002,'CONT. ESTOQUE'!$B241,ENTRADAS!$H$7:$H$1002)</f>
        <v>0</v>
      </c>
      <c r="J241" s="94">
        <f>'CONT. ESTOQUE'!$H241-'CONT. ESTOQUE'!$I241</f>
        <v>0</v>
      </c>
    </row>
    <row r="242" spans="2:10" s="145" customFormat="1" ht="15.75" customHeight="1">
      <c r="B242" s="91" t="str">
        <f>PROD!B242</f>
        <v>840-245</v>
      </c>
      <c r="C242" s="92">
        <f>IF('CONT. ESTOQUE'!$B242&lt;&gt;"",SUMIF(ENTRADAS!$C$7:$C$1002,'CONT. ESTOQUE'!$B242,ENTRADAS!$E$7:$E$1002),"")</f>
        <v>2</v>
      </c>
      <c r="D242" s="92">
        <f>IF('CONT. ESTOQUE'!$B242&lt;&gt;"",SUMIF(SAÍDAS!$C$7:$C$800,'CONT. ESTOQUE'!$B242,SAÍDAS!$J$7:$J$800),"")</f>
        <v>1</v>
      </c>
      <c r="E242" s="92">
        <f>IFERROR('CONT. ESTOQUE'!$C242-'CONT. ESTOQUE'!$D242,"")</f>
        <v>1</v>
      </c>
      <c r="F242" s="92">
        <f>IFERROR(VLOOKUP('CONT. ESTOQUE'!$B242,PROD!$B$6:$G$1095,4,0),"")</f>
        <v>0</v>
      </c>
      <c r="G242" s="92" t="str">
        <f>IF('CONT. ESTOQUE'!$B242&lt;&gt;"",IF('CONT. ESTOQUE'!$E242=0,"Sem Estoque",IF('CONT. ESTOQUE'!$E242&lt;'CONT. ESTOQUE'!$F242,"Estoque Perigoso","Estoque Confortável")),"")</f>
        <v>Estoque Confortável</v>
      </c>
      <c r="H242" s="93">
        <f>SUMIF(SAÍDAS!$C$7:$C$289,'CONT. ESTOQUE'!$B242,SAÍDAS!$L$7:$L$289)</f>
        <v>0</v>
      </c>
      <c r="I242" s="93">
        <f>SUMIF(ENTRADAS!$C$8:$C$1002,'CONT. ESTOQUE'!$B242,ENTRADAS!$H$7:$H$1002)</f>
        <v>0</v>
      </c>
      <c r="J242" s="94">
        <f>'CONT. ESTOQUE'!$H242-'CONT. ESTOQUE'!$I242</f>
        <v>0</v>
      </c>
    </row>
    <row r="243" spans="2:10" ht="15.75" customHeight="1">
      <c r="B243" s="91" t="str">
        <f>PROD!B243</f>
        <v>-</v>
      </c>
      <c r="C243" s="92">
        <f>IF('CONT. ESTOQUE'!$B243&lt;&gt;"",SUMIF(ENTRADAS!$C$7:$C$1002,'CONT. ESTOQUE'!$B243,ENTRADAS!$E$7:$E$1002),"")</f>
        <v>0</v>
      </c>
      <c r="D243" s="92">
        <f>IF('CONT. ESTOQUE'!$B243&lt;&gt;"",SUMIF(SAÍDAS!$C$7:$C$800,'CONT. ESTOQUE'!$B243,SAÍDAS!$J$7:$J$800),"")</f>
        <v>0</v>
      </c>
      <c r="E243" s="92">
        <f>IFERROR('CONT. ESTOQUE'!$C243-'CONT. ESTOQUE'!$D243,"")</f>
        <v>0</v>
      </c>
      <c r="F243" s="92">
        <f>IFERROR(VLOOKUP('CONT. ESTOQUE'!$B243,PROD!$B$6:$G$1095,4,0),"")</f>
        <v>0</v>
      </c>
      <c r="G243" s="92" t="str">
        <f>IF('CONT. ESTOQUE'!$B243&lt;&gt;"",IF('CONT. ESTOQUE'!$E243=0,"Sem Estoque",IF('CONT. ESTOQUE'!$E243&lt;'CONT. ESTOQUE'!$F243,"Estoque Perigoso","Estoque Confortável")),"")</f>
        <v>Sem Estoque</v>
      </c>
      <c r="H243" s="93">
        <f>SUMIF(SAÍDAS!$C$7:$C$289,'CONT. ESTOQUE'!$B243,SAÍDAS!$L$7:$L$289)</f>
        <v>0</v>
      </c>
      <c r="I243" s="93">
        <f>SUMIF(ENTRADAS!$C$8:$C$1002,'CONT. ESTOQUE'!$B243,ENTRADAS!$H$7:$H$1002)</f>
        <v>0</v>
      </c>
      <c r="J243" s="94">
        <f>'CONT. ESTOQUE'!$H243-'CONT. ESTOQUE'!$I243</f>
        <v>0</v>
      </c>
    </row>
    <row r="244" spans="2:10" s="149" customFormat="1" ht="15.75" customHeight="1">
      <c r="B244" s="120" t="str">
        <f>PROD!B244</f>
        <v>VI600</v>
      </c>
      <c r="C244" s="92">
        <f>IF('CONT. ESTOQUE'!$B244&lt;&gt;"",SUMIF(ENTRADAS!$C$7:$C$1002,'CONT. ESTOQUE'!$B244,ENTRADAS!$E$7:$E$1002),"")</f>
        <v>0</v>
      </c>
      <c r="D244" s="92">
        <f>IF('CONT. ESTOQUE'!$B244&lt;&gt;"",SUMIF(SAÍDAS!$C$7:$C$800,'CONT. ESTOQUE'!$B244,SAÍDAS!$J$7:$J$800),"")</f>
        <v>0</v>
      </c>
      <c r="E244" s="92">
        <f>IFERROR('CONT. ESTOQUE'!$C244-'CONT. ESTOQUE'!$D244,"")</f>
        <v>0</v>
      </c>
      <c r="F244" s="92">
        <f>IFERROR(VLOOKUP('CONT. ESTOQUE'!$B244,PROD!$B$6:$G$1095,4,0),"")</f>
        <v>0</v>
      </c>
      <c r="G244" s="92" t="str">
        <f>IF('CONT. ESTOQUE'!$B244&lt;&gt;"",IF('CONT. ESTOQUE'!$E244=0,"Sem Estoque",IF('CONT. ESTOQUE'!$E244&lt;'CONT. ESTOQUE'!$F244,"Estoque Perigoso","Estoque Confortável")),"")</f>
        <v>Sem Estoque</v>
      </c>
      <c r="H244" s="93">
        <f>SUMIF(SAÍDAS!$C$7:$C$289,'CONT. ESTOQUE'!$B244,SAÍDAS!$L$7:$L$289)</f>
        <v>0</v>
      </c>
      <c r="I244" s="93">
        <f>SUMIF(ENTRADAS!$C$8:$C$1002,'CONT. ESTOQUE'!$B244,ENTRADAS!$H$7:$H$1002)</f>
        <v>0</v>
      </c>
      <c r="J244" s="94">
        <f>'CONT. ESTOQUE'!$H244-'CONT. ESTOQUE'!$I244</f>
        <v>0</v>
      </c>
    </row>
    <row r="245" spans="2:10" s="149" customFormat="1" ht="15.75" customHeight="1">
      <c r="B245" s="91" t="str">
        <f>PROD!B245</f>
        <v>VI-194</v>
      </c>
      <c r="C245" s="92">
        <f>IF('CONT. ESTOQUE'!$B245&lt;&gt;"",SUMIF(ENTRADAS!$C$7:$C$1002,'CONT. ESTOQUE'!$B245,ENTRADAS!$E$7:$E$1002),"")</f>
        <v>1</v>
      </c>
      <c r="D245" s="92">
        <f>IF('CONT. ESTOQUE'!$B245&lt;&gt;"",SUMIF(SAÍDAS!$C$7:$C$800,'CONT. ESTOQUE'!$B245,SAÍDAS!$J$7:$J$800),"")</f>
        <v>0</v>
      </c>
      <c r="E245" s="92">
        <f>IFERROR('CONT. ESTOQUE'!$C245-'CONT. ESTOQUE'!$D245,"")</f>
        <v>1</v>
      </c>
      <c r="F245" s="92">
        <f>IFERROR(VLOOKUP('CONT. ESTOQUE'!$B245,PROD!$B$6:$G$1095,4,0),"")</f>
        <v>0</v>
      </c>
      <c r="G245" s="92" t="str">
        <f>IF('CONT. ESTOQUE'!$B245&lt;&gt;"",IF('CONT. ESTOQUE'!$E245=0,"Sem Estoque",IF('CONT. ESTOQUE'!$E245&lt;'CONT. ESTOQUE'!$F245,"Estoque Perigoso","Estoque Confortável")),"")</f>
        <v>Estoque Confortável</v>
      </c>
      <c r="H245" s="93">
        <f>SUMIF(SAÍDAS!$C$7:$C$289,'CONT. ESTOQUE'!$B245,SAÍDAS!$L$7:$L$289)</f>
        <v>0</v>
      </c>
      <c r="I245" s="93">
        <f>SUMIF(ENTRADAS!$C$8:$C$1002,'CONT. ESTOQUE'!$B245,ENTRADAS!$H$7:$H$1002)</f>
        <v>0</v>
      </c>
      <c r="J245" s="94">
        <f>'CONT. ESTOQUE'!$H245-'CONT. ESTOQUE'!$I245</f>
        <v>0</v>
      </c>
    </row>
    <row r="246" spans="2:10" s="149" customFormat="1" ht="15.75" customHeight="1">
      <c r="B246" s="91" t="str">
        <f>PROD!B246</f>
        <v>VI-178</v>
      </c>
      <c r="C246" s="92">
        <f>IF('CONT. ESTOQUE'!$B246&lt;&gt;"",SUMIF(ENTRADAS!$C$7:$C$1002,'CONT. ESTOQUE'!$B246,ENTRADAS!$E$7:$E$1002),"")</f>
        <v>3</v>
      </c>
      <c r="D246" s="92">
        <f>IF('CONT. ESTOQUE'!$B246&lt;&gt;"",SUMIF(SAÍDAS!$C$7:$C$800,'CONT. ESTOQUE'!$B246,SAÍDAS!$J$7:$J$800),"")</f>
        <v>0</v>
      </c>
      <c r="E246" s="92">
        <f>IFERROR('CONT. ESTOQUE'!$C246-'CONT. ESTOQUE'!$D246,"")</f>
        <v>3</v>
      </c>
      <c r="F246" s="92">
        <f>IFERROR(VLOOKUP('CONT. ESTOQUE'!$B246,PROD!$B$6:$G$1095,4,0),"")</f>
        <v>0</v>
      </c>
      <c r="G246" s="92" t="str">
        <f>IF('CONT. ESTOQUE'!$B246&lt;&gt;"",IF('CONT. ESTOQUE'!$E246=0,"Sem Estoque",IF('CONT. ESTOQUE'!$E246&lt;'CONT. ESTOQUE'!$F246,"Estoque Perigoso","Estoque Confortável")),"")</f>
        <v>Estoque Confortável</v>
      </c>
      <c r="H246" s="93">
        <f>SUMIF(SAÍDAS!$C$7:$C$289,'CONT. ESTOQUE'!$B246,SAÍDAS!$L$7:$L$289)</f>
        <v>0</v>
      </c>
      <c r="I246" s="93">
        <f>SUMIF(ENTRADAS!$C$8:$C$1002,'CONT. ESTOQUE'!$B246,ENTRADAS!$H$7:$H$1002)</f>
        <v>0</v>
      </c>
      <c r="J246" s="94">
        <f>'CONT. ESTOQUE'!$H246-'CONT. ESTOQUE'!$I246</f>
        <v>0</v>
      </c>
    </row>
    <row r="247" spans="2:10" s="149" customFormat="1" ht="15.75" customHeight="1">
      <c r="B247" s="91" t="str">
        <f>PROD!B247</f>
        <v>VI-162</v>
      </c>
      <c r="C247" s="92">
        <f>IF('CONT. ESTOQUE'!$B247&lt;&gt;"",SUMIF(ENTRADAS!$C$7:$C$1002,'CONT. ESTOQUE'!$B247,ENTRADAS!$E$7:$E$1002),"")</f>
        <v>2</v>
      </c>
      <c r="D247" s="92">
        <f>IF('CONT. ESTOQUE'!$B247&lt;&gt;"",SUMIF(SAÍDAS!$C$7:$C$800,'CONT. ESTOQUE'!$B247,SAÍDAS!$J$7:$J$800),"")</f>
        <v>0</v>
      </c>
      <c r="E247" s="92">
        <f>IFERROR('CONT. ESTOQUE'!$C247-'CONT. ESTOQUE'!$D247,"")</f>
        <v>2</v>
      </c>
      <c r="F247" s="92">
        <f>IFERROR(VLOOKUP('CONT. ESTOQUE'!$B247,PROD!$B$6:$G$1095,4,0),"")</f>
        <v>0</v>
      </c>
      <c r="G247" s="92" t="str">
        <f>IF('CONT. ESTOQUE'!$B247&lt;&gt;"",IF('CONT. ESTOQUE'!$E247=0,"Sem Estoque",IF('CONT. ESTOQUE'!$E247&lt;'CONT. ESTOQUE'!$F247,"Estoque Perigoso","Estoque Confortável")),"")</f>
        <v>Estoque Confortável</v>
      </c>
      <c r="H247" s="93">
        <f>SUMIF(SAÍDAS!$C$7:$C$289,'CONT. ESTOQUE'!$B247,SAÍDAS!$L$7:$L$289)</f>
        <v>0</v>
      </c>
      <c r="I247" s="93">
        <f>SUMIF(ENTRADAS!$C$8:$C$1002,'CONT. ESTOQUE'!$B247,ENTRADAS!$H$7:$H$1002)</f>
        <v>0</v>
      </c>
      <c r="J247" s="94">
        <f>'CONT. ESTOQUE'!$H247-'CONT. ESTOQUE'!$I247</f>
        <v>0</v>
      </c>
    </row>
    <row r="248" spans="2:10" s="149" customFormat="1" ht="15.75" customHeight="1">
      <c r="B248" s="91" t="str">
        <f>PROD!B248</f>
        <v>VI-154</v>
      </c>
      <c r="C248" s="92">
        <f>IF('CONT. ESTOQUE'!$B248&lt;&gt;"",SUMIF(ENTRADAS!$C$7:$C$1002,'CONT. ESTOQUE'!$B248,ENTRADAS!$E$7:$E$1002),"")</f>
        <v>3</v>
      </c>
      <c r="D248" s="92">
        <f>IF('CONT. ESTOQUE'!$B248&lt;&gt;"",SUMIF(SAÍDAS!$C$7:$C$800,'CONT. ESTOQUE'!$B248,SAÍDAS!$J$7:$J$800),"")</f>
        <v>0</v>
      </c>
      <c r="E248" s="92">
        <f>IFERROR('CONT. ESTOQUE'!$C248-'CONT. ESTOQUE'!$D248,"")</f>
        <v>3</v>
      </c>
      <c r="F248" s="92">
        <f>IFERROR(VLOOKUP('CONT. ESTOQUE'!$B248,PROD!$B$6:$G$1095,4,0),"")</f>
        <v>0</v>
      </c>
      <c r="G248" s="92" t="str">
        <f>IF('CONT. ESTOQUE'!$B248&lt;&gt;"",IF('CONT. ESTOQUE'!$E248=0,"Sem Estoque",IF('CONT. ESTOQUE'!$E248&lt;'CONT. ESTOQUE'!$F248,"Estoque Perigoso","Estoque Confortável")),"")</f>
        <v>Estoque Confortável</v>
      </c>
      <c r="H248" s="93">
        <f>SUMIF(SAÍDAS!$C$7:$C$289,'CONT. ESTOQUE'!$B248,SAÍDAS!$L$7:$L$289)</f>
        <v>0</v>
      </c>
      <c r="I248" s="93">
        <f>SUMIF(ENTRADAS!$C$8:$C$1002,'CONT. ESTOQUE'!$B248,ENTRADAS!$H$7:$H$1002)</f>
        <v>0</v>
      </c>
      <c r="J248" s="94">
        <f>'CONT. ESTOQUE'!$H248-'CONT. ESTOQUE'!$I248</f>
        <v>0</v>
      </c>
    </row>
    <row r="249" spans="2:10" s="149" customFormat="1" ht="15.75" customHeight="1">
      <c r="B249" s="91" t="str">
        <f>PROD!B249</f>
        <v>VI-138</v>
      </c>
      <c r="C249" s="92">
        <f>IF('CONT. ESTOQUE'!$B249&lt;&gt;"",SUMIF(ENTRADAS!$C$7:$C$1002,'CONT. ESTOQUE'!$B249,ENTRADAS!$E$7:$E$1002),"")</f>
        <v>2</v>
      </c>
      <c r="D249" s="92">
        <f>IF('CONT. ESTOQUE'!$B249&lt;&gt;"",SUMIF(SAÍDAS!$C$7:$C$800,'CONT. ESTOQUE'!$B249,SAÍDAS!$J$7:$J$800),"")</f>
        <v>0</v>
      </c>
      <c r="E249" s="92">
        <f>IFERROR('CONT. ESTOQUE'!$C249-'CONT. ESTOQUE'!$D249,"")</f>
        <v>2</v>
      </c>
      <c r="F249" s="92">
        <f>IFERROR(VLOOKUP('CONT. ESTOQUE'!$B249,PROD!$B$6:$G$1095,4,0),"")</f>
        <v>0</v>
      </c>
      <c r="G249" s="92" t="str">
        <f>IF('CONT. ESTOQUE'!$B249&lt;&gt;"",IF('CONT. ESTOQUE'!$E249=0,"Sem Estoque",IF('CONT. ESTOQUE'!$E249&lt;'CONT. ESTOQUE'!$F249,"Estoque Perigoso","Estoque Confortável")),"")</f>
        <v>Estoque Confortável</v>
      </c>
      <c r="H249" s="93">
        <f>SUMIF(SAÍDAS!$C$7:$C$289,'CONT. ESTOQUE'!$B249,SAÍDAS!$L$7:$L$289)</f>
        <v>0</v>
      </c>
      <c r="I249" s="93">
        <f>SUMIF(ENTRADAS!$C$8:$C$1002,'CONT. ESTOQUE'!$B249,ENTRADAS!$H$7:$H$1002)</f>
        <v>0</v>
      </c>
      <c r="J249" s="94">
        <f>'CONT. ESTOQUE'!$H249-'CONT. ESTOQUE'!$I249</f>
        <v>0</v>
      </c>
    </row>
    <row r="250" spans="2:10" s="149" customFormat="1" ht="15.75" customHeight="1">
      <c r="B250" s="91" t="str">
        <f>PROD!B250</f>
        <v>-</v>
      </c>
      <c r="C250" s="92">
        <f>IF('CONT. ESTOQUE'!$B250&lt;&gt;"",SUMIF(ENTRADAS!$C$7:$C$1002,'CONT. ESTOQUE'!$B250,ENTRADAS!$E$7:$E$1002),"")</f>
        <v>0</v>
      </c>
      <c r="D250" s="92">
        <f>IF('CONT. ESTOQUE'!$B250&lt;&gt;"",SUMIF(SAÍDAS!$C$7:$C$800,'CONT. ESTOQUE'!$B250,SAÍDAS!$J$7:$J$800),"")</f>
        <v>0</v>
      </c>
      <c r="E250" s="92">
        <f>IFERROR('CONT. ESTOQUE'!$C250-'CONT. ESTOQUE'!$D250,"")</f>
        <v>0</v>
      </c>
      <c r="F250" s="92">
        <f>IFERROR(VLOOKUP('CONT. ESTOQUE'!$B250,PROD!$B$6:$G$1095,4,0),"")</f>
        <v>0</v>
      </c>
      <c r="G250" s="92" t="str">
        <f>IF('CONT. ESTOQUE'!$B250&lt;&gt;"",IF('CONT. ESTOQUE'!$E250=0,"Sem Estoque",IF('CONT. ESTOQUE'!$E250&lt;'CONT. ESTOQUE'!$F250,"Estoque Perigoso","Estoque Confortável")),"")</f>
        <v>Sem Estoque</v>
      </c>
      <c r="H250" s="93">
        <f>SUMIF(SAÍDAS!$C$7:$C$289,'CONT. ESTOQUE'!$B250,SAÍDAS!$L$7:$L$289)</f>
        <v>0</v>
      </c>
      <c r="I250" s="93">
        <f>SUMIF(ENTRADAS!$C$8:$C$1002,'CONT. ESTOQUE'!$B250,ENTRADAS!$H$7:$H$1002)</f>
        <v>0</v>
      </c>
      <c r="J250" s="94">
        <f>'CONT. ESTOQUE'!$H250-'CONT. ESTOQUE'!$I250</f>
        <v>0</v>
      </c>
    </row>
    <row r="251" spans="2:10" s="121" customFormat="1" ht="15.75" customHeight="1">
      <c r="B251" s="120" t="str">
        <f>PROD!B251</f>
        <v>RAC</v>
      </c>
      <c r="C251" s="122">
        <f>IF('CONT. ESTOQUE'!$B251&lt;&gt;"",SUMIF(ENTRADAS!$C$7:$C$1002,'CONT. ESTOQUE'!$B251,ENTRADAS!$E$7:$E$1002),"")</f>
        <v>0</v>
      </c>
      <c r="D251" s="92">
        <f>IF('CONT. ESTOQUE'!$B251&lt;&gt;"",SUMIF(SAÍDAS!$C$7:$C$800,'CONT. ESTOQUE'!$B251,SAÍDAS!$J$7:$J$800),"")</f>
        <v>0</v>
      </c>
      <c r="E251" s="122">
        <f>IFERROR('CONT. ESTOQUE'!$C251-'CONT. ESTOQUE'!$D251,"")</f>
        <v>0</v>
      </c>
      <c r="F251" s="122">
        <f>IFERROR(VLOOKUP('CONT. ESTOQUE'!$B251,PROD!$B$6:$G$1095,4,0),"")</f>
        <v>0</v>
      </c>
      <c r="G251" s="122" t="str">
        <f>IF('CONT. ESTOQUE'!$B251&lt;&gt;"",IF('CONT. ESTOQUE'!$E251=0,"Sem Estoque",IF('CONT. ESTOQUE'!$E251&lt;'CONT. ESTOQUE'!$F251,"Estoque Perigoso","Estoque Confortável")),"")</f>
        <v>Sem Estoque</v>
      </c>
      <c r="H251" s="123">
        <f>SUMIF(SAÍDAS!$C$7:$C$289,'CONT. ESTOQUE'!$B251,SAÍDAS!$L$7:$L$289)</f>
        <v>0</v>
      </c>
      <c r="I251" s="123">
        <f>SUMIF(ENTRADAS!$C$8:$C$1002,'CONT. ESTOQUE'!$B251,ENTRADAS!$H$7:$H$1002)</f>
        <v>0</v>
      </c>
      <c r="J251" s="124">
        <f>'CONT. ESTOQUE'!$H251-'CONT. ESTOQUE'!$I251</f>
        <v>0</v>
      </c>
    </row>
    <row r="252" spans="2:10" ht="15.75" customHeight="1">
      <c r="B252" s="91" t="str">
        <f>PROD!B252</f>
        <v>RAC 46 QUENTE</v>
      </c>
      <c r="C252" s="92">
        <f>IF('CONT. ESTOQUE'!$B252&lt;&gt;"",SUMIF(ENTRADAS!$C$7:$C$1002,'CONT. ESTOQUE'!$B252,ENTRADAS!$E$7:$E$1002),"")</f>
        <v>18</v>
      </c>
      <c r="D252" s="92">
        <f>IF('CONT. ESTOQUE'!$B252&lt;&gt;"",SUMIF(SAÍDAS!$C$7:$C$800,'CONT. ESTOQUE'!$B252,SAÍDAS!$J$7:$J$800),"")</f>
        <v>6</v>
      </c>
      <c r="E252" s="92">
        <f>IFERROR('CONT. ESTOQUE'!$C252-'CONT. ESTOQUE'!$D252,"")</f>
        <v>12</v>
      </c>
      <c r="F252" s="92">
        <f>IFERROR(VLOOKUP('CONT. ESTOQUE'!$B252,PROD!$B$6:$G$1095,4,0),"")</f>
        <v>0</v>
      </c>
      <c r="G252" s="92" t="str">
        <f>IF('CONT. ESTOQUE'!$B252&lt;&gt;"",IF('CONT. ESTOQUE'!$E252=0,"Sem Estoque",IF('CONT. ESTOQUE'!$E252&lt;'CONT. ESTOQUE'!$F252,"Estoque Perigoso","Estoque Confortável")),"")</f>
        <v>Estoque Confortável</v>
      </c>
      <c r="H252" s="93">
        <f>SUMIF(SAÍDAS!$C$7:$C$289,'CONT. ESTOQUE'!$B252,SAÍDAS!$L$7:$L$289)</f>
        <v>0</v>
      </c>
      <c r="I252" s="93">
        <f>SUMIF(ENTRADAS!$C$8:$C$1002,'CONT. ESTOQUE'!$B252,ENTRADAS!$H$7:$H$1002)</f>
        <v>0</v>
      </c>
      <c r="J252" s="94">
        <f>'CONT. ESTOQUE'!$H252-'CONT. ESTOQUE'!$I252</f>
        <v>0</v>
      </c>
    </row>
    <row r="253" spans="2:10" ht="15.75" customHeight="1">
      <c r="B253" s="91" t="str">
        <f>PROD!B253</f>
        <v>RAC 44 QUENTE</v>
      </c>
      <c r="C253" s="92">
        <f>IF('CONT. ESTOQUE'!$B253&lt;&gt;"",SUMIF(ENTRADAS!$C$7:$C$1002,'CONT. ESTOQUE'!$B253,ENTRADAS!$E$7:$E$1002),"")</f>
        <v>105</v>
      </c>
      <c r="D253" s="92">
        <f>IF('CONT. ESTOQUE'!$B253&lt;&gt;"",SUMIF(SAÍDAS!$C$7:$C$800,'CONT. ESTOQUE'!$B253,SAÍDAS!$J$7:$J$800),"")</f>
        <v>34</v>
      </c>
      <c r="E253" s="92">
        <f>IFERROR('CONT. ESTOQUE'!$C253-'CONT. ESTOQUE'!$D253,"")</f>
        <v>71</v>
      </c>
      <c r="F253" s="92">
        <f>IFERROR(VLOOKUP('CONT. ESTOQUE'!$B253,PROD!$B$6:$G$1095,4,0),"")</f>
        <v>0</v>
      </c>
      <c r="G253" s="92" t="str">
        <f>IF('CONT. ESTOQUE'!$B253&lt;&gt;"",IF('CONT. ESTOQUE'!$E253=0,"Sem Estoque",IF('CONT. ESTOQUE'!$E253&lt;'CONT. ESTOQUE'!$F253,"Estoque Perigoso","Estoque Confortável")),"")</f>
        <v>Estoque Confortável</v>
      </c>
      <c r="H253" s="93">
        <f>SUMIF(SAÍDAS!$C$7:$C$289,'CONT. ESTOQUE'!$B253,SAÍDAS!$L$7:$L$289)</f>
        <v>0</v>
      </c>
      <c r="I253" s="93">
        <f>SUMIF(ENTRADAS!$C$8:$C$1002,'CONT. ESTOQUE'!$B253,ENTRADAS!$H$7:$H$1002)</f>
        <v>0</v>
      </c>
      <c r="J253" s="94">
        <f>'CONT. ESTOQUE'!$H253-'CONT. ESTOQUE'!$I253</f>
        <v>0</v>
      </c>
    </row>
    <row r="254" spans="2:10" ht="15.75" customHeight="1">
      <c r="B254" s="91" t="str">
        <f>PROD!B254</f>
        <v>RAC 40 QUENTE</v>
      </c>
      <c r="C254" s="92">
        <f>IF('CONT. ESTOQUE'!$B254&lt;&gt;"",SUMIF(ENTRADAS!$C$7:$C$1002,'CONT. ESTOQUE'!$B254,ENTRADAS!$E$7:$E$1002),"")</f>
        <v>91</v>
      </c>
      <c r="D254" s="92">
        <f>IF('CONT. ESTOQUE'!$B254&lt;&gt;"",SUMIF(SAÍDAS!$C$7:$C$800,'CONT. ESTOQUE'!$B254,SAÍDAS!$J$7:$J$800),"")</f>
        <v>47</v>
      </c>
      <c r="E254" s="92">
        <f>IFERROR('CONT. ESTOQUE'!$C254-'CONT. ESTOQUE'!$D254,"")</f>
        <v>44</v>
      </c>
      <c r="F254" s="92">
        <f>IFERROR(VLOOKUP('CONT. ESTOQUE'!$B254,PROD!$B$6:$G$1095,4,0),"")</f>
        <v>0</v>
      </c>
      <c r="G254" s="92" t="str">
        <f>IF('CONT. ESTOQUE'!$B254&lt;&gt;"",IF('CONT. ESTOQUE'!$E254=0,"Sem Estoque",IF('CONT. ESTOQUE'!$E254&lt;'CONT. ESTOQUE'!$F254,"Estoque Perigoso","Estoque Confortável")),"")</f>
        <v>Estoque Confortável</v>
      </c>
      <c r="H254" s="93">
        <f>SUMIF(SAÍDAS!$C$7:$C$289,'CONT. ESTOQUE'!$B254,SAÍDAS!$L$7:$L$289)</f>
        <v>0</v>
      </c>
      <c r="I254" s="93">
        <f>SUMIF(ENTRADAS!$C$8:$C$1002,'CONT. ESTOQUE'!$B254,ENTRADAS!$H$7:$H$1002)</f>
        <v>0</v>
      </c>
      <c r="J254" s="94">
        <f>'CONT. ESTOQUE'!$H254-'CONT. ESTOQUE'!$I254</f>
        <v>0</v>
      </c>
    </row>
    <row r="255" spans="2:10" ht="15.75" customHeight="1">
      <c r="B255" s="91" t="str">
        <f>PROD!B255</f>
        <v>RAC 35 QUENTE</v>
      </c>
      <c r="C255" s="92">
        <f>IF('CONT. ESTOQUE'!$B255&lt;&gt;"",SUMIF(ENTRADAS!$C$7:$C$1002,'CONT. ESTOQUE'!$B255,ENTRADAS!$E$7:$E$1002),"")</f>
        <v>41</v>
      </c>
      <c r="D255" s="92">
        <f>IF('CONT. ESTOQUE'!$B255&lt;&gt;"",SUMIF(SAÍDAS!$C$7:$C$800,'CONT. ESTOQUE'!$B255,SAÍDAS!$J$7:$J$800),"")</f>
        <v>7</v>
      </c>
      <c r="E255" s="92">
        <f>IFERROR('CONT. ESTOQUE'!$C255-'CONT. ESTOQUE'!$D255,"")</f>
        <v>34</v>
      </c>
      <c r="F255" s="92">
        <f>IFERROR(VLOOKUP('CONT. ESTOQUE'!$B255,PROD!$B$6:$G$1095,4,0),"")</f>
        <v>0</v>
      </c>
      <c r="G255" s="92" t="str">
        <f>IF('CONT. ESTOQUE'!$B255&lt;&gt;"",IF('CONT. ESTOQUE'!$E255=0,"Sem Estoque",IF('CONT. ESTOQUE'!$E255&lt;'CONT. ESTOQUE'!$F255,"Estoque Perigoso","Estoque Confortável")),"")</f>
        <v>Estoque Confortável</v>
      </c>
      <c r="H255" s="93">
        <f>SUMIF(SAÍDAS!$C$7:$C$289,'CONT. ESTOQUE'!$B255,SAÍDAS!$L$7:$L$289)</f>
        <v>0</v>
      </c>
      <c r="I255" s="93">
        <f>SUMIF(ENTRADAS!$C$8:$C$1002,'CONT. ESTOQUE'!$B255,ENTRADAS!$H$7:$H$1002)</f>
        <v>0</v>
      </c>
      <c r="J255" s="94">
        <f>'CONT. ESTOQUE'!$H255-'CONT. ESTOQUE'!$I255</f>
        <v>0</v>
      </c>
    </row>
    <row r="256" spans="2:10" ht="15.75" customHeight="1">
      <c r="B256" s="91" t="str">
        <f>PROD!B256</f>
        <v>RAC 25 QUENTE</v>
      </c>
      <c r="C256" s="92">
        <f>IF('CONT. ESTOQUE'!$B256&lt;&gt;"",SUMIF(ENTRADAS!$C$7:$C$1002,'CONT. ESTOQUE'!$B256,ENTRADAS!$E$7:$E$1002),"")</f>
        <v>23</v>
      </c>
      <c r="D256" s="92">
        <f>IF('CONT. ESTOQUE'!$B256&lt;&gt;"",SUMIF(SAÍDAS!$C$7:$C$800,'CONT. ESTOQUE'!$B256,SAÍDAS!$J$7:$J$800),"")</f>
        <v>23</v>
      </c>
      <c r="E256" s="92">
        <f>IFERROR('CONT. ESTOQUE'!$C256-'CONT. ESTOQUE'!$D256,"")</f>
        <v>0</v>
      </c>
      <c r="F256" s="92">
        <f>IFERROR(VLOOKUP('CONT. ESTOQUE'!$B256,PROD!$B$6:$G$1095,4,0),"")</f>
        <v>0</v>
      </c>
      <c r="G256" s="92" t="str">
        <f>IF('CONT. ESTOQUE'!$B256&lt;&gt;"",IF('CONT. ESTOQUE'!$E256=0,"Sem Estoque",IF('CONT. ESTOQUE'!$E256&lt;'CONT. ESTOQUE'!$F256,"Estoque Perigoso","Estoque Confortável")),"")</f>
        <v>Sem Estoque</v>
      </c>
      <c r="H256" s="93">
        <f>SUMIF(SAÍDAS!$C$7:$C$289,'CONT. ESTOQUE'!$B256,SAÍDAS!$L$7:$L$289)</f>
        <v>0</v>
      </c>
      <c r="I256" s="93">
        <f>SUMIF(ENTRADAS!$C$8:$C$1002,'CONT. ESTOQUE'!$B256,ENTRADAS!$H$7:$H$1002)</f>
        <v>0</v>
      </c>
      <c r="J256" s="94">
        <f>'CONT. ESTOQUE'!$H256-'CONT. ESTOQUE'!$I256</f>
        <v>0</v>
      </c>
    </row>
    <row r="257" spans="2:10" ht="15.75" customHeight="1">
      <c r="B257" s="91" t="str">
        <f>PROD!B257</f>
        <v>RAC 20 QUENTE</v>
      </c>
      <c r="C257" s="92">
        <f>IF('CONT. ESTOQUE'!$B257&lt;&gt;"",SUMIF(ENTRADAS!$C$7:$C$1002,'CONT. ESTOQUE'!$B257,ENTRADAS!$E$7:$E$1002),"")</f>
        <v>75</v>
      </c>
      <c r="D257" s="92">
        <f>IF('CONT. ESTOQUE'!$B257&lt;&gt;"",SUMIF(SAÍDAS!$C$7:$C$800,'CONT. ESTOQUE'!$B257,SAÍDAS!$J$7:$J$800),"")</f>
        <v>21</v>
      </c>
      <c r="E257" s="92">
        <f>IFERROR('CONT. ESTOQUE'!$C257-'CONT. ESTOQUE'!$D257,"")</f>
        <v>54</v>
      </c>
      <c r="F257" s="92">
        <f>IFERROR(VLOOKUP('CONT. ESTOQUE'!$B257,PROD!$B$6:$G$1095,4,0),"")</f>
        <v>0</v>
      </c>
      <c r="G257" s="92" t="str">
        <f>IF('CONT. ESTOQUE'!$B257&lt;&gt;"",IF('CONT. ESTOQUE'!$E257=0,"Sem Estoque",IF('CONT. ESTOQUE'!$E257&lt;'CONT. ESTOQUE'!$F257,"Estoque Perigoso","Estoque Confortável")),"")</f>
        <v>Estoque Confortável</v>
      </c>
      <c r="H257" s="93">
        <f>SUMIF(SAÍDAS!$C$7:$C$289,'CONT. ESTOQUE'!$B257,SAÍDAS!$L$7:$L$289)</f>
        <v>0</v>
      </c>
      <c r="I257" s="93">
        <f>SUMIF(ENTRADAS!$C$8:$C$1002,'CONT. ESTOQUE'!$B257,ENTRADAS!$H$7:$H$1002)</f>
        <v>0</v>
      </c>
      <c r="J257" s="94">
        <f>'CONT. ESTOQUE'!$H257-'CONT. ESTOQUE'!$I257</f>
        <v>0</v>
      </c>
    </row>
    <row r="258" spans="2:10" ht="15.75" customHeight="1">
      <c r="B258" s="91" t="str">
        <f>PROD!B258</f>
        <v>RAC 44 FRIO</v>
      </c>
      <c r="C258" s="92">
        <f>IF('CONT. ESTOQUE'!$B258&lt;&gt;"",SUMIF(ENTRADAS!$C$7:$C$1002,'CONT. ESTOQUE'!$B258,ENTRADAS!$E$7:$E$1002),"")</f>
        <v>1</v>
      </c>
      <c r="D258" s="92">
        <f>IF('CONT. ESTOQUE'!$B258&lt;&gt;"",SUMIF(SAÍDAS!$C$7:$C$800,'CONT. ESTOQUE'!$B258,SAÍDAS!$J$7:$J$800),"")</f>
        <v>0</v>
      </c>
      <c r="E258" s="92">
        <f>IFERROR('CONT. ESTOQUE'!$C258-'CONT. ESTOQUE'!$D258,"")</f>
        <v>1</v>
      </c>
      <c r="F258" s="92">
        <f>IFERROR(VLOOKUP('CONT. ESTOQUE'!$B258,PROD!$B$6:$G$1095,4,0),"")</f>
        <v>0</v>
      </c>
      <c r="G258" s="92" t="str">
        <f>IF('CONT. ESTOQUE'!$B258&lt;&gt;"",IF('CONT. ESTOQUE'!$E258=0,"Sem Estoque",IF('CONT. ESTOQUE'!$E258&lt;'CONT. ESTOQUE'!$F258,"Estoque Perigoso","Estoque Confortável")),"")</f>
        <v>Estoque Confortável</v>
      </c>
      <c r="H258" s="93">
        <f>SUMIF(SAÍDAS!$C$7:$C$289,'CONT. ESTOQUE'!$B258,SAÍDAS!$L$7:$L$289)</f>
        <v>0</v>
      </c>
      <c r="I258" s="93">
        <f>SUMIF(ENTRADAS!$C$8:$C$1002,'CONT. ESTOQUE'!$B258,ENTRADAS!$H$7:$H$1002)</f>
        <v>0</v>
      </c>
      <c r="J258" s="94">
        <f>'CONT. ESTOQUE'!$H258-'CONT. ESTOQUE'!$I258</f>
        <v>0</v>
      </c>
    </row>
    <row r="259" spans="2:10" ht="15.75" customHeight="1">
      <c r="B259" s="91" t="str">
        <f>PROD!B259</f>
        <v>RAC 40 FRIO</v>
      </c>
      <c r="C259" s="92">
        <f>IF('CONT. ESTOQUE'!$B259&lt;&gt;"",SUMIF(ENTRADAS!$C$7:$C$1002,'CONT. ESTOQUE'!$B259,ENTRADAS!$E$7:$E$1002),"")</f>
        <v>6</v>
      </c>
      <c r="D259" s="92">
        <f>IF('CONT. ESTOQUE'!$B259&lt;&gt;"",SUMIF(SAÍDAS!$C$7:$C$800,'CONT. ESTOQUE'!$B259,SAÍDAS!$J$7:$J$800),"")</f>
        <v>1</v>
      </c>
      <c r="E259" s="92">
        <f>IFERROR('CONT. ESTOQUE'!$C259-'CONT. ESTOQUE'!$D259,"")</f>
        <v>5</v>
      </c>
      <c r="F259" s="92">
        <f>IFERROR(VLOOKUP('CONT. ESTOQUE'!$B259,PROD!$B$6:$G$1095,4,0),"")</f>
        <v>0</v>
      </c>
      <c r="G259" s="92" t="str">
        <f>IF('CONT. ESTOQUE'!$B259&lt;&gt;"",IF('CONT. ESTOQUE'!$E259=0,"Sem Estoque",IF('CONT. ESTOQUE'!$E259&lt;'CONT. ESTOQUE'!$F259,"Estoque Perigoso","Estoque Confortável")),"")</f>
        <v>Estoque Confortável</v>
      </c>
      <c r="H259" s="93">
        <f>SUMIF(SAÍDAS!$C$7:$C$289,'CONT. ESTOQUE'!$B259,SAÍDAS!$L$7:$L$289)</f>
        <v>0</v>
      </c>
      <c r="I259" s="93">
        <f>SUMIF(ENTRADAS!$C$8:$C$1002,'CONT. ESTOQUE'!$B259,ENTRADAS!$H$7:$H$1002)</f>
        <v>0</v>
      </c>
      <c r="J259" s="94">
        <f>'CONT. ESTOQUE'!$H259-'CONT. ESTOQUE'!$I259</f>
        <v>0</v>
      </c>
    </row>
    <row r="260" spans="2:10" ht="15.75" customHeight="1">
      <c r="B260" s="91" t="str">
        <f>PROD!B260</f>
        <v>RAC 25 FRIO</v>
      </c>
      <c r="C260" s="92">
        <f>IF('CONT. ESTOQUE'!$B260&lt;&gt;"",SUMIF(ENTRADAS!$C$7:$C$1002,'CONT. ESTOQUE'!$B260,ENTRADAS!$E$7:$E$1002),"")</f>
        <v>2</v>
      </c>
      <c r="D260" s="92">
        <f>IF('CONT. ESTOQUE'!$B260&lt;&gt;"",SUMIF(SAÍDAS!$C$7:$C$800,'CONT. ESTOQUE'!$B260,SAÍDAS!$J$7:$J$800),"")</f>
        <v>2</v>
      </c>
      <c r="E260" s="92">
        <f>IFERROR('CONT. ESTOQUE'!$C260-'CONT. ESTOQUE'!$D260,"")</f>
        <v>0</v>
      </c>
      <c r="F260" s="92">
        <f>IFERROR(VLOOKUP('CONT. ESTOQUE'!$B260,PROD!$B$6:$G$1095,4,0),"")</f>
        <v>0</v>
      </c>
      <c r="G260" s="92" t="str">
        <f>IF('CONT. ESTOQUE'!$B260&lt;&gt;"",IF('CONT. ESTOQUE'!$E260=0,"Sem Estoque",IF('CONT. ESTOQUE'!$E260&lt;'CONT. ESTOQUE'!$F260,"Estoque Perigoso","Estoque Confortável")),"")</f>
        <v>Sem Estoque</v>
      </c>
      <c r="H260" s="93">
        <f>SUMIF(SAÍDAS!$C$7:$C$289,'CONT. ESTOQUE'!$B260,SAÍDAS!$L$7:$L$289)</f>
        <v>0</v>
      </c>
      <c r="I260" s="93">
        <f>SUMIF(ENTRADAS!$C$8:$C$1002,'CONT. ESTOQUE'!$B260,ENTRADAS!$H$7:$H$1002)</f>
        <v>0</v>
      </c>
      <c r="J260" s="94">
        <f>'CONT. ESTOQUE'!$H260-'CONT. ESTOQUE'!$I260</f>
        <v>0</v>
      </c>
    </row>
    <row r="261" spans="2:10" ht="15.75" customHeight="1">
      <c r="B261" s="91" t="str">
        <f>PROD!B261</f>
        <v>RAC 20 FRIO</v>
      </c>
      <c r="C261" s="92">
        <f>IF('CONT. ESTOQUE'!$B261&lt;&gt;"",SUMIF(ENTRADAS!$C$7:$C$1002,'CONT. ESTOQUE'!$B261,ENTRADAS!$E$7:$E$1002),"")</f>
        <v>12</v>
      </c>
      <c r="D261" s="92">
        <f>IF('CONT. ESTOQUE'!$B261&lt;&gt;"",SUMIF(SAÍDAS!$C$7:$C$800,'CONT. ESTOQUE'!$B261,SAÍDAS!$J$7:$J$800),"")</f>
        <v>2</v>
      </c>
      <c r="E261" s="92">
        <f>IFERROR('CONT. ESTOQUE'!$C261-'CONT. ESTOQUE'!$D261,"")</f>
        <v>10</v>
      </c>
      <c r="F261" s="92">
        <f>IFERROR(VLOOKUP('CONT. ESTOQUE'!$B261,PROD!$B$6:$G$1095,4,0),"")</f>
        <v>0</v>
      </c>
      <c r="G261" s="92" t="str">
        <f>IF('CONT. ESTOQUE'!$B261&lt;&gt;"",IF('CONT. ESTOQUE'!$E261=0,"Sem Estoque",IF('CONT. ESTOQUE'!$E261&lt;'CONT. ESTOQUE'!$F261,"Estoque Perigoso","Estoque Confortável")),"")</f>
        <v>Estoque Confortável</v>
      </c>
      <c r="H261" s="93">
        <f>SUMIF(SAÍDAS!$C$7:$C$289,'CONT. ESTOQUE'!$B261,SAÍDAS!$L$7:$L$289)</f>
        <v>0</v>
      </c>
      <c r="I261" s="93">
        <f>SUMIF(ENTRADAS!$C$8:$C$1002,'CONT. ESTOQUE'!$B261,ENTRADAS!$H$7:$H$1002)</f>
        <v>0</v>
      </c>
      <c r="J261" s="94">
        <f>'CONT. ESTOQUE'!$H261-'CONT. ESTOQUE'!$I261</f>
        <v>0</v>
      </c>
    </row>
    <row r="262" spans="2:10" ht="15.75" customHeight="1">
      <c r="B262" s="91" t="str">
        <f>PROD!B262</f>
        <v>RAC 10 FRIO</v>
      </c>
      <c r="C262" s="92">
        <f>IF('CONT. ESTOQUE'!$B262&lt;&gt;"",SUMIF(ENTRADAS!$C$7:$C$1002,'CONT. ESTOQUE'!$B262,ENTRADAS!$E$7:$E$1002),"")</f>
        <v>3</v>
      </c>
      <c r="D262" s="92">
        <f>IF('CONT. ESTOQUE'!$B262&lt;&gt;"",SUMIF(SAÍDAS!$C$7:$C$800,'CONT. ESTOQUE'!$B262,SAÍDAS!$J$7:$J$800),"")</f>
        <v>2</v>
      </c>
      <c r="E262" s="92">
        <f>IFERROR('CONT. ESTOQUE'!$C262-'CONT. ESTOQUE'!$D262,"")</f>
        <v>1</v>
      </c>
      <c r="F262" s="92">
        <f>IFERROR(VLOOKUP('CONT. ESTOQUE'!$B262,PROD!$B$6:$G$1095,4,0),"")</f>
        <v>0</v>
      </c>
      <c r="G262" s="92" t="str">
        <f>IF('CONT. ESTOQUE'!$B262&lt;&gt;"",IF('CONT. ESTOQUE'!$E262=0,"Sem Estoque",IF('CONT. ESTOQUE'!$E262&lt;'CONT. ESTOQUE'!$F262,"Estoque Perigoso","Estoque Confortável")),"")</f>
        <v>Estoque Confortável</v>
      </c>
      <c r="H262" s="93">
        <f>SUMIF(SAÍDAS!$C$7:$C$289,'CONT. ESTOQUE'!$B262,SAÍDAS!$L$7:$L$289)</f>
        <v>0</v>
      </c>
      <c r="I262" s="93">
        <f>SUMIF(ENTRADAS!$C$8:$C$1002,'CONT. ESTOQUE'!$B262,ENTRADAS!$H$7:$H$1002)</f>
        <v>0</v>
      </c>
      <c r="J262" s="94">
        <f>'CONT. ESTOQUE'!$H262-'CONT. ESTOQUE'!$I262</f>
        <v>0</v>
      </c>
    </row>
    <row r="263" spans="2:10" ht="15.75" customHeight="1">
      <c r="B263" s="91" t="str">
        <f>PROD!B263</f>
        <v>RAC 03 QUENTE</v>
      </c>
      <c r="C263" s="92">
        <f>IF('CONT. ESTOQUE'!$B263&lt;&gt;"",SUMIF(ENTRADAS!$C$7:$C$1002,'CONT. ESTOQUE'!$B263,ENTRADAS!$E$7:$E$1002),"")</f>
        <v>4</v>
      </c>
      <c r="D263" s="92">
        <f>IF('CONT. ESTOQUE'!$B263&lt;&gt;"",SUMIF(SAÍDAS!$C$7:$C$800,'CONT. ESTOQUE'!$B263,SAÍDAS!$J$7:$J$800),"")</f>
        <v>2</v>
      </c>
      <c r="E263" s="92">
        <f>IFERROR('CONT. ESTOQUE'!$C263-'CONT. ESTOQUE'!$D263,"")</f>
        <v>2</v>
      </c>
      <c r="F263" s="92">
        <f>IFERROR(VLOOKUP('CONT. ESTOQUE'!$B263,PROD!$B$6:$G$1095,4,0),"")</f>
        <v>0</v>
      </c>
      <c r="G263" s="92" t="str">
        <f>IF('CONT. ESTOQUE'!$B263&lt;&gt;"",IF('CONT. ESTOQUE'!$E263=0,"Sem Estoque",IF('CONT. ESTOQUE'!$E263&lt;'CONT. ESTOQUE'!$F263,"Estoque Perigoso","Estoque Confortável")),"")</f>
        <v>Estoque Confortável</v>
      </c>
      <c r="H263" s="93">
        <f>SUMIF(SAÍDAS!$C$7:$C$289,'CONT. ESTOQUE'!$B263,SAÍDAS!$L$7:$L$289)</f>
        <v>0</v>
      </c>
      <c r="I263" s="93">
        <f>SUMIF(ENTRADAS!$C$8:$C$1002,'CONT. ESTOQUE'!$B263,ENTRADAS!$H$7:$H$1002)</f>
        <v>0</v>
      </c>
      <c r="J263" s="94">
        <f>'CONT. ESTOQUE'!$H263-'CONT. ESTOQUE'!$I263</f>
        <v>0</v>
      </c>
    </row>
    <row r="264" spans="2:10" ht="15.75" customHeight="1">
      <c r="B264" s="91" t="str">
        <f>PROD!B264</f>
        <v>-</v>
      </c>
      <c r="C264" s="92">
        <f>IF('CONT. ESTOQUE'!$B264&lt;&gt;"",SUMIF(ENTRADAS!$C$7:$C$1002,'CONT. ESTOQUE'!$B264,ENTRADAS!$E$7:$E$1002),"")</f>
        <v>0</v>
      </c>
      <c r="D264" s="92">
        <f>IF('CONT. ESTOQUE'!$B264&lt;&gt;"",SUMIF(SAÍDAS!$C$7:$C$800,'CONT. ESTOQUE'!$B264,SAÍDAS!$J$7:$J$800),"")</f>
        <v>0</v>
      </c>
      <c r="E264" s="92">
        <f>IFERROR('CONT. ESTOQUE'!$C264-'CONT. ESTOQUE'!$D264,"")</f>
        <v>0</v>
      </c>
      <c r="F264" s="92">
        <f>IFERROR(VLOOKUP('CONT. ESTOQUE'!$B264,PROD!$B$6:$G$1095,4,0),"")</f>
        <v>0</v>
      </c>
      <c r="G264" s="92" t="str">
        <f>IF('CONT. ESTOQUE'!$B264&lt;&gt;"",IF('CONT. ESTOQUE'!$E264=0,"Sem Estoque",IF('CONT. ESTOQUE'!$E264&lt;'CONT. ESTOQUE'!$F264,"Estoque Perigoso","Estoque Confortável")),"")</f>
        <v>Sem Estoque</v>
      </c>
      <c r="H264" s="93">
        <f>SUMIF(SAÍDAS!$C$7:$C$289,'CONT. ESTOQUE'!$B264,SAÍDAS!$L$7:$L$289)</f>
        <v>0</v>
      </c>
      <c r="I264" s="93">
        <f>SUMIF(ENTRADAS!$C$8:$C$1002,'CONT. ESTOQUE'!$B264,ENTRADAS!$H$7:$H$1002)</f>
        <v>0</v>
      </c>
      <c r="J264" s="94">
        <f>'CONT. ESTOQUE'!$H264-'CONT. ESTOQUE'!$I264</f>
        <v>0</v>
      </c>
    </row>
    <row r="265" spans="2:10" ht="15.75" customHeight="1">
      <c r="B265" s="91" t="str">
        <f>PROD!B265</f>
        <v>-</v>
      </c>
      <c r="C265" s="92">
        <f>IF('CONT. ESTOQUE'!$B265&lt;&gt;"",SUMIF(ENTRADAS!$C$7:$C$1002,'CONT. ESTOQUE'!$B265,ENTRADAS!$E$7:$E$1002),"")</f>
        <v>0</v>
      </c>
      <c r="D265" s="92">
        <f>IF('CONT. ESTOQUE'!$B265&lt;&gt;"",SUMIF(SAÍDAS!$C$7:$C$800,'CONT. ESTOQUE'!$B265,SAÍDAS!$J$7:$J$800),"")</f>
        <v>0</v>
      </c>
      <c r="E265" s="92">
        <f>IFERROR('CONT. ESTOQUE'!$C265-'CONT. ESTOQUE'!$D265,"")</f>
        <v>0</v>
      </c>
      <c r="F265" s="92">
        <f>IFERROR(VLOOKUP('CONT. ESTOQUE'!$B265,PROD!$B$6:$G$1095,4,0),"")</f>
        <v>0</v>
      </c>
      <c r="G265" s="92" t="str">
        <f>IF('CONT. ESTOQUE'!$B265&lt;&gt;"",IF('CONT. ESTOQUE'!$E265=0,"Sem Estoque",IF('CONT. ESTOQUE'!$E265&lt;'CONT. ESTOQUE'!$F265,"Estoque Perigoso","Estoque Confortável")),"")</f>
        <v>Sem Estoque</v>
      </c>
      <c r="H265" s="93">
        <f>SUMIF(SAÍDAS!$C$7:$C$289,'CONT. ESTOQUE'!$B265,SAÍDAS!$L$7:$L$289)</f>
        <v>0</v>
      </c>
      <c r="I265" s="93">
        <f>SUMIF(ENTRADAS!$C$8:$C$1002,'CONT. ESTOQUE'!$B265,ENTRADAS!$H$7:$H$1002)</f>
        <v>0</v>
      </c>
      <c r="J265" s="94">
        <f>'CONT. ESTOQUE'!$H265-'CONT. ESTOQUE'!$I265</f>
        <v>0</v>
      </c>
    </row>
    <row r="266" spans="2:10" ht="15.75" customHeight="1">
      <c r="B266" s="120" t="str">
        <f>PROD!B266</f>
        <v>VD</v>
      </c>
      <c r="C266" s="92">
        <f>IF('CONT. ESTOQUE'!$B266&lt;&gt;"",SUMIF(ENTRADAS!$C$7:$C$1002,'CONT. ESTOQUE'!$B266,ENTRADAS!$E$7:$E$1002),"")</f>
        <v>0</v>
      </c>
      <c r="D266" s="92">
        <f>IF('CONT. ESTOQUE'!$B266&lt;&gt;"",SUMIF(SAÍDAS!$C$7:$C$800,'CONT. ESTOQUE'!$B266,SAÍDAS!$J$7:$J$800),"")</f>
        <v>0</v>
      </c>
      <c r="E266" s="92">
        <f>IFERROR('CONT. ESTOQUE'!$C266-'CONT. ESTOQUE'!$D266,"")</f>
        <v>0</v>
      </c>
      <c r="F266" s="92">
        <f>IFERROR(VLOOKUP('CONT. ESTOQUE'!$B266,PROD!$B$6:$G$1095,4,0),"")</f>
        <v>0</v>
      </c>
      <c r="G266" s="92" t="str">
        <f>IF('CONT. ESTOQUE'!$B266&lt;&gt;"",IF('CONT. ESTOQUE'!$E266=0,"Sem Estoque",IF('CONT. ESTOQUE'!$E266&lt;'CONT. ESTOQUE'!$F266,"Estoque Perigoso","Estoque Confortável")),"")</f>
        <v>Sem Estoque</v>
      </c>
      <c r="H266" s="93">
        <f>SUMIF(SAÍDAS!$C$7:$C$289,'CONT. ESTOQUE'!$B266,SAÍDAS!$L$7:$L$289)</f>
        <v>0</v>
      </c>
      <c r="I266" s="93">
        <f>SUMIF(ENTRADAS!$C$8:$C$1002,'CONT. ESTOQUE'!$B266,ENTRADAS!$H$7:$H$1002)</f>
        <v>0</v>
      </c>
      <c r="J266" s="94">
        <f>'CONT. ESTOQUE'!$H266-'CONT. ESTOQUE'!$I266</f>
        <v>0</v>
      </c>
    </row>
    <row r="267" spans="2:10" ht="15.75" customHeight="1">
      <c r="B267" s="91" t="str">
        <f>PROD!B267</f>
        <v>VD 07 QUENTE</v>
      </c>
      <c r="C267" s="92">
        <f>IF('CONT. ESTOQUE'!$B267&lt;&gt;"",SUMIF(ENTRADAS!$C$7:$C$1002,'CONT. ESTOQUE'!$B267,ENTRADAS!$E$7:$E$1002),"")</f>
        <v>1</v>
      </c>
      <c r="D267" s="92">
        <f>IF('CONT. ESTOQUE'!$B267&lt;&gt;"",SUMIF(SAÍDAS!$C$7:$C$800,'CONT. ESTOQUE'!$B267,SAÍDAS!$J$7:$J$800),"")</f>
        <v>0</v>
      </c>
      <c r="E267" s="92">
        <f>IFERROR('CONT. ESTOQUE'!$C267-'CONT. ESTOQUE'!$D267,"")</f>
        <v>1</v>
      </c>
      <c r="F267" s="92">
        <f>IFERROR(VLOOKUP('CONT. ESTOQUE'!$B267,PROD!$B$6:$G$1095,4,0),"")</f>
        <v>0</v>
      </c>
      <c r="G267" s="92" t="str">
        <f>IF('CONT. ESTOQUE'!$B267&lt;&gt;"",IF('CONT. ESTOQUE'!$E267=0,"Sem Estoque",IF('CONT. ESTOQUE'!$E267&lt;'CONT. ESTOQUE'!$F267,"Estoque Perigoso","Estoque Confortável")),"")</f>
        <v>Estoque Confortável</v>
      </c>
      <c r="H267" s="93">
        <f>SUMIF(SAÍDAS!$C$7:$C$289,'CONT. ESTOQUE'!$B267,SAÍDAS!$L$7:$L$289)</f>
        <v>0</v>
      </c>
      <c r="I267" s="93">
        <f>SUMIF(ENTRADAS!$C$8:$C$1002,'CONT. ESTOQUE'!$B267,ENTRADAS!$H$7:$H$1002)</f>
        <v>0</v>
      </c>
      <c r="J267" s="94">
        <f>'CONT. ESTOQUE'!$H267-'CONT. ESTOQUE'!$I267</f>
        <v>0</v>
      </c>
    </row>
    <row r="268" spans="2:10" ht="15.75" customHeight="1">
      <c r="B268" s="91" t="str">
        <f>PROD!B268</f>
        <v>VD 05 QUENTE</v>
      </c>
      <c r="C268" s="92">
        <f>IF('CONT. ESTOQUE'!$B268&lt;&gt;"",SUMIF(ENTRADAS!$C$7:$C$1002,'CONT. ESTOQUE'!$B268,ENTRADAS!$E$7:$E$1002),"")</f>
        <v>1</v>
      </c>
      <c r="D268" s="92">
        <f>IF('CONT. ESTOQUE'!$B268&lt;&gt;"",SUMIF(SAÍDAS!$C$7:$C$800,'CONT. ESTOQUE'!$B268,SAÍDAS!$J$7:$J$800),"")</f>
        <v>0</v>
      </c>
      <c r="E268" s="92">
        <f>IFERROR('CONT. ESTOQUE'!$C268-'CONT. ESTOQUE'!$D268,"")</f>
        <v>1</v>
      </c>
      <c r="F268" s="92">
        <f>IFERROR(VLOOKUP('CONT. ESTOQUE'!$B268,PROD!$B$6:$G$1095,4,0),"")</f>
        <v>0</v>
      </c>
      <c r="G268" s="92" t="str">
        <f>IF('CONT. ESTOQUE'!$B268&lt;&gt;"",IF('CONT. ESTOQUE'!$E268=0,"Sem Estoque",IF('CONT. ESTOQUE'!$E268&lt;'CONT. ESTOQUE'!$F268,"Estoque Perigoso","Estoque Confortável")),"")</f>
        <v>Estoque Confortável</v>
      </c>
      <c r="H268" s="93">
        <f>SUMIF(SAÍDAS!$C$7:$C$289,'CONT. ESTOQUE'!$B268,SAÍDAS!$L$7:$L$289)</f>
        <v>0</v>
      </c>
      <c r="I268" s="93">
        <f>SUMIF(ENTRADAS!$C$8:$C$1002,'CONT. ESTOQUE'!$B268,ENTRADAS!$H$7:$H$1002)</f>
        <v>0</v>
      </c>
      <c r="J268" s="94">
        <f>'CONT. ESTOQUE'!$H268-'CONT. ESTOQUE'!$I268</f>
        <v>0</v>
      </c>
    </row>
    <row r="269" spans="2:10" ht="15.75" customHeight="1">
      <c r="B269" s="91" t="str">
        <f>PROD!B269</f>
        <v>VD 04 QUENTE</v>
      </c>
      <c r="C269" s="92">
        <f>IF('CONT. ESTOQUE'!$B269&lt;&gt;"",SUMIF(ENTRADAS!$C$7:$C$1002,'CONT. ESTOQUE'!$B269,ENTRADAS!$E$7:$E$1002),"")</f>
        <v>2</v>
      </c>
      <c r="D269" s="92">
        <f>IF('CONT. ESTOQUE'!$B269&lt;&gt;"",SUMIF(SAÍDAS!$C$7:$C$800,'CONT. ESTOQUE'!$B269,SAÍDAS!$J$7:$J$800),"")</f>
        <v>0</v>
      </c>
      <c r="E269" s="92">
        <f>IFERROR('CONT. ESTOQUE'!$C269-'CONT. ESTOQUE'!$D269,"")</f>
        <v>2</v>
      </c>
      <c r="F269" s="92">
        <f>IFERROR(VLOOKUP('CONT. ESTOQUE'!$B269,PROD!$B$6:$G$1095,4,0),"")</f>
        <v>0</v>
      </c>
      <c r="G269" s="92" t="str">
        <f>IF('CONT. ESTOQUE'!$B269&lt;&gt;"",IF('CONT. ESTOQUE'!$E269=0,"Sem Estoque",IF('CONT. ESTOQUE'!$E269&lt;'CONT. ESTOQUE'!$F269,"Estoque Perigoso","Estoque Confortável")),"")</f>
        <v>Estoque Confortável</v>
      </c>
      <c r="H269" s="93">
        <f>SUMIF(SAÍDAS!$C$7:$C$289,'CONT. ESTOQUE'!$B269,SAÍDAS!$L$7:$L$289)</f>
        <v>0</v>
      </c>
      <c r="I269" s="93">
        <f>SUMIF(ENTRADAS!$C$8:$C$1002,'CONT. ESTOQUE'!$B269,ENTRADAS!$H$7:$H$1002)</f>
        <v>0</v>
      </c>
      <c r="J269" s="94">
        <f>'CONT. ESTOQUE'!$H269-'CONT. ESTOQUE'!$I269</f>
        <v>0</v>
      </c>
    </row>
    <row r="270" spans="2:10" ht="15.75" customHeight="1">
      <c r="B270" s="91" t="str">
        <f>PROD!B270</f>
        <v>VD 03 QUENTE</v>
      </c>
      <c r="C270" s="92">
        <f>IF('CONT. ESTOQUE'!$B270&lt;&gt;"",SUMIF(ENTRADAS!$C$7:$C$1002,'CONT. ESTOQUE'!$B270,ENTRADAS!$E$7:$E$1002),"")</f>
        <v>4</v>
      </c>
      <c r="D270" s="92">
        <f>IF('CONT. ESTOQUE'!$B270&lt;&gt;"",SUMIF(SAÍDAS!$C$7:$C$800,'CONT. ESTOQUE'!$B270,SAÍDAS!$J$7:$J$800),"")</f>
        <v>0</v>
      </c>
      <c r="E270" s="92">
        <f>IFERROR('CONT. ESTOQUE'!$C270-'CONT. ESTOQUE'!$D270,"")</f>
        <v>4</v>
      </c>
      <c r="F270" s="92">
        <f>IFERROR(VLOOKUP('CONT. ESTOQUE'!$B270,PROD!$B$6:$G$1095,4,0),"")</f>
        <v>0</v>
      </c>
      <c r="G270" s="92" t="str">
        <f>IF('CONT. ESTOQUE'!$B270&lt;&gt;"",IF('CONT. ESTOQUE'!$E270=0,"Sem Estoque",IF('CONT. ESTOQUE'!$E270&lt;'CONT. ESTOQUE'!$F270,"Estoque Perigoso","Estoque Confortável")),"")</f>
        <v>Estoque Confortável</v>
      </c>
      <c r="H270" s="93">
        <f>SUMIF(SAÍDAS!$C$7:$C$289,'CONT. ESTOQUE'!$B270,SAÍDAS!$L$7:$L$289)</f>
        <v>0</v>
      </c>
      <c r="I270" s="93">
        <f>SUMIF(ENTRADAS!$C$8:$C$1002,'CONT. ESTOQUE'!$B270,ENTRADAS!$H$7:$H$1002)</f>
        <v>0</v>
      </c>
      <c r="J270" s="94">
        <f>'CONT. ESTOQUE'!$H270-'CONT. ESTOQUE'!$I270</f>
        <v>0</v>
      </c>
    </row>
    <row r="271" spans="2:10" ht="15.75" customHeight="1">
      <c r="B271" s="91" t="str">
        <f>PROD!B271</f>
        <v>VD 08 FRIO</v>
      </c>
      <c r="C271" s="92">
        <f>IF('CONT. ESTOQUE'!$B271&lt;&gt;"",SUMIF(ENTRADAS!$C$7:$C$1002,'CONT. ESTOQUE'!$B271,ENTRADAS!$E$7:$E$1002),"")</f>
        <v>1</v>
      </c>
      <c r="D271" s="92">
        <f>IF('CONT. ESTOQUE'!$B271&lt;&gt;"",SUMIF(SAÍDAS!$C$7:$C$800,'CONT. ESTOQUE'!$B271,SAÍDAS!$J$7:$J$800),"")</f>
        <v>0</v>
      </c>
      <c r="E271" s="92">
        <f>IFERROR('CONT. ESTOQUE'!$C271-'CONT. ESTOQUE'!$D271,"")</f>
        <v>1</v>
      </c>
      <c r="F271" s="92">
        <f>IFERROR(VLOOKUP('CONT. ESTOQUE'!$B271,PROD!$B$6:$G$1095,4,0),"")</f>
        <v>0</v>
      </c>
      <c r="G271" s="92" t="str">
        <f>IF('CONT. ESTOQUE'!$B271&lt;&gt;"",IF('CONT. ESTOQUE'!$E271=0,"Sem Estoque",IF('CONT. ESTOQUE'!$E271&lt;'CONT. ESTOQUE'!$F271,"Estoque Perigoso","Estoque Confortável")),"")</f>
        <v>Estoque Confortável</v>
      </c>
      <c r="H271" s="93">
        <f>SUMIF(SAÍDAS!$C$7:$C$289,'CONT. ESTOQUE'!$B271,SAÍDAS!$L$7:$L$289)</f>
        <v>0</v>
      </c>
      <c r="I271" s="93">
        <f>SUMIF(ENTRADAS!$C$8:$C$1002,'CONT. ESTOQUE'!$B271,ENTRADAS!$H$7:$H$1002)</f>
        <v>0</v>
      </c>
      <c r="J271" s="94">
        <f>'CONT. ESTOQUE'!$H271-'CONT. ESTOQUE'!$I271</f>
        <v>0</v>
      </c>
    </row>
    <row r="272" spans="2:10" ht="15.75" customHeight="1">
      <c r="B272" s="91" t="str">
        <f>PROD!B272</f>
        <v>VD 07 FRIO</v>
      </c>
      <c r="C272" s="92">
        <f>IF('CONT. ESTOQUE'!$B272&lt;&gt;"",SUMIF(ENTRADAS!$C$7:$C$1002,'CONT. ESTOQUE'!$B272,ENTRADAS!$E$7:$E$1002),"")</f>
        <v>1</v>
      </c>
      <c r="D272" s="92">
        <f>IF('CONT. ESTOQUE'!$B272&lt;&gt;"",SUMIF(SAÍDAS!$C$7:$C$800,'CONT. ESTOQUE'!$B272,SAÍDAS!$J$7:$J$800),"")</f>
        <v>0</v>
      </c>
      <c r="E272" s="92">
        <f>IFERROR('CONT. ESTOQUE'!$C272-'CONT. ESTOQUE'!$D272,"")</f>
        <v>1</v>
      </c>
      <c r="F272" s="92">
        <f>IFERROR(VLOOKUP('CONT. ESTOQUE'!$B272,PROD!$B$6:$G$1095,4,0),"")</f>
        <v>0</v>
      </c>
      <c r="G272" s="92" t="str">
        <f>IF('CONT. ESTOQUE'!$B272&lt;&gt;"",IF('CONT. ESTOQUE'!$E272=0,"Sem Estoque",IF('CONT. ESTOQUE'!$E272&lt;'CONT. ESTOQUE'!$F272,"Estoque Perigoso","Estoque Confortável")),"")</f>
        <v>Estoque Confortável</v>
      </c>
      <c r="H272" s="93">
        <f>SUMIF(SAÍDAS!$C$7:$C$289,'CONT. ESTOQUE'!$B272,SAÍDAS!$L$7:$L$289)</f>
        <v>0</v>
      </c>
      <c r="I272" s="93">
        <f>SUMIF(ENTRADAS!$C$8:$C$1002,'CONT. ESTOQUE'!$B272,ENTRADAS!$H$7:$H$1002)</f>
        <v>0</v>
      </c>
      <c r="J272" s="94">
        <f>'CONT. ESTOQUE'!$H272-'CONT. ESTOQUE'!$I272</f>
        <v>0</v>
      </c>
    </row>
    <row r="273" spans="2:10" ht="15.75" customHeight="1">
      <c r="B273" s="91" t="str">
        <f>PROD!B273</f>
        <v>VD 06 FRIO</v>
      </c>
      <c r="C273" s="92">
        <f>IF('CONT. ESTOQUE'!$B273&lt;&gt;"",SUMIF(ENTRADAS!$C$7:$C$1002,'CONT. ESTOQUE'!$B273,ENTRADAS!$E$7:$E$1002),"")</f>
        <v>2</v>
      </c>
      <c r="D273" s="92">
        <f>IF('CONT. ESTOQUE'!$B273&lt;&gt;"",SUMIF(SAÍDAS!$C$7:$C$800,'CONT. ESTOQUE'!$B273,SAÍDAS!$J$7:$J$800),"")</f>
        <v>0</v>
      </c>
      <c r="E273" s="92">
        <f>IFERROR('CONT. ESTOQUE'!$C273-'CONT. ESTOQUE'!$D273,"")</f>
        <v>2</v>
      </c>
      <c r="F273" s="92">
        <f>IFERROR(VLOOKUP('CONT. ESTOQUE'!$B273,PROD!$B$6:$G$1095,4,0),"")</f>
        <v>0</v>
      </c>
      <c r="G273" s="92" t="str">
        <f>IF('CONT. ESTOQUE'!$B273&lt;&gt;"",IF('CONT. ESTOQUE'!$E273=0,"Sem Estoque",IF('CONT. ESTOQUE'!$E273&lt;'CONT. ESTOQUE'!$F273,"Estoque Perigoso","Estoque Confortável")),"")</f>
        <v>Estoque Confortável</v>
      </c>
      <c r="H273" s="93">
        <f>SUMIF(SAÍDAS!$C$7:$C$289,'CONT. ESTOQUE'!$B273,SAÍDAS!$L$7:$L$289)</f>
        <v>0</v>
      </c>
      <c r="I273" s="93">
        <f>SUMIF(ENTRADAS!$C$8:$C$1002,'CONT. ESTOQUE'!$B273,ENTRADAS!$H$7:$H$1002)</f>
        <v>0</v>
      </c>
      <c r="J273" s="94">
        <f>'CONT. ESTOQUE'!$H273-'CONT. ESTOQUE'!$I273</f>
        <v>0</v>
      </c>
    </row>
    <row r="274" spans="2:10" ht="15.75" customHeight="1">
      <c r="B274" s="91" t="str">
        <f>PROD!B274</f>
        <v>VD 05 FRIO</v>
      </c>
      <c r="C274" s="92">
        <f>IF('CONT. ESTOQUE'!$B274&lt;&gt;"",SUMIF(ENTRADAS!$C$7:$C$1002,'CONT. ESTOQUE'!$B274,ENTRADAS!$E$7:$E$1002),"")</f>
        <v>3</v>
      </c>
      <c r="D274" s="92">
        <f>IF('CONT. ESTOQUE'!$B274&lt;&gt;"",SUMIF(SAÍDAS!$C$7:$C$800,'CONT. ESTOQUE'!$B274,SAÍDAS!$J$7:$J$800),"")</f>
        <v>0</v>
      </c>
      <c r="E274" s="92">
        <f>IFERROR('CONT. ESTOQUE'!$C274-'CONT. ESTOQUE'!$D274,"")</f>
        <v>3</v>
      </c>
      <c r="F274" s="92">
        <f>IFERROR(VLOOKUP('CONT. ESTOQUE'!$B274,PROD!$B$6:$G$1095,4,0),"")</f>
        <v>0</v>
      </c>
      <c r="G274" s="92" t="str">
        <f>IF('CONT. ESTOQUE'!$B274&lt;&gt;"",IF('CONT. ESTOQUE'!$E274=0,"Sem Estoque",IF('CONT. ESTOQUE'!$E274&lt;'CONT. ESTOQUE'!$F274,"Estoque Perigoso","Estoque Confortável")),"")</f>
        <v>Estoque Confortável</v>
      </c>
      <c r="H274" s="93">
        <f>SUMIF(SAÍDAS!$C$7:$C$289,'CONT. ESTOQUE'!$B274,SAÍDAS!$L$7:$L$289)</f>
        <v>0</v>
      </c>
      <c r="I274" s="93">
        <f>SUMIF(ENTRADAS!$C$8:$C$1002,'CONT. ESTOQUE'!$B274,ENTRADAS!$H$7:$H$1002)</f>
        <v>0</v>
      </c>
      <c r="J274" s="94">
        <f>'CONT. ESTOQUE'!$H274-'CONT. ESTOQUE'!$I274</f>
        <v>0</v>
      </c>
    </row>
    <row r="275" spans="2:10" ht="15.75" customHeight="1">
      <c r="B275" s="91" t="str">
        <f>PROD!B275</f>
        <v>VD 04 FRIO</v>
      </c>
      <c r="C275" s="92">
        <f>IF('CONT. ESTOQUE'!$B275&lt;&gt;"",SUMIF(ENTRADAS!$C$7:$C$1002,'CONT. ESTOQUE'!$B275,ENTRADAS!$E$7:$E$1002),"")</f>
        <v>4</v>
      </c>
      <c r="D275" s="92">
        <f>IF('CONT. ESTOQUE'!$B275&lt;&gt;"",SUMIF(SAÍDAS!$C$7:$C$800,'CONT. ESTOQUE'!$B275,SAÍDAS!$J$7:$J$800),"")</f>
        <v>0</v>
      </c>
      <c r="E275" s="92">
        <f>IFERROR('CONT. ESTOQUE'!$C275-'CONT. ESTOQUE'!$D275,"")</f>
        <v>4</v>
      </c>
      <c r="F275" s="92">
        <f>IFERROR(VLOOKUP('CONT. ESTOQUE'!$B275,PROD!$B$6:$G$1095,4,0),"")</f>
        <v>0</v>
      </c>
      <c r="G275" s="92" t="str">
        <f>IF('CONT. ESTOQUE'!$B275&lt;&gt;"",IF('CONT. ESTOQUE'!$E275=0,"Sem Estoque",IF('CONT. ESTOQUE'!$E275&lt;'CONT. ESTOQUE'!$F275,"Estoque Perigoso","Estoque Confortável")),"")</f>
        <v>Estoque Confortável</v>
      </c>
      <c r="H275" s="93">
        <f>SUMIF(SAÍDAS!$C$7:$C$289,'CONT. ESTOQUE'!$B275,SAÍDAS!$L$7:$L$289)</f>
        <v>0</v>
      </c>
      <c r="I275" s="93">
        <f>SUMIF(ENTRADAS!$C$8:$C$1002,'CONT. ESTOQUE'!$B275,ENTRADAS!$H$7:$H$1002)</f>
        <v>0</v>
      </c>
      <c r="J275" s="94">
        <f>'CONT. ESTOQUE'!$H275-'CONT. ESTOQUE'!$I275</f>
        <v>0</v>
      </c>
    </row>
    <row r="276" spans="2:10" s="127" customFormat="1" ht="15.75" customHeight="1">
      <c r="B276" s="91" t="str">
        <f>PROD!B276</f>
        <v>VD 01 FRIO</v>
      </c>
      <c r="C276" s="92">
        <f>IF('CONT. ESTOQUE'!$B276&lt;&gt;"",SUMIF(ENTRADAS!$C$7:$C$1002,'CONT. ESTOQUE'!$B276,ENTRADAS!$E$7:$E$1002),"")</f>
        <v>4</v>
      </c>
      <c r="D276" s="92">
        <f>IF('CONT. ESTOQUE'!$B276&lt;&gt;"",SUMIF(SAÍDAS!$C$7:$C$800,'CONT. ESTOQUE'!$B276,SAÍDAS!$J$7:$J$800),"")</f>
        <v>1</v>
      </c>
      <c r="E276" s="92">
        <f>IFERROR('CONT. ESTOQUE'!$C276-'CONT. ESTOQUE'!$D276,"")</f>
        <v>3</v>
      </c>
      <c r="F276" s="92">
        <f>IFERROR(VLOOKUP('CONT. ESTOQUE'!$B276,PROD!$B$6:$G$1095,4,0),"")</f>
        <v>0</v>
      </c>
      <c r="G276" s="92" t="str">
        <f>IF('CONT. ESTOQUE'!$B276&lt;&gt;"",IF('CONT. ESTOQUE'!$E276=0,"Sem Estoque",IF('CONT. ESTOQUE'!$E276&lt;'CONT. ESTOQUE'!$F276,"Estoque Perigoso","Estoque Confortável")),"")</f>
        <v>Estoque Confortável</v>
      </c>
      <c r="H276" s="93">
        <f>SUMIF(SAÍDAS!$C$7:$C$289,'CONT. ESTOQUE'!$B276,SAÍDAS!$L$7:$L$289)</f>
        <v>0</v>
      </c>
      <c r="I276" s="93">
        <f>SUMIF(ENTRADAS!$C$8:$C$1002,'CONT. ESTOQUE'!$B276,ENTRADAS!$H$7:$H$1002)</f>
        <v>0</v>
      </c>
      <c r="J276" s="94">
        <f>'CONT. ESTOQUE'!$H276-'CONT. ESTOQUE'!$I276</f>
        <v>0</v>
      </c>
    </row>
    <row r="277" spans="2:10" s="127" customFormat="1" ht="15.75" customHeight="1">
      <c r="B277" s="91" t="str">
        <f>PROD!B277</f>
        <v>REMENDO 04</v>
      </c>
      <c r="C277" s="92">
        <f>IF('CONT. ESTOQUE'!$B277&lt;&gt;"",SUMIF(ENTRADAS!$C$7:$C$1002,'CONT. ESTOQUE'!$B277,ENTRADAS!$E$7:$E$1002),"")</f>
        <v>9</v>
      </c>
      <c r="D277" s="92">
        <f>IF('CONT. ESTOQUE'!$B277&lt;&gt;"",SUMIF(SAÍDAS!$C$7:$C$800,'CONT. ESTOQUE'!$B277,SAÍDAS!$J$7:$J$800),"")</f>
        <v>0</v>
      </c>
      <c r="E277" s="92">
        <f>IFERROR('CONT. ESTOQUE'!$C277-'CONT. ESTOQUE'!$D277,"")</f>
        <v>9</v>
      </c>
      <c r="F277" s="92">
        <f>IFERROR(VLOOKUP('CONT. ESTOQUE'!$B277,PROD!$B$6:$G$1095,4,0),"")</f>
        <v>0</v>
      </c>
      <c r="G277" s="92" t="str">
        <f>IF('CONT. ESTOQUE'!$B277&lt;&gt;"",IF('CONT. ESTOQUE'!$E277=0,"Sem Estoque",IF('CONT. ESTOQUE'!$E277&lt;'CONT. ESTOQUE'!$F277,"Estoque Perigoso","Estoque Confortável")),"")</f>
        <v>Estoque Confortável</v>
      </c>
      <c r="H277" s="93">
        <f>SUMIF(SAÍDAS!$C$7:$C$289,'CONT. ESTOQUE'!$B277,SAÍDAS!$L$7:$L$289)</f>
        <v>0</v>
      </c>
      <c r="I277" s="93">
        <f>SUMIF(ENTRADAS!$C$8:$C$1002,'CONT. ESTOQUE'!$B277,ENTRADAS!$H$7:$H$1002)</f>
        <v>0</v>
      </c>
      <c r="J277" s="94">
        <f>'CONT. ESTOQUE'!$H277-'CONT. ESTOQUE'!$I277</f>
        <v>0</v>
      </c>
    </row>
    <row r="278" spans="2:10" s="127" customFormat="1" ht="15.75" customHeight="1">
      <c r="B278" s="91" t="str">
        <f>PROD!B278</f>
        <v>REMENDO 03</v>
      </c>
      <c r="C278" s="92">
        <f>IF('CONT. ESTOQUE'!$B278&lt;&gt;"",SUMIF(ENTRADAS!$C$7:$C$1002,'CONT. ESTOQUE'!$B278,ENTRADAS!$E$7:$E$1002),"")</f>
        <v>2</v>
      </c>
      <c r="D278" s="92">
        <f>IF('CONT. ESTOQUE'!$B278&lt;&gt;"",SUMIF(SAÍDAS!$C$7:$C$800,'CONT. ESTOQUE'!$B278,SAÍDAS!$J$7:$J$800),"")</f>
        <v>0</v>
      </c>
      <c r="E278" s="92">
        <f>IFERROR('CONT. ESTOQUE'!$C278-'CONT. ESTOQUE'!$D278,"")</f>
        <v>2</v>
      </c>
      <c r="F278" s="92">
        <f>IFERROR(VLOOKUP('CONT. ESTOQUE'!$B278,PROD!$B$6:$G$1095,4,0),"")</f>
        <v>0</v>
      </c>
      <c r="G278" s="92" t="str">
        <f>IF('CONT. ESTOQUE'!$B278&lt;&gt;"",IF('CONT. ESTOQUE'!$E278=0,"Sem Estoque",IF('CONT. ESTOQUE'!$E278&lt;'CONT. ESTOQUE'!$F278,"Estoque Perigoso","Estoque Confortável")),"")</f>
        <v>Estoque Confortável</v>
      </c>
      <c r="H278" s="93">
        <f>SUMIF(SAÍDAS!$C$7:$C$289,'CONT. ESTOQUE'!$B278,SAÍDAS!$L$7:$L$289)</f>
        <v>0</v>
      </c>
      <c r="I278" s="93">
        <f>SUMIF(ENTRADAS!$C$8:$C$1002,'CONT. ESTOQUE'!$B278,ENTRADAS!$H$7:$H$1002)</f>
        <v>0</v>
      </c>
      <c r="J278" s="94">
        <f>'CONT. ESTOQUE'!$H278-'CONT. ESTOQUE'!$I278</f>
        <v>0</v>
      </c>
    </row>
    <row r="279" spans="2:10" ht="15.75" customHeight="1">
      <c r="B279" s="91" t="str">
        <f>PROD!B279</f>
        <v>REPARO P/ PNEU SEM CÂMARA</v>
      </c>
      <c r="C279" s="92">
        <f>IF('CONT. ESTOQUE'!$B279&lt;&gt;"",SUMIF(ENTRADAS!$C$7:$C$1002,'CONT. ESTOQUE'!$B279,ENTRADAS!$E$7:$E$1002),"")</f>
        <v>1</v>
      </c>
      <c r="D279" s="92">
        <f>IF('CONT. ESTOQUE'!$B279&lt;&gt;"",SUMIF(SAÍDAS!$C$7:$C$800,'CONT. ESTOQUE'!$B279,SAÍDAS!$J$7:$J$800),"")</f>
        <v>0</v>
      </c>
      <c r="E279" s="92">
        <f>IFERROR('CONT. ESTOQUE'!$C279-'CONT. ESTOQUE'!$D279,"")</f>
        <v>1</v>
      </c>
      <c r="F279" s="92">
        <f>IFERROR(VLOOKUP('CONT. ESTOQUE'!$B279,PROD!$B$6:$G$1095,4,0),"")</f>
        <v>0</v>
      </c>
      <c r="G279" s="92" t="str">
        <f>IF('CONT. ESTOQUE'!$B279&lt;&gt;"",IF('CONT. ESTOQUE'!$E279=0,"Sem Estoque",IF('CONT. ESTOQUE'!$E279&lt;'CONT. ESTOQUE'!$F279,"Estoque Perigoso","Estoque Confortável")),"")</f>
        <v>Estoque Confortável</v>
      </c>
      <c r="H279" s="93">
        <f>SUMIF(SAÍDAS!$C$7:$C$289,'CONT. ESTOQUE'!$B279,SAÍDAS!$L$7:$L$289)</f>
        <v>0</v>
      </c>
      <c r="I279" s="93">
        <f>SUMIF(ENTRADAS!$C$8:$C$1002,'CONT. ESTOQUE'!$B279,ENTRADAS!$H$7:$H$1002)</f>
        <v>0</v>
      </c>
      <c r="J279" s="94">
        <f>'CONT. ESTOQUE'!$H279-'CONT. ESTOQUE'!$I279</f>
        <v>0</v>
      </c>
    </row>
    <row r="280" spans="2:10" ht="15.75" customHeight="1">
      <c r="B280" s="91" t="str">
        <f>PROD!B280</f>
        <v>-</v>
      </c>
      <c r="C280" s="92">
        <f>IF('CONT. ESTOQUE'!$B280&lt;&gt;"",SUMIF(ENTRADAS!$C$7:$C$1002,'CONT. ESTOQUE'!$B280,ENTRADAS!$E$7:$E$1002),"")</f>
        <v>0</v>
      </c>
      <c r="D280" s="92">
        <f>IF('CONT. ESTOQUE'!$B280&lt;&gt;"",SUMIF(SAÍDAS!$C$7:$C$800,'CONT. ESTOQUE'!$B280,SAÍDAS!$J$7:$J$800),"")</f>
        <v>0</v>
      </c>
      <c r="E280" s="92">
        <f>IFERROR('CONT. ESTOQUE'!$C280-'CONT. ESTOQUE'!$D280,"")</f>
        <v>0</v>
      </c>
      <c r="F280" s="92">
        <f>IFERROR(VLOOKUP('CONT. ESTOQUE'!$B280,PROD!$B$6:$G$1095,4,0),"")</f>
        <v>0</v>
      </c>
      <c r="G280" s="92" t="str">
        <f>IF('CONT. ESTOQUE'!$B280&lt;&gt;"",IF('CONT. ESTOQUE'!$E280=0,"Sem Estoque",IF('CONT. ESTOQUE'!$E280&lt;'CONT. ESTOQUE'!$F280,"Estoque Perigoso","Estoque Confortável")),"")</f>
        <v>Sem Estoque</v>
      </c>
      <c r="H280" s="93">
        <f>SUMIF(SAÍDAS!$C$7:$C$289,'CONT. ESTOQUE'!$B280,SAÍDAS!$L$7:$L$289)</f>
        <v>0</v>
      </c>
      <c r="I280" s="93">
        <f>SUMIF(ENTRADAS!$C$8:$C$1002,'CONT. ESTOQUE'!$B280,ENTRADAS!$H$7:$H$1002)</f>
        <v>0</v>
      </c>
      <c r="J280" s="94">
        <f>'CONT. ESTOQUE'!$H280-'CONT. ESTOQUE'!$I280</f>
        <v>0</v>
      </c>
    </row>
    <row r="281" spans="2:10" ht="15.75" customHeight="1">
      <c r="B281" s="91" t="str">
        <f>PROD!B281</f>
        <v>-</v>
      </c>
      <c r="C281" s="92">
        <f>IF('CONT. ESTOQUE'!$B281&lt;&gt;"",SUMIF(ENTRADAS!$C$7:$C$1002,'CONT. ESTOQUE'!$B281,ENTRADAS!$E$7:$E$1002),"")</f>
        <v>0</v>
      </c>
      <c r="D281" s="92">
        <f>IF('CONT. ESTOQUE'!$B281&lt;&gt;"",SUMIF(SAÍDAS!$C$7:$C$800,'CONT. ESTOQUE'!$B281,SAÍDAS!$J$7:$J$800),"")</f>
        <v>0</v>
      </c>
      <c r="E281" s="92">
        <f>IFERROR('CONT. ESTOQUE'!$C281-'CONT. ESTOQUE'!$D281,"")</f>
        <v>0</v>
      </c>
      <c r="F281" s="92">
        <f>IFERROR(VLOOKUP('CONT. ESTOQUE'!$B281,PROD!$B$6:$G$1095,4,0),"")</f>
        <v>0</v>
      </c>
      <c r="G281" s="92" t="str">
        <f>IF('CONT. ESTOQUE'!$B281&lt;&gt;"",IF('CONT. ESTOQUE'!$E281=0,"Sem Estoque",IF('CONT. ESTOQUE'!$E281&lt;'CONT. ESTOQUE'!$F281,"Estoque Perigoso","Estoque Confortável")),"")</f>
        <v>Sem Estoque</v>
      </c>
      <c r="H281" s="93">
        <f>SUMIF(SAÍDAS!$C$7:$C$289,'CONT. ESTOQUE'!$B281,SAÍDAS!$L$7:$L$289)</f>
        <v>0</v>
      </c>
      <c r="I281" s="93">
        <f>SUMIF(ENTRADAS!$C$8:$C$1002,'CONT. ESTOQUE'!$B281,ENTRADAS!$H$7:$H$1002)</f>
        <v>0</v>
      </c>
      <c r="J281" s="94">
        <f>'CONT. ESTOQUE'!$H281-'CONT. ESTOQUE'!$I281</f>
        <v>0</v>
      </c>
    </row>
    <row r="282" spans="2:10" ht="15.75" customHeight="1">
      <c r="B282" s="91" t="str">
        <f>PROD!B282</f>
        <v>-</v>
      </c>
      <c r="C282" s="92">
        <f>IF('CONT. ESTOQUE'!$B282&lt;&gt;"",SUMIF(ENTRADAS!$C$7:$C$1002,'CONT. ESTOQUE'!$B282,ENTRADAS!$E$7:$E$1002),"")</f>
        <v>0</v>
      </c>
      <c r="D282" s="92">
        <f>IF('CONT. ESTOQUE'!$B282&lt;&gt;"",SUMIF(SAÍDAS!$C$7:$C$800,'CONT. ESTOQUE'!$B282,SAÍDAS!$J$7:$J$800),"")</f>
        <v>0</v>
      </c>
      <c r="E282" s="92">
        <f>IFERROR('CONT. ESTOQUE'!$C282-'CONT. ESTOQUE'!$D282,"")</f>
        <v>0</v>
      </c>
      <c r="F282" s="92">
        <f>IFERROR(VLOOKUP('CONT. ESTOQUE'!$B282,PROD!$B$6:$G$1095,4,0),"")</f>
        <v>0</v>
      </c>
      <c r="G282" s="92" t="str">
        <f>IF('CONT. ESTOQUE'!$B282&lt;&gt;"",IF('CONT. ESTOQUE'!$E282=0,"Sem Estoque",IF('CONT. ESTOQUE'!$E282&lt;'CONT. ESTOQUE'!$F282,"Estoque Perigoso","Estoque Confortável")),"")</f>
        <v>Sem Estoque</v>
      </c>
      <c r="H282" s="93">
        <f>SUMIF(SAÍDAS!$C$7:$C$289,'CONT. ESTOQUE'!$B282,SAÍDAS!$L$7:$L$289)</f>
        <v>0</v>
      </c>
      <c r="I282" s="93">
        <f>SUMIF(ENTRADAS!$C$8:$C$1002,'CONT. ESTOQUE'!$B282,ENTRADAS!$H$7:$H$1002)</f>
        <v>0</v>
      </c>
      <c r="J282" s="94">
        <f>'CONT. ESTOQUE'!$H282-'CONT. ESTOQUE'!$I282</f>
        <v>0</v>
      </c>
    </row>
    <row r="283" spans="2:10" ht="15.75" customHeight="1">
      <c r="B283" s="91" t="str">
        <f>PROD!B283</f>
        <v>PASTA P/MONTAGEM</v>
      </c>
      <c r="C283" s="92">
        <f>IF('CONT. ESTOQUE'!$B283&lt;&gt;"",SUMIF(ENTRADAS!$C$7:$C$1002,'CONT. ESTOQUE'!$B283,ENTRADAS!$E$7:$E$1002),"")</f>
        <v>21</v>
      </c>
      <c r="D283" s="92">
        <f>IF('CONT. ESTOQUE'!$B283&lt;&gt;"",SUMIF(SAÍDAS!$C$7:$C$800,'CONT. ESTOQUE'!$B283,SAÍDAS!$J$7:$J$800),"")</f>
        <v>10</v>
      </c>
      <c r="E283" s="92">
        <f>IFERROR('CONT. ESTOQUE'!$C283-'CONT. ESTOQUE'!$D283,"")</f>
        <v>11</v>
      </c>
      <c r="F283" s="92">
        <f>IFERROR(VLOOKUP('CONT. ESTOQUE'!$B283,PROD!$B$6:$G$1095,4,0),"")</f>
        <v>0</v>
      </c>
      <c r="G283" s="92" t="str">
        <f>IF('CONT. ESTOQUE'!$B283&lt;&gt;"",IF('CONT. ESTOQUE'!$E283=0,"Sem Estoque",IF('CONT. ESTOQUE'!$E283&lt;'CONT. ESTOQUE'!$F283,"Estoque Perigoso","Estoque Confortável")),"")</f>
        <v>Estoque Confortável</v>
      </c>
      <c r="H283" s="93">
        <f>SUMIF(SAÍDAS!$C$7:$C$289,'CONT. ESTOQUE'!$B283,SAÍDAS!$L$7:$L$289)</f>
        <v>0</v>
      </c>
      <c r="I283" s="93">
        <f>SUMIF(ENTRADAS!$C$8:$C$1002,'CONT. ESTOQUE'!$B283,ENTRADAS!$H$7:$H$1002)</f>
        <v>0</v>
      </c>
      <c r="J283" s="94">
        <f>'CONT. ESTOQUE'!$H283-'CONT. ESTOQUE'!$I283</f>
        <v>0</v>
      </c>
    </row>
    <row r="284" spans="2:10" ht="15.75" customHeight="1">
      <c r="B284" s="91" t="str">
        <f>PROD!B284</f>
        <v>SELANTE</v>
      </c>
      <c r="C284" s="92">
        <f>IF('CONT. ESTOQUE'!$B284&lt;&gt;"",SUMIF(ENTRADAS!$C$7:$C$1002,'CONT. ESTOQUE'!$B284,ENTRADAS!$E$7:$E$1002),"")</f>
        <v>21</v>
      </c>
      <c r="D284" s="92">
        <f>IF('CONT. ESTOQUE'!$B284&lt;&gt;"",SUMIF(SAÍDAS!$C$7:$C$800,'CONT. ESTOQUE'!$B284,SAÍDAS!$J$7:$J$800),"")</f>
        <v>16</v>
      </c>
      <c r="E284" s="92">
        <f>IFERROR('CONT. ESTOQUE'!$C284-'CONT. ESTOQUE'!$D284,"")</f>
        <v>5</v>
      </c>
      <c r="F284" s="92">
        <f>IFERROR(VLOOKUP('CONT. ESTOQUE'!$B284,PROD!$B$6:$G$1095,4,0),"")</f>
        <v>0</v>
      </c>
      <c r="G284" s="92" t="str">
        <f>IF('CONT. ESTOQUE'!$B284&lt;&gt;"",IF('CONT. ESTOQUE'!$E284=0,"Sem Estoque",IF('CONT. ESTOQUE'!$E284&lt;'CONT. ESTOQUE'!$F284,"Estoque Perigoso","Estoque Confortável")),"")</f>
        <v>Estoque Confortável</v>
      </c>
      <c r="H284" s="93">
        <f>SUMIF(SAÍDAS!$C$7:$C$289,'CONT. ESTOQUE'!$B284,SAÍDAS!$L$7:$L$289)</f>
        <v>0</v>
      </c>
      <c r="I284" s="93">
        <f>SUMIF(ENTRADAS!$C$8:$C$1002,'CONT. ESTOQUE'!$B284,ENTRADAS!$H$7:$H$1002)</f>
        <v>0</v>
      </c>
      <c r="J284" s="94">
        <f>'CONT. ESTOQUE'!$H284-'CONT. ESTOQUE'!$I284</f>
        <v>0</v>
      </c>
    </row>
    <row r="285" spans="2:10" ht="15.75" customHeight="1">
      <c r="B285" s="91" t="str">
        <f>PROD!B285</f>
        <v>CIMENTO VULCANIZANTE</v>
      </c>
      <c r="C285" s="92">
        <f>IF('CONT. ESTOQUE'!$B285&lt;&gt;"",SUMIF(ENTRADAS!$C$7:$C$1002,'CONT. ESTOQUE'!$B285,ENTRADAS!$E$7:$E$1002),"")</f>
        <v>10</v>
      </c>
      <c r="D285" s="92">
        <f>IF('CONT. ESTOQUE'!$B285&lt;&gt;"",SUMIF(SAÍDAS!$C$7:$C$800,'CONT. ESTOQUE'!$B285,SAÍDAS!$J$7:$J$800),"")</f>
        <v>1</v>
      </c>
      <c r="E285" s="92">
        <f>IFERROR('CONT. ESTOQUE'!$C285-'CONT. ESTOQUE'!$D285,"")</f>
        <v>9</v>
      </c>
      <c r="F285" s="92">
        <f>IFERROR(VLOOKUP('CONT. ESTOQUE'!$B285,PROD!$B$6:$G$1095,4,0),"")</f>
        <v>0</v>
      </c>
      <c r="G285" s="92" t="str">
        <f>IF('CONT. ESTOQUE'!$B285&lt;&gt;"",IF('CONT. ESTOQUE'!$E285=0,"Sem Estoque",IF('CONT. ESTOQUE'!$E285&lt;'CONT. ESTOQUE'!$F285,"Estoque Perigoso","Estoque Confortável")),"")</f>
        <v>Estoque Confortável</v>
      </c>
      <c r="H285" s="93">
        <f>SUMIF(SAÍDAS!$C$7:$C$289,'CONT. ESTOQUE'!$B285,SAÍDAS!$L$7:$L$289)</f>
        <v>0</v>
      </c>
      <c r="I285" s="93">
        <f>SUMIF(ENTRADAS!$C$8:$C$1002,'CONT. ESTOQUE'!$B285,ENTRADAS!$H$7:$H$1002)</f>
        <v>0</v>
      </c>
      <c r="J285" s="94">
        <f>'CONT. ESTOQUE'!$H285-'CONT. ESTOQUE'!$I285</f>
        <v>0</v>
      </c>
    </row>
    <row r="286" spans="2:10" ht="15.75" customHeight="1">
      <c r="B286" s="91" t="str">
        <f>PROD!B286</f>
        <v>COLA</v>
      </c>
      <c r="C286" s="92">
        <f>IF('CONT. ESTOQUE'!$B286&lt;&gt;"",SUMIF(ENTRADAS!$C$7:$C$1002,'CONT. ESTOQUE'!$B286,ENTRADAS!$E$7:$E$1002),"")</f>
        <v>74</v>
      </c>
      <c r="D286" s="92">
        <f>IF('CONT. ESTOQUE'!$B286&lt;&gt;"",SUMIF(SAÍDAS!$C$7:$C$800,'CONT. ESTOQUE'!$B286,SAÍDAS!$J$7:$J$800),"")</f>
        <v>4</v>
      </c>
      <c r="E286" s="92">
        <f>IFERROR('CONT. ESTOQUE'!$C286-'CONT. ESTOQUE'!$D286,"")</f>
        <v>70</v>
      </c>
      <c r="F286" s="92">
        <f>IFERROR(VLOOKUP('CONT. ESTOQUE'!$B286,PROD!$B$6:$G$1095,4,0),"")</f>
        <v>0</v>
      </c>
      <c r="G286" s="92" t="str">
        <f>IF('CONT. ESTOQUE'!$B286&lt;&gt;"",IF('CONT. ESTOQUE'!$E286=0,"Sem Estoque",IF('CONT. ESTOQUE'!$E286&lt;'CONT. ESTOQUE'!$F286,"Estoque Perigoso","Estoque Confortável")),"")</f>
        <v>Estoque Confortável</v>
      </c>
      <c r="H286" s="93">
        <f>SUMIF(SAÍDAS!$C$7:$C$289,'CONT. ESTOQUE'!$B286,SAÍDAS!$L$7:$L$289)</f>
        <v>0</v>
      </c>
      <c r="I286" s="93">
        <f>SUMIF(ENTRADAS!$C$8:$C$1002,'CONT. ESTOQUE'!$B286,ENTRADAS!$H$7:$H$1002)</f>
        <v>0</v>
      </c>
      <c r="J286" s="94">
        <f>'CONT. ESTOQUE'!$H286-'CONT. ESTOQUE'!$I286</f>
        <v>0</v>
      </c>
    </row>
    <row r="287" spans="2:10" ht="15.75" customHeight="1">
      <c r="B287" s="91" t="str">
        <f>PROD!B287</f>
        <v>PERFIL EXTRUSORA</v>
      </c>
      <c r="C287" s="92">
        <f>IF('CONT. ESTOQUE'!$B287&lt;&gt;"",SUMIF(ENTRADAS!$C$7:$C$1002,'CONT. ESTOQUE'!$B287,ENTRADAS!$E$7:$E$1002),"")</f>
        <v>17</v>
      </c>
      <c r="D287" s="92">
        <f>IF('CONT. ESTOQUE'!$B287&lt;&gt;"",SUMIF(SAÍDAS!$C$7:$C$800,'CONT. ESTOQUE'!$B287,SAÍDAS!$J$7:$J$800),"")</f>
        <v>0</v>
      </c>
      <c r="E287" s="92">
        <f>IFERROR('CONT. ESTOQUE'!$C287-'CONT. ESTOQUE'!$D287,"")</f>
        <v>17</v>
      </c>
      <c r="F287" s="92">
        <f>IFERROR(VLOOKUP('CONT. ESTOQUE'!$B287,PROD!$B$6:$G$1095,4,0),"")</f>
        <v>0</v>
      </c>
      <c r="G287" s="92" t="str">
        <f>IF('CONT. ESTOQUE'!$B287&lt;&gt;"",IF('CONT. ESTOQUE'!$E287=0,"Sem Estoque",IF('CONT. ESTOQUE'!$E287&lt;'CONT. ESTOQUE'!$F287,"Estoque Perigoso","Estoque Confortável")),"")</f>
        <v>Estoque Confortável</v>
      </c>
      <c r="H287" s="93">
        <f>SUMIF(SAÍDAS!$C$7:$C$289,'CONT. ESTOQUE'!$B287,SAÍDAS!$L$7:$L$289)</f>
        <v>0</v>
      </c>
      <c r="I287" s="93">
        <f>SUMIF(ENTRADAS!$C$8:$C$1002,'CONT. ESTOQUE'!$B287,ENTRADAS!$H$7:$H$1002)</f>
        <v>0</v>
      </c>
      <c r="J287" s="94">
        <f>'CONT. ESTOQUE'!$H287-'CONT. ESTOQUE'!$I287</f>
        <v>0</v>
      </c>
    </row>
    <row r="288" spans="2:10" s="150" customFormat="1" ht="15.75" customHeight="1">
      <c r="B288" s="91" t="str">
        <f>PROD!B288</f>
        <v>LIGAÇÃO-245</v>
      </c>
      <c r="C288" s="92">
        <f>IF('CONT. ESTOQUE'!$B288&lt;&gt;"",SUMIF(ENTRADAS!$C$7:$C$1002,'CONT. ESTOQUE'!$B288,ENTRADAS!$E$7:$E$1002),"")</f>
        <v>13</v>
      </c>
      <c r="D288" s="92">
        <f>IF('CONT. ESTOQUE'!$B288&lt;&gt;"",SUMIF(SAÍDAS!$C$7:$C$800,'CONT. ESTOQUE'!$B288,SAÍDAS!$J$7:$J$800),"")</f>
        <v>0</v>
      </c>
      <c r="E288" s="92">
        <f>IFERROR('CONT. ESTOQUE'!$C288-'CONT. ESTOQUE'!$D288,"")</f>
        <v>13</v>
      </c>
      <c r="F288" s="92">
        <f>IFERROR(VLOOKUP('CONT. ESTOQUE'!$B288,PROD!$B$6:$G$1095,4,0),"")</f>
        <v>0</v>
      </c>
      <c r="G288" s="92" t="str">
        <f>IF('CONT. ESTOQUE'!$B288&lt;&gt;"",IF('CONT. ESTOQUE'!$E288=0,"Sem Estoque",IF('CONT. ESTOQUE'!$E288&lt;'CONT. ESTOQUE'!$F288,"Estoque Perigoso","Estoque Confortável")),"")</f>
        <v>Estoque Confortável</v>
      </c>
      <c r="H288" s="93">
        <f>SUMIF(SAÍDAS!$C$7:$C$289,'CONT. ESTOQUE'!$B288,SAÍDAS!$L$7:$L$289)</f>
        <v>0</v>
      </c>
      <c r="I288" s="93">
        <f>SUMIF(ENTRADAS!$C$8:$C$1002,'CONT. ESTOQUE'!$B288,ENTRADAS!$H$7:$H$1002)</f>
        <v>0</v>
      </c>
      <c r="J288" s="94">
        <f>'CONT. ESTOQUE'!$H288-'CONT. ESTOQUE'!$I288</f>
        <v>0</v>
      </c>
    </row>
    <row r="289" spans="2:10" s="150" customFormat="1" ht="15.75" customHeight="1">
      <c r="B289" s="91" t="str">
        <f>PROD!B289</f>
        <v>LIGAÇÃO-215</v>
      </c>
      <c r="C289" s="92">
        <f>IF('CONT. ESTOQUE'!$B289&lt;&gt;"",SUMIF(ENTRADAS!$C$7:$C$1002,'CONT. ESTOQUE'!$B289,ENTRADAS!$E$7:$E$1002),"")</f>
        <v>4</v>
      </c>
      <c r="D289" s="92">
        <f>IF('CONT. ESTOQUE'!$B289&lt;&gt;"",SUMIF(SAÍDAS!$C$7:$C$800,'CONT. ESTOQUE'!$B289,SAÍDAS!$J$7:$J$800),"")</f>
        <v>0</v>
      </c>
      <c r="E289" s="92">
        <f>IFERROR('CONT. ESTOQUE'!$C289-'CONT. ESTOQUE'!$D289,"")</f>
        <v>4</v>
      </c>
      <c r="F289" s="92">
        <f>IFERROR(VLOOKUP('CONT. ESTOQUE'!$B289,PROD!$B$6:$G$1095,4,0),"")</f>
        <v>0</v>
      </c>
      <c r="G289" s="92" t="str">
        <f>IF('CONT. ESTOQUE'!$B289&lt;&gt;"",IF('CONT. ESTOQUE'!$E289=0,"Sem Estoque",IF('CONT. ESTOQUE'!$E289&lt;'CONT. ESTOQUE'!$F289,"Estoque Perigoso","Estoque Confortável")),"")</f>
        <v>Estoque Confortável</v>
      </c>
      <c r="H289" s="93">
        <f>SUMIF(SAÍDAS!$C$7:$C$289,'CONT. ESTOQUE'!$B289,SAÍDAS!$L$7:$L$289)</f>
        <v>0</v>
      </c>
      <c r="I289" s="93">
        <f>SUMIF(ENTRADAS!$C$8:$C$1002,'CONT. ESTOQUE'!$B289,ENTRADAS!$H$7:$H$1002)</f>
        <v>0</v>
      </c>
      <c r="J289" s="94">
        <f>'CONT. ESTOQUE'!$H289-'CONT. ESTOQUE'!$I289</f>
        <v>0</v>
      </c>
    </row>
    <row r="290" spans="2:10" ht="15.75" customHeight="1">
      <c r="B290" s="91" t="str">
        <f>PROD!B290</f>
        <v>LIGAÇÃO-175</v>
      </c>
      <c r="C290" s="92">
        <f>IF('CONT. ESTOQUE'!$B290&lt;&gt;"",SUMIF(ENTRADAS!$C$7:$C$1002,'CONT. ESTOQUE'!$B290,ENTRADAS!$E$7:$E$1002),"")</f>
        <v>4</v>
      </c>
      <c r="D290" s="92">
        <f>IF('CONT. ESTOQUE'!$B290&lt;&gt;"",SUMIF(SAÍDAS!$C$7:$C$800,'CONT. ESTOQUE'!$B290,SAÍDAS!$J$7:$J$800),"")</f>
        <v>0</v>
      </c>
      <c r="E290" s="92">
        <f>IFERROR('CONT. ESTOQUE'!$C290-'CONT. ESTOQUE'!$D290,"")</f>
        <v>4</v>
      </c>
      <c r="F290" s="92">
        <f>IFERROR(VLOOKUP('CONT. ESTOQUE'!$B290,PROD!$B$6:$G$1095,4,0),"")</f>
        <v>0</v>
      </c>
      <c r="G290" s="92" t="str">
        <f>IF('CONT. ESTOQUE'!$B290&lt;&gt;"",IF('CONT. ESTOQUE'!$E290=0,"Sem Estoque",IF('CONT. ESTOQUE'!$E290&lt;'CONT. ESTOQUE'!$F290,"Estoque Perigoso","Estoque Confortável")),"")</f>
        <v>Estoque Confortável</v>
      </c>
      <c r="H290" s="93">
        <f>SUMIF(SAÍDAS!$C$7:$C$289,'CONT. ESTOQUE'!$B290,SAÍDAS!$L$7:$L$289)</f>
        <v>0</v>
      </c>
      <c r="I290" s="93">
        <f>SUMIF(ENTRADAS!$C$8:$C$1002,'CONT. ESTOQUE'!$B290,ENTRADAS!$H$7:$H$1002)</f>
        <v>0</v>
      </c>
      <c r="J290" s="94">
        <f>'CONT. ESTOQUE'!$H290-'CONT. ESTOQUE'!$I290</f>
        <v>0</v>
      </c>
    </row>
    <row r="291" spans="2:10" ht="15.75" customHeight="1">
      <c r="B291" s="91" t="str">
        <f>PROD!B291</f>
        <v>ORBICUSHION</v>
      </c>
      <c r="C291" s="92">
        <f>IF('CONT. ESTOQUE'!$B291&lt;&gt;"",SUMIF(ENTRADAS!$C$7:$C$1002,'CONT. ESTOQUE'!$B291,ENTRADAS!$E$7:$E$1002),"")</f>
        <v>7</v>
      </c>
      <c r="D291" s="92">
        <f>IF('CONT. ESTOQUE'!$B291&lt;&gt;"",SUMIF(SAÍDAS!$C$7:$C$800,'CONT. ESTOQUE'!$B291,SAÍDAS!$J$7:$J$800),"")</f>
        <v>0</v>
      </c>
      <c r="E291" s="92">
        <f>IFERROR('CONT. ESTOQUE'!$C291-'CONT. ESTOQUE'!$D291,"")</f>
        <v>7</v>
      </c>
      <c r="F291" s="92">
        <f>IFERROR(VLOOKUP('CONT. ESTOQUE'!$B291,PROD!$B$6:$G$1095,4,0),"")</f>
        <v>0</v>
      </c>
      <c r="G291" s="92" t="str">
        <f>IF('CONT. ESTOQUE'!$B291&lt;&gt;"",IF('CONT. ESTOQUE'!$E291=0,"Sem Estoque",IF('CONT. ESTOQUE'!$E291&lt;'CONT. ESTOQUE'!$F291,"Estoque Perigoso","Estoque Confortável")),"")</f>
        <v>Estoque Confortável</v>
      </c>
      <c r="H291" s="93">
        <f>SUMIF(SAÍDAS!$C$7:$C$289,'CONT. ESTOQUE'!$B291,SAÍDAS!$L$7:$L$289)</f>
        <v>0</v>
      </c>
      <c r="I291" s="93">
        <f>SUMIF(ENTRADAS!$C$8:$C$1002,'CONT. ESTOQUE'!$B291,ENTRADAS!$H$7:$H$1002)</f>
        <v>0</v>
      </c>
      <c r="J291" s="94">
        <f>'CONT. ESTOQUE'!$H291-'CONT. ESTOQUE'!$I291</f>
        <v>0</v>
      </c>
    </row>
    <row r="292" spans="2:10" s="143" customFormat="1" ht="15.75" customHeight="1">
      <c r="B292" s="91" t="str">
        <f>PROD!B292</f>
        <v>LIGAÇÃO ACABAMENTO</v>
      </c>
      <c r="C292" s="92">
        <f>IF('CONT. ESTOQUE'!$B292&lt;&gt;"",SUMIF(ENTRADAS!$C$7:$C$1002,'CONT. ESTOQUE'!$B292,ENTRADAS!$E$7:$E$1002),"")</f>
        <v>16</v>
      </c>
      <c r="D292" s="92">
        <f>IF('CONT. ESTOQUE'!$B292&lt;&gt;"",SUMIF(SAÍDAS!$C$7:$C$800,'CONT. ESTOQUE'!$B292,SAÍDAS!$J$7:$J$800),"")</f>
        <v>5</v>
      </c>
      <c r="E292" s="92">
        <f>IFERROR('CONT. ESTOQUE'!$C292-'CONT. ESTOQUE'!$D292,"")</f>
        <v>11</v>
      </c>
      <c r="F292" s="92">
        <f>IFERROR(VLOOKUP('CONT. ESTOQUE'!$B292,PROD!$B$6:$G$1095,4,0),"")</f>
        <v>0</v>
      </c>
      <c r="G292" s="92" t="str">
        <f>IF('CONT. ESTOQUE'!$B292&lt;&gt;"",IF('CONT. ESTOQUE'!$E292=0,"Sem Estoque",IF('CONT. ESTOQUE'!$E292&lt;'CONT. ESTOQUE'!$F292,"Estoque Perigoso","Estoque Confortável")),"")</f>
        <v>Estoque Confortável</v>
      </c>
      <c r="H292" s="93">
        <f>SUMIF(SAÍDAS!$C$7:$C$289,'CONT. ESTOQUE'!$B292,SAÍDAS!$L$7:$L$289)</f>
        <v>0</v>
      </c>
      <c r="I292" s="93">
        <f>SUMIF(ENTRADAS!$C$8:$C$1002,'CONT. ESTOQUE'!$B292,ENTRADAS!$H$7:$H$1002)</f>
        <v>0</v>
      </c>
      <c r="J292" s="94">
        <f>'CONT. ESTOQUE'!$H292-'CONT. ESTOQUE'!$I292</f>
        <v>0</v>
      </c>
    </row>
    <row r="293" spans="2:10" s="143" customFormat="1" ht="15.75" customHeight="1">
      <c r="B293" s="91" t="str">
        <f>PROD!B293</f>
        <v>CAMELBEC</v>
      </c>
      <c r="C293" s="92">
        <f>IF('CONT. ESTOQUE'!$B293&lt;&gt;"",SUMIF(ENTRADAS!$C$7:$C$1002,'CONT. ESTOQUE'!$B293,ENTRADAS!$E$7:$E$1002),"")</f>
        <v>4</v>
      </c>
      <c r="D293" s="92">
        <f>IF('CONT. ESTOQUE'!$B293&lt;&gt;"",SUMIF(SAÍDAS!$C$7:$C$800,'CONT. ESTOQUE'!$B293,SAÍDAS!$J$7:$J$800),"")</f>
        <v>3</v>
      </c>
      <c r="E293" s="92">
        <f>IFERROR('CONT. ESTOQUE'!$C293-'CONT. ESTOQUE'!$D293,"")</f>
        <v>1</v>
      </c>
      <c r="F293" s="92">
        <f>IFERROR(VLOOKUP('CONT. ESTOQUE'!$B293,PROD!$B$6:$G$1095,4,0),"")</f>
        <v>0</v>
      </c>
      <c r="G293" s="92" t="str">
        <f>IF('CONT. ESTOQUE'!$B293&lt;&gt;"",IF('CONT. ESTOQUE'!$E293=0,"Sem Estoque",IF('CONT. ESTOQUE'!$E293&lt;'CONT. ESTOQUE'!$F293,"Estoque Perigoso","Estoque Confortável")),"")</f>
        <v>Estoque Confortável</v>
      </c>
      <c r="H293" s="93">
        <f>SUMIF(SAÍDAS!$C$7:$C$289,'CONT. ESTOQUE'!$B293,SAÍDAS!$L$7:$L$289)</f>
        <v>0</v>
      </c>
      <c r="I293" s="93">
        <f>SUMIF(ENTRADAS!$C$8:$C$1002,'CONT. ESTOQUE'!$B293,ENTRADAS!$H$7:$H$1002)</f>
        <v>0</v>
      </c>
      <c r="J293" s="94">
        <f>'CONT. ESTOQUE'!$H293-'CONT. ESTOQUE'!$I293</f>
        <v>0</v>
      </c>
    </row>
    <row r="294" spans="2:10" ht="15.75" customHeight="1">
      <c r="B294" s="120" t="str">
        <f>PROD!B294</f>
        <v>VSK</v>
      </c>
      <c r="C294" s="92">
        <f>IF('CONT. ESTOQUE'!$B294&lt;&gt;"",SUMIF(ENTRADAS!$C$7:$C$1002,'CONT. ESTOQUE'!$B294,ENTRADAS!$E$7:$E$1002),"")</f>
        <v>0</v>
      </c>
      <c r="D294" s="92">
        <f>IF('CONT. ESTOQUE'!$B294&lt;&gt;"",SUMIF(SAÍDAS!$C$7:$C$800,'CONT. ESTOQUE'!$B294,SAÍDAS!$J$7:$J$800),"")</f>
        <v>0</v>
      </c>
      <c r="E294" s="92">
        <f>IFERROR('CONT. ESTOQUE'!$C294-'CONT. ESTOQUE'!$D294,"")</f>
        <v>0</v>
      </c>
      <c r="F294" s="92">
        <f>IFERROR(VLOOKUP('CONT. ESTOQUE'!$B294,PROD!$B$6:$G$1095,4,0),"")</f>
        <v>0</v>
      </c>
      <c r="G294" s="92" t="str">
        <f>IF('CONT. ESTOQUE'!$B294&lt;&gt;"",IF('CONT. ESTOQUE'!$E294=0,"Sem Estoque",IF('CONT. ESTOQUE'!$E294&lt;'CONT. ESTOQUE'!$F294,"Estoque Perigoso","Estoque Confortável")),"")</f>
        <v>Sem Estoque</v>
      </c>
      <c r="H294" s="93">
        <f>SUMIF(SAÍDAS!$C$7:$C$289,'CONT. ESTOQUE'!$B294,SAÍDAS!$L$7:$L$289)</f>
        <v>0</v>
      </c>
      <c r="I294" s="93">
        <f>SUMIF(ENTRADAS!$C$8:$C$1002,'CONT. ESTOQUE'!$B294,ENTRADAS!$H$7:$H$1002)</f>
        <v>0</v>
      </c>
      <c r="J294" s="94">
        <f>'CONT. ESTOQUE'!$H294-'CONT. ESTOQUE'!$I294</f>
        <v>0</v>
      </c>
    </row>
    <row r="295" spans="2:10" ht="15.75" customHeight="1">
      <c r="B295" s="91" t="str">
        <f>PROD!B295</f>
        <v>VSK-285</v>
      </c>
      <c r="C295" s="92">
        <f>IF('CONT. ESTOQUE'!$B295&lt;&gt;"",SUMIF(ENTRADAS!$C$7:$C$1002,'CONT. ESTOQUE'!$B295,ENTRADAS!$E$7:$E$1002),"")</f>
        <v>1</v>
      </c>
      <c r="D295" s="92">
        <f>IF('CONT. ESTOQUE'!$B295&lt;&gt;"",SUMIF(SAÍDAS!$C$7:$C$800,'CONT. ESTOQUE'!$B295,SAÍDAS!$J$7:$J$800),"")</f>
        <v>7</v>
      </c>
      <c r="E295" s="92">
        <f>IFERROR('CONT. ESTOQUE'!$C295-'CONT. ESTOQUE'!$D295,"")</f>
        <v>-6</v>
      </c>
      <c r="F295" s="92">
        <f>IFERROR(VLOOKUP('CONT. ESTOQUE'!$B295,PROD!$B$6:$G$1095,4,0),"")</f>
        <v>0</v>
      </c>
      <c r="G295" s="92" t="str">
        <f>IF('CONT. ESTOQUE'!$B295&lt;&gt;"",IF('CONT. ESTOQUE'!$E295=0,"Sem Estoque",IF('CONT. ESTOQUE'!$E295&lt;'CONT. ESTOQUE'!$F295,"Estoque Perigoso","Estoque Confortável")),"")</f>
        <v>Estoque Perigoso</v>
      </c>
      <c r="H295" s="93">
        <f>SUMIF(SAÍDAS!$C$7:$C$289,'CONT. ESTOQUE'!$B295,SAÍDAS!$L$7:$L$289)</f>
        <v>0</v>
      </c>
      <c r="I295" s="93">
        <f>SUMIF(ENTRADAS!$C$8:$C$1002,'CONT. ESTOQUE'!$B295,ENTRADAS!$H$7:$H$1002)</f>
        <v>0</v>
      </c>
      <c r="J295" s="94">
        <f>'CONT. ESTOQUE'!$H295-'CONT. ESTOQUE'!$I295</f>
        <v>0</v>
      </c>
    </row>
    <row r="296" spans="2:10" ht="15.75" customHeight="1">
      <c r="B296" s="91">
        <f>PROD!B296</f>
        <v>0</v>
      </c>
      <c r="C296" s="92">
        <f>IF('CONT. ESTOQUE'!$B296&lt;&gt;"",SUMIF(ENTRADAS!$C$7:$C$1002,'CONT. ESTOQUE'!$B296,ENTRADAS!$E$7:$E$1002),"")</f>
        <v>0</v>
      </c>
      <c r="D296" s="92">
        <f>IF('CONT. ESTOQUE'!$B296&lt;&gt;"",SUMIF(SAÍDAS!$C$7:$C$800,'CONT. ESTOQUE'!$B296,SAÍDAS!$J$7:$J$800),"")</f>
        <v>0</v>
      </c>
      <c r="E296" s="92">
        <f>IFERROR('CONT. ESTOQUE'!$C296-'CONT. ESTOQUE'!$D296,"")</f>
        <v>0</v>
      </c>
      <c r="F296" s="92" t="str">
        <f>IFERROR(VLOOKUP('CONT. ESTOQUE'!$B296,PROD!$B$6:$G$1095,4,0),"")</f>
        <v/>
      </c>
      <c r="G296" s="92" t="str">
        <f>IF('CONT. ESTOQUE'!$B296&lt;&gt;"",IF('CONT. ESTOQUE'!$E296=0,"Sem Estoque",IF('CONT. ESTOQUE'!$E296&lt;'CONT. ESTOQUE'!$F296,"Estoque Perigoso","Estoque Confortável")),"")</f>
        <v>Sem Estoque</v>
      </c>
      <c r="H296" s="93">
        <f>SUMIF(SAÍDAS!$C$7:$C$289,'CONT. ESTOQUE'!$B296,SAÍDAS!$L$7:$L$289)</f>
        <v>0</v>
      </c>
      <c r="I296" s="93">
        <f>SUMIF(ENTRADAS!$C$8:$C$1002,'CONT. ESTOQUE'!$B296,ENTRADAS!$H$7:$H$1002)</f>
        <v>0</v>
      </c>
      <c r="J296" s="94">
        <f>'CONT. ESTOQUE'!$H296-'CONT. ESTOQUE'!$I296</f>
        <v>0</v>
      </c>
    </row>
    <row r="297" spans="2:10" ht="15.75" customHeight="1">
      <c r="B297" s="91">
        <f>PROD!B297</f>
        <v>0</v>
      </c>
      <c r="C297" s="92">
        <f>IF('CONT. ESTOQUE'!$B297&lt;&gt;"",SUMIF(ENTRADAS!$C$7:$C$1002,'CONT. ESTOQUE'!$B297,ENTRADAS!$E$7:$E$1002),"")</f>
        <v>0</v>
      </c>
      <c r="D297" s="92">
        <f>IF('CONT. ESTOQUE'!$B297&lt;&gt;"",SUMIF(SAÍDAS!$C$7:$C$800,'CONT. ESTOQUE'!$B297,SAÍDAS!$J$7:$J$800),"")</f>
        <v>0</v>
      </c>
      <c r="E297" s="92">
        <f>IFERROR('CONT. ESTOQUE'!$C297-'CONT. ESTOQUE'!$D297,"")</f>
        <v>0</v>
      </c>
      <c r="F297" s="92" t="str">
        <f>IFERROR(VLOOKUP('CONT. ESTOQUE'!$B297,PROD!$B$6:$G$1095,4,0),"")</f>
        <v/>
      </c>
      <c r="G297" s="92" t="str">
        <f>IF('CONT. ESTOQUE'!$B297&lt;&gt;"",IF('CONT. ESTOQUE'!$E297=0,"Sem Estoque",IF('CONT. ESTOQUE'!$E297&lt;'CONT. ESTOQUE'!$F297,"Estoque Perigoso","Estoque Confortável")),"")</f>
        <v>Sem Estoque</v>
      </c>
      <c r="H297" s="93">
        <f>SUMIF(SAÍDAS!$C$7:$C$289,'CONT. ESTOQUE'!$B297,SAÍDAS!$L$7:$L$289)</f>
        <v>0</v>
      </c>
      <c r="I297" s="93">
        <f>SUMIF(ENTRADAS!$C$8:$C$1002,'CONT. ESTOQUE'!$B297,ENTRADAS!$H$7:$H$1002)</f>
        <v>0</v>
      </c>
      <c r="J297" s="94">
        <f>'CONT. ESTOQUE'!$H297-'CONT. ESTOQUE'!$I297</f>
        <v>0</v>
      </c>
    </row>
    <row r="298" spans="2:10" ht="15.75" customHeight="1">
      <c r="B298" s="91">
        <f>PROD!B298</f>
        <v>0</v>
      </c>
      <c r="C298" s="92">
        <f>IF('CONT. ESTOQUE'!$B298&lt;&gt;"",SUMIF(ENTRADAS!$C$7:$C$1002,'CONT. ESTOQUE'!$B298,ENTRADAS!$E$7:$E$1002),"")</f>
        <v>0</v>
      </c>
      <c r="D298" s="92">
        <f>IF('CONT. ESTOQUE'!$B298&lt;&gt;"",SUMIF(SAÍDAS!$C$7:$C$800,'CONT. ESTOQUE'!$B298,SAÍDAS!$J$7:$J$800),"")</f>
        <v>0</v>
      </c>
      <c r="E298" s="92">
        <f>IFERROR('CONT. ESTOQUE'!$C298-'CONT. ESTOQUE'!$D298,"")</f>
        <v>0</v>
      </c>
      <c r="F298" s="92" t="str">
        <f>IFERROR(VLOOKUP('CONT. ESTOQUE'!$B298,PROD!$B$6:$G$1095,4,0),"")</f>
        <v/>
      </c>
      <c r="G298" s="92" t="str">
        <f>IF('CONT. ESTOQUE'!$B298&lt;&gt;"",IF('CONT. ESTOQUE'!$E298=0,"Sem Estoque",IF('CONT. ESTOQUE'!$E298&lt;'CONT. ESTOQUE'!$F298,"Estoque Perigoso","Estoque Confortável")),"")</f>
        <v>Sem Estoque</v>
      </c>
      <c r="H298" s="93">
        <f>SUMIF(SAÍDAS!$C$7:$C$289,'CONT. ESTOQUE'!$B298,SAÍDAS!$L$7:$L$289)</f>
        <v>0</v>
      </c>
      <c r="I298" s="93">
        <f>SUMIF(ENTRADAS!$C$8:$C$1002,'CONT. ESTOQUE'!$B298,ENTRADAS!$H$7:$H$1002)</f>
        <v>0</v>
      </c>
      <c r="J298" s="94">
        <f>'CONT. ESTOQUE'!$H298-'CONT. ESTOQUE'!$I298</f>
        <v>0</v>
      </c>
    </row>
    <row r="299" spans="2:10" ht="15.75" customHeight="1">
      <c r="B299" s="91">
        <f>PROD!B299</f>
        <v>0</v>
      </c>
      <c r="C299" s="92">
        <f>IF('CONT. ESTOQUE'!$B299&lt;&gt;"",SUMIF(ENTRADAS!$C$7:$C$1002,'CONT. ESTOQUE'!$B299,ENTRADAS!$E$7:$E$1002),"")</f>
        <v>0</v>
      </c>
      <c r="D299" s="92">
        <f>IF('CONT. ESTOQUE'!$B299&lt;&gt;"",SUMIF(SAÍDAS!$C$7:$C$800,'CONT. ESTOQUE'!$B299,SAÍDAS!$J$7:$J$800),"")</f>
        <v>0</v>
      </c>
      <c r="E299" s="92">
        <f>IFERROR('CONT. ESTOQUE'!$C299-'CONT. ESTOQUE'!$D299,"")</f>
        <v>0</v>
      </c>
      <c r="F299" s="92" t="str">
        <f>IFERROR(VLOOKUP('CONT. ESTOQUE'!$B299,PROD!$B$6:$G$1095,4,0),"")</f>
        <v/>
      </c>
      <c r="G299" s="92" t="str">
        <f>IF('CONT. ESTOQUE'!$B299&lt;&gt;"",IF('CONT. ESTOQUE'!$E299=0,"Sem Estoque",IF('CONT. ESTOQUE'!$E299&lt;'CONT. ESTOQUE'!$F299,"Estoque Perigoso","Estoque Confortável")),"")</f>
        <v>Sem Estoque</v>
      </c>
      <c r="H299" s="93">
        <f>SUMIF(SAÍDAS!$C$7:$C$289,'CONT. ESTOQUE'!$B299,SAÍDAS!$L$7:$L$289)</f>
        <v>0</v>
      </c>
      <c r="I299" s="93">
        <f>SUMIF(ENTRADAS!$C$8:$C$1002,'CONT. ESTOQUE'!$B299,ENTRADAS!$H$7:$H$1002)</f>
        <v>0</v>
      </c>
      <c r="J299" s="94">
        <f>'CONT. ESTOQUE'!$H299-'CONT. ESTOQUE'!$I299</f>
        <v>0</v>
      </c>
    </row>
    <row r="300" spans="2:10" ht="15.75" customHeight="1">
      <c r="B300" s="91">
        <f>PROD!B300</f>
        <v>0</v>
      </c>
      <c r="C300" s="92">
        <f>IF('CONT. ESTOQUE'!$B300&lt;&gt;"",SUMIF(ENTRADAS!$C$7:$C$1002,'CONT. ESTOQUE'!$B300,ENTRADAS!$E$7:$E$1002),"")</f>
        <v>0</v>
      </c>
      <c r="D300" s="92">
        <f>IF('CONT. ESTOQUE'!$B300&lt;&gt;"",SUMIF(SAÍDAS!$C$7:$C$800,'CONT. ESTOQUE'!$B300,SAÍDAS!$J$7:$J$800),"")</f>
        <v>0</v>
      </c>
      <c r="E300" s="92">
        <f>IFERROR('CONT. ESTOQUE'!$C300-'CONT. ESTOQUE'!$D300,"")</f>
        <v>0</v>
      </c>
      <c r="F300" s="92" t="str">
        <f>IFERROR(VLOOKUP('CONT. ESTOQUE'!$B300,PROD!$B$6:$G$1095,4,0),"")</f>
        <v/>
      </c>
      <c r="G300" s="92" t="str">
        <f>IF('CONT. ESTOQUE'!$B300&lt;&gt;"",IF('CONT. ESTOQUE'!$E300=0,"Sem Estoque",IF('CONT. ESTOQUE'!$E300&lt;'CONT. ESTOQUE'!$F300,"Estoque Perigoso","Estoque Confortável")),"")</f>
        <v>Sem Estoque</v>
      </c>
      <c r="H300" s="93">
        <f>SUMIF(SAÍDAS!$C$7:$C$289,'CONT. ESTOQUE'!$B300,SAÍDAS!$L$7:$L$289)</f>
        <v>0</v>
      </c>
      <c r="I300" s="93">
        <f>SUMIF(ENTRADAS!$C$8:$C$1002,'CONT. ESTOQUE'!$B300,ENTRADAS!$H$7:$H$1002)</f>
        <v>0</v>
      </c>
      <c r="J300" s="94">
        <f>'CONT. ESTOQUE'!$H300-'CONT. ESTOQUE'!$I300</f>
        <v>0</v>
      </c>
    </row>
    <row r="301" spans="2:10" ht="15.75" customHeight="1">
      <c r="B301" s="91">
        <f>PROD!B301</f>
        <v>0</v>
      </c>
      <c r="C301" s="92">
        <f>IF('CONT. ESTOQUE'!$B301&lt;&gt;"",SUMIF(ENTRADAS!$C$7:$C$1002,'CONT. ESTOQUE'!$B301,ENTRADAS!$E$7:$E$1002),"")</f>
        <v>0</v>
      </c>
      <c r="D301" s="92">
        <f>IF('CONT. ESTOQUE'!$B301&lt;&gt;"",SUMIF(SAÍDAS!$C$7:$C$800,'CONT. ESTOQUE'!$B301,SAÍDAS!$J$7:$J$800),"")</f>
        <v>0</v>
      </c>
      <c r="E301" s="92">
        <f>IFERROR('CONT. ESTOQUE'!$C301-'CONT. ESTOQUE'!$D301,"")</f>
        <v>0</v>
      </c>
      <c r="F301" s="92" t="str">
        <f>IFERROR(VLOOKUP('CONT. ESTOQUE'!$B301,PROD!$B$6:$G$1095,4,0),"")</f>
        <v/>
      </c>
      <c r="G301" s="92" t="str">
        <f>IF('CONT. ESTOQUE'!$B301&lt;&gt;"",IF('CONT. ESTOQUE'!$E301=0,"Sem Estoque",IF('CONT. ESTOQUE'!$E301&lt;'CONT. ESTOQUE'!$F301,"Estoque Perigoso","Estoque Confortável")),"")</f>
        <v>Sem Estoque</v>
      </c>
      <c r="H301" s="93">
        <f>SUMIF(SAÍDAS!$C$7:$C$289,'CONT. ESTOQUE'!$B301,SAÍDAS!$L$7:$L$289)</f>
        <v>0</v>
      </c>
      <c r="I301" s="93">
        <f>SUMIF(ENTRADAS!$C$8:$C$1002,'CONT. ESTOQUE'!$B301,ENTRADAS!$H$7:$H$1002)</f>
        <v>0</v>
      </c>
      <c r="J301" s="94">
        <f>'CONT. ESTOQUE'!$H301-'CONT. ESTOQUE'!$I301</f>
        <v>0</v>
      </c>
    </row>
    <row r="302" spans="2:10" ht="15.75" customHeight="1">
      <c r="B302" s="91">
        <f>PROD!B302</f>
        <v>0</v>
      </c>
      <c r="C302" s="92">
        <f>IF('CONT. ESTOQUE'!$B302&lt;&gt;"",SUMIF(ENTRADAS!$C$7:$C$1002,'CONT. ESTOQUE'!$B302,ENTRADAS!$E$7:$E$1002),"")</f>
        <v>0</v>
      </c>
      <c r="D302" s="92">
        <f>IF('CONT. ESTOQUE'!$B302&lt;&gt;"",SUMIF(SAÍDAS!$C$7:$C$800,'CONT. ESTOQUE'!$B302,SAÍDAS!$J$7:$J$800),"")</f>
        <v>0</v>
      </c>
      <c r="E302" s="92">
        <f>IFERROR('CONT. ESTOQUE'!$C302-'CONT. ESTOQUE'!$D302,"")</f>
        <v>0</v>
      </c>
      <c r="F302" s="92" t="str">
        <f>IFERROR(VLOOKUP('CONT. ESTOQUE'!$B302,PROD!$B$6:$G$1095,4,0),"")</f>
        <v/>
      </c>
      <c r="G302" s="92" t="str">
        <f>IF('CONT. ESTOQUE'!$B302&lt;&gt;"",IF('CONT. ESTOQUE'!$E302=0,"Sem Estoque",IF('CONT. ESTOQUE'!$E302&lt;'CONT. ESTOQUE'!$F302,"Estoque Perigoso","Estoque Confortável")),"")</f>
        <v>Sem Estoque</v>
      </c>
      <c r="H302" s="93">
        <f>SUMIF(SAÍDAS!$C$7:$C$289,'CONT. ESTOQUE'!$B302,SAÍDAS!$L$7:$L$289)</f>
        <v>0</v>
      </c>
      <c r="I302" s="93">
        <f>SUMIF(ENTRADAS!$C$8:$C$1002,'CONT. ESTOQUE'!$B302,ENTRADAS!$H$7:$H$1002)</f>
        <v>0</v>
      </c>
      <c r="J302" s="94">
        <f>'CONT. ESTOQUE'!$H302-'CONT. ESTOQUE'!$I302</f>
        <v>0</v>
      </c>
    </row>
    <row r="303" spans="2:10" ht="15.75" customHeight="1">
      <c r="B303" s="91">
        <f>PROD!B303</f>
        <v>0</v>
      </c>
      <c r="C303" s="92">
        <f>IF('CONT. ESTOQUE'!$B303&lt;&gt;"",SUMIF(ENTRADAS!$C$7:$C$1002,'CONT. ESTOQUE'!$B303,ENTRADAS!$E$7:$E$1002),"")</f>
        <v>0</v>
      </c>
      <c r="D303" s="92">
        <f>IF('CONT. ESTOQUE'!$B303&lt;&gt;"",SUMIF(SAÍDAS!$C$7:$C$800,'CONT. ESTOQUE'!$B303,SAÍDAS!$J$7:$J$800),"")</f>
        <v>0</v>
      </c>
      <c r="E303" s="92">
        <f>IFERROR('CONT. ESTOQUE'!$C303-'CONT. ESTOQUE'!$D303,"")</f>
        <v>0</v>
      </c>
      <c r="F303" s="92" t="str">
        <f>IFERROR(VLOOKUP('CONT. ESTOQUE'!$B303,PROD!$B$6:$G$1095,4,0),"")</f>
        <v/>
      </c>
      <c r="G303" s="92" t="str">
        <f>IF('CONT. ESTOQUE'!$B303&lt;&gt;"",IF('CONT. ESTOQUE'!$E303=0,"Sem Estoque",IF('CONT. ESTOQUE'!$E303&lt;'CONT. ESTOQUE'!$F303,"Estoque Perigoso","Estoque Confortável")),"")</f>
        <v>Sem Estoque</v>
      </c>
      <c r="H303" s="93">
        <f>SUMIF(SAÍDAS!$C$7:$C$289,'CONT. ESTOQUE'!$B303,SAÍDAS!$L$7:$L$289)</f>
        <v>0</v>
      </c>
      <c r="I303" s="93">
        <f>SUMIF(ENTRADAS!$C$8:$C$1002,'CONT. ESTOQUE'!$B303,ENTRADAS!$H$7:$H$1002)</f>
        <v>0</v>
      </c>
      <c r="J303" s="94">
        <f>'CONT. ESTOQUE'!$H303-'CONT. ESTOQUE'!$I303</f>
        <v>0</v>
      </c>
    </row>
    <row r="304" spans="2:10" ht="15.75" customHeight="1">
      <c r="B304" s="91">
        <f>PROD!B304</f>
        <v>0</v>
      </c>
      <c r="C304" s="92">
        <f>IF('CONT. ESTOQUE'!$B304&lt;&gt;"",SUMIF(ENTRADAS!$C$7:$C$1002,'CONT. ESTOQUE'!$B304,ENTRADAS!$E$7:$E$1002),"")</f>
        <v>0</v>
      </c>
      <c r="D304" s="92">
        <f>IF('CONT. ESTOQUE'!$B304&lt;&gt;"",SUMIF(SAÍDAS!$C$7:$C$800,'CONT. ESTOQUE'!$B304,SAÍDAS!$J$7:$J$800),"")</f>
        <v>0</v>
      </c>
      <c r="E304" s="92">
        <f>IFERROR('CONT. ESTOQUE'!$C304-'CONT. ESTOQUE'!$D304,"")</f>
        <v>0</v>
      </c>
      <c r="F304" s="92" t="str">
        <f>IFERROR(VLOOKUP('CONT. ESTOQUE'!$B304,PROD!$B$6:$G$1095,4,0),"")</f>
        <v/>
      </c>
      <c r="G304" s="92" t="str">
        <f>IF('CONT. ESTOQUE'!$B304&lt;&gt;"",IF('CONT. ESTOQUE'!$E304=0,"Sem Estoque",IF('CONT. ESTOQUE'!$E304&lt;'CONT. ESTOQUE'!$F304,"Estoque Perigoso","Estoque Confortável")),"")</f>
        <v>Sem Estoque</v>
      </c>
      <c r="H304" s="93">
        <f>SUMIF(SAÍDAS!$C$7:$C$289,'CONT. ESTOQUE'!$B304,SAÍDAS!$L$7:$L$289)</f>
        <v>0</v>
      </c>
      <c r="I304" s="93">
        <f>SUMIF(ENTRADAS!$C$8:$C$1002,'CONT. ESTOQUE'!$B304,ENTRADAS!$H$7:$H$1002)</f>
        <v>0</v>
      </c>
      <c r="J304" s="94">
        <f>'CONT. ESTOQUE'!$H304-'CONT. ESTOQUE'!$I304</f>
        <v>0</v>
      </c>
    </row>
    <row r="305" spans="2:10" ht="15.75" customHeight="1">
      <c r="B305" s="91">
        <f>PROD!B305</f>
        <v>0</v>
      </c>
      <c r="C305" s="92">
        <f>IF('CONT. ESTOQUE'!$B305&lt;&gt;"",SUMIF(ENTRADAS!$C$7:$C$1002,'CONT. ESTOQUE'!$B305,ENTRADAS!$E$7:$E$1002),"")</f>
        <v>0</v>
      </c>
      <c r="D305" s="92">
        <f>IF('CONT. ESTOQUE'!$B305&lt;&gt;"",SUMIF(SAÍDAS!$C$7:$C$800,'CONT. ESTOQUE'!$B305,SAÍDAS!$J$7:$J$800),"")</f>
        <v>0</v>
      </c>
      <c r="E305" s="92">
        <f>IFERROR('CONT. ESTOQUE'!$C305-'CONT. ESTOQUE'!$D305,"")</f>
        <v>0</v>
      </c>
      <c r="F305" s="92" t="str">
        <f>IFERROR(VLOOKUP('CONT. ESTOQUE'!$B305,PROD!$B$6:$G$1095,4,0),"")</f>
        <v/>
      </c>
      <c r="G305" s="92" t="str">
        <f>IF('CONT. ESTOQUE'!$B305&lt;&gt;"",IF('CONT. ESTOQUE'!$E305=0,"Sem Estoque",IF('CONT. ESTOQUE'!$E305&lt;'CONT. ESTOQUE'!$F305,"Estoque Perigoso","Estoque Confortável")),"")</f>
        <v>Sem Estoque</v>
      </c>
      <c r="H305" s="93">
        <f>SUMIF(SAÍDAS!$C$7:$C$289,'CONT. ESTOQUE'!$B305,SAÍDAS!$L$7:$L$289)</f>
        <v>0</v>
      </c>
      <c r="I305" s="93">
        <f>SUMIF(ENTRADAS!$C$8:$C$1002,'CONT. ESTOQUE'!$B305,ENTRADAS!$H$7:$H$1002)</f>
        <v>0</v>
      </c>
      <c r="J305" s="94">
        <f>'CONT. ESTOQUE'!$H305-'CONT. ESTOQUE'!$I305</f>
        <v>0</v>
      </c>
    </row>
    <row r="306" spans="2:10" ht="15.75" customHeight="1">
      <c r="B306" s="91">
        <f>PROD!B306</f>
        <v>0</v>
      </c>
      <c r="C306" s="92">
        <f>IF('CONT. ESTOQUE'!$B306&lt;&gt;"",SUMIF(ENTRADAS!$C$7:$C$1002,'CONT. ESTOQUE'!$B306,ENTRADAS!$E$7:$E$1002),"")</f>
        <v>0</v>
      </c>
      <c r="D306" s="92">
        <f>IF('CONT. ESTOQUE'!$B306&lt;&gt;"",SUMIF(SAÍDAS!$C$7:$C$800,'CONT. ESTOQUE'!$B306,SAÍDAS!$J$7:$J$800),"")</f>
        <v>0</v>
      </c>
      <c r="E306" s="92">
        <f>IFERROR('CONT. ESTOQUE'!$C306-'CONT. ESTOQUE'!$D306,"")</f>
        <v>0</v>
      </c>
      <c r="F306" s="92" t="str">
        <f>IFERROR(VLOOKUP('CONT. ESTOQUE'!$B306,PROD!$B$6:$G$1095,4,0),"")</f>
        <v/>
      </c>
      <c r="G306" s="92" t="str">
        <f>IF('CONT. ESTOQUE'!$B306&lt;&gt;"",IF('CONT. ESTOQUE'!$E306=0,"Sem Estoque",IF('CONT. ESTOQUE'!$E306&lt;'CONT. ESTOQUE'!$F306,"Estoque Perigoso","Estoque Confortável")),"")</f>
        <v>Sem Estoque</v>
      </c>
      <c r="H306" s="93">
        <f>SUMIF(SAÍDAS!$C$7:$C$289,'CONT. ESTOQUE'!$B306,SAÍDAS!$L$7:$L$289)</f>
        <v>0</v>
      </c>
      <c r="I306" s="93">
        <f>SUMIF(ENTRADAS!$C$8:$C$1002,'CONT. ESTOQUE'!$B306,ENTRADAS!$H$7:$H$1002)</f>
        <v>0</v>
      </c>
      <c r="J306" s="94">
        <f>'CONT. ESTOQUE'!$H306-'CONT. ESTOQUE'!$I306</f>
        <v>0</v>
      </c>
    </row>
    <row r="307" spans="2:10" ht="15.75" customHeight="1">
      <c r="B307" s="91">
        <f>PROD!B307</f>
        <v>0</v>
      </c>
      <c r="C307" s="92">
        <f>IF('CONT. ESTOQUE'!$B307&lt;&gt;"",SUMIF(ENTRADAS!$C$7:$C$1002,'CONT. ESTOQUE'!$B307,ENTRADAS!$E$7:$E$1002),"")</f>
        <v>0</v>
      </c>
      <c r="D307" s="92">
        <f>IF('CONT. ESTOQUE'!$B307&lt;&gt;"",SUMIF(SAÍDAS!$C$7:$C$800,'CONT. ESTOQUE'!$B307,SAÍDAS!$J$7:$J$800),"")</f>
        <v>0</v>
      </c>
      <c r="E307" s="92">
        <f>IFERROR('CONT. ESTOQUE'!$C307-'CONT. ESTOQUE'!$D307,"")</f>
        <v>0</v>
      </c>
      <c r="F307" s="92" t="str">
        <f>IFERROR(VLOOKUP('CONT. ESTOQUE'!$B307,PROD!$B$6:$G$1095,4,0),"")</f>
        <v/>
      </c>
      <c r="G307" s="92" t="str">
        <f>IF('CONT. ESTOQUE'!$B307&lt;&gt;"",IF('CONT. ESTOQUE'!$E307=0,"Sem Estoque",IF('CONT. ESTOQUE'!$E307&lt;'CONT. ESTOQUE'!$F307,"Estoque Perigoso","Estoque Confortável")),"")</f>
        <v>Sem Estoque</v>
      </c>
      <c r="H307" s="93">
        <f>SUMIF(SAÍDAS!$C$7:$C$289,'CONT. ESTOQUE'!$B307,SAÍDAS!$L$7:$L$289)</f>
        <v>0</v>
      </c>
      <c r="I307" s="93">
        <f>SUMIF(ENTRADAS!$C$8:$C$1002,'CONT. ESTOQUE'!$B307,ENTRADAS!$H$7:$H$1002)</f>
        <v>0</v>
      </c>
      <c r="J307" s="94">
        <f>'CONT. ESTOQUE'!$H307-'CONT. ESTOQUE'!$I307</f>
        <v>0</v>
      </c>
    </row>
    <row r="308" spans="2:10" ht="15.75" customHeight="1">
      <c r="B308" s="91">
        <f>PROD!B308</f>
        <v>0</v>
      </c>
      <c r="C308" s="92">
        <f>IF('CONT. ESTOQUE'!$B308&lt;&gt;"",SUMIF(ENTRADAS!$C$7:$C$1002,'CONT. ESTOQUE'!$B308,ENTRADAS!$E$7:$E$1002),"")</f>
        <v>0</v>
      </c>
      <c r="D308" s="92">
        <f>IF('CONT. ESTOQUE'!$B308&lt;&gt;"",SUMIF(SAÍDAS!$C$7:$C$800,'CONT. ESTOQUE'!$B308,SAÍDAS!$J$7:$J$800),"")</f>
        <v>0</v>
      </c>
      <c r="E308" s="92">
        <f>IFERROR('CONT. ESTOQUE'!$C308-'CONT. ESTOQUE'!$D308,"")</f>
        <v>0</v>
      </c>
      <c r="F308" s="92" t="str">
        <f>IFERROR(VLOOKUP('CONT. ESTOQUE'!$B308,PROD!$B$6:$G$1095,4,0),"")</f>
        <v/>
      </c>
      <c r="G308" s="92" t="str">
        <f>IF('CONT. ESTOQUE'!$B308&lt;&gt;"",IF('CONT. ESTOQUE'!$E308=0,"Sem Estoque",IF('CONT. ESTOQUE'!$E308&lt;'CONT. ESTOQUE'!$F308,"Estoque Perigoso","Estoque Confortável")),"")</f>
        <v>Sem Estoque</v>
      </c>
      <c r="H308" s="93">
        <f>SUMIF(SAÍDAS!$C$7:$C$289,'CONT. ESTOQUE'!$B308,SAÍDAS!$L$7:$L$289)</f>
        <v>0</v>
      </c>
      <c r="I308" s="93">
        <f>SUMIF(ENTRADAS!$C$8:$C$1002,'CONT. ESTOQUE'!$B308,ENTRADAS!$H$7:$H$1002)</f>
        <v>0</v>
      </c>
      <c r="J308" s="94">
        <f>'CONT. ESTOQUE'!$H308-'CONT. ESTOQUE'!$I308</f>
        <v>0</v>
      </c>
    </row>
    <row r="309" spans="2:10" ht="15.75" customHeight="1">
      <c r="B309" s="91">
        <f>PROD!B309</f>
        <v>0</v>
      </c>
      <c r="C309" s="92">
        <f>IF('CONT. ESTOQUE'!$B309&lt;&gt;"",SUMIF(ENTRADAS!$C$7:$C$1002,'CONT. ESTOQUE'!$B309,ENTRADAS!$E$7:$E$1002),"")</f>
        <v>0</v>
      </c>
      <c r="D309" s="92">
        <f>IF('CONT. ESTOQUE'!$B309&lt;&gt;"",SUMIF(SAÍDAS!$C$7:$C$800,'CONT. ESTOQUE'!$B309,SAÍDAS!$J$7:$J$800),"")</f>
        <v>0</v>
      </c>
      <c r="E309" s="92">
        <f>IFERROR('CONT. ESTOQUE'!$C309-'CONT. ESTOQUE'!$D309,"")</f>
        <v>0</v>
      </c>
      <c r="F309" s="92" t="str">
        <f>IFERROR(VLOOKUP('CONT. ESTOQUE'!$B309,PROD!$B$6:$G$1095,4,0),"")</f>
        <v/>
      </c>
      <c r="G309" s="92" t="str">
        <f>IF('CONT. ESTOQUE'!$B309&lt;&gt;"",IF('CONT. ESTOQUE'!$E309=0,"Sem Estoque",IF('CONT. ESTOQUE'!$E309&lt;'CONT. ESTOQUE'!$F309,"Estoque Perigoso","Estoque Confortável")),"")</f>
        <v>Sem Estoque</v>
      </c>
      <c r="H309" s="93">
        <f>SUMIF(SAÍDAS!$C$7:$C$289,'CONT. ESTOQUE'!$B309,SAÍDAS!$L$7:$L$289)</f>
        <v>0</v>
      </c>
      <c r="I309" s="93">
        <f>SUMIF(ENTRADAS!$C$8:$C$1002,'CONT. ESTOQUE'!$B309,ENTRADAS!$H$7:$H$1002)</f>
        <v>0</v>
      </c>
      <c r="J309" s="94">
        <f>'CONT. ESTOQUE'!$H309-'CONT. ESTOQUE'!$I309</f>
        <v>0</v>
      </c>
    </row>
    <row r="310" spans="2:10" ht="15.75" customHeight="1">
      <c r="B310" s="91">
        <f>PROD!B310</f>
        <v>0</v>
      </c>
      <c r="C310" s="92">
        <f>IF('CONT. ESTOQUE'!$B310&lt;&gt;"",SUMIF(ENTRADAS!$C$7:$C$1002,'CONT. ESTOQUE'!$B310,ENTRADAS!$E$7:$E$1002),"")</f>
        <v>0</v>
      </c>
      <c r="D310" s="92">
        <f>IF('CONT. ESTOQUE'!$B310&lt;&gt;"",SUMIF(SAÍDAS!$C$7:$C$800,'CONT. ESTOQUE'!$B310,SAÍDAS!$J$7:$J$800),"")</f>
        <v>0</v>
      </c>
      <c r="E310" s="92">
        <f>IFERROR('CONT. ESTOQUE'!$C310-'CONT. ESTOQUE'!$D310,"")</f>
        <v>0</v>
      </c>
      <c r="F310" s="92" t="str">
        <f>IFERROR(VLOOKUP('CONT. ESTOQUE'!$B310,PROD!$B$6:$G$1095,4,0),"")</f>
        <v/>
      </c>
      <c r="G310" s="92" t="str">
        <f>IF('CONT. ESTOQUE'!$B310&lt;&gt;"",IF('CONT. ESTOQUE'!$E310=0,"Sem Estoque",IF('CONT. ESTOQUE'!$E310&lt;'CONT. ESTOQUE'!$F310,"Estoque Perigoso","Estoque Confortável")),"")</f>
        <v>Sem Estoque</v>
      </c>
      <c r="H310" s="93">
        <f>SUMIF(SAÍDAS!$C$7:$C$289,'CONT. ESTOQUE'!$B310,SAÍDAS!$L$7:$L$289)</f>
        <v>0</v>
      </c>
      <c r="I310" s="93">
        <f>SUMIF(ENTRADAS!$C$8:$C$1002,'CONT. ESTOQUE'!$B310,ENTRADAS!$H$7:$H$1002)</f>
        <v>0</v>
      </c>
      <c r="J310" s="94">
        <f>'CONT. ESTOQUE'!$H310-'CONT. ESTOQUE'!$I310</f>
        <v>0</v>
      </c>
    </row>
    <row r="311" spans="2:10" ht="15.75" customHeight="1">
      <c r="B311" s="91">
        <f>PROD!B311</f>
        <v>0</v>
      </c>
      <c r="C311" s="92">
        <f>IF('CONT. ESTOQUE'!$B311&lt;&gt;"",SUMIF(ENTRADAS!$C$7:$C$1002,'CONT. ESTOQUE'!$B311,ENTRADAS!$E$7:$E$1002),"")</f>
        <v>0</v>
      </c>
      <c r="D311" s="92">
        <f>IF('CONT. ESTOQUE'!$B311&lt;&gt;"",SUMIF(SAÍDAS!$C$7:$C$800,'CONT. ESTOQUE'!$B311,SAÍDAS!$J$7:$J$800),"")</f>
        <v>0</v>
      </c>
      <c r="E311" s="92">
        <f>IFERROR('CONT. ESTOQUE'!$C311-'CONT. ESTOQUE'!$D311,"")</f>
        <v>0</v>
      </c>
      <c r="F311" s="92" t="str">
        <f>IFERROR(VLOOKUP('CONT. ESTOQUE'!$B311,PROD!$B$6:$G$1095,4,0),"")</f>
        <v/>
      </c>
      <c r="G311" s="92" t="str">
        <f>IF('CONT. ESTOQUE'!$B311&lt;&gt;"",IF('CONT. ESTOQUE'!$E311=0,"Sem Estoque",IF('CONT. ESTOQUE'!$E311&lt;'CONT. ESTOQUE'!$F311,"Estoque Perigoso","Estoque Confortável")),"")</f>
        <v>Sem Estoque</v>
      </c>
      <c r="H311" s="93">
        <f>SUMIF(SAÍDAS!$C$7:$C$289,'CONT. ESTOQUE'!$B311,SAÍDAS!$L$7:$L$289)</f>
        <v>0</v>
      </c>
      <c r="I311" s="93">
        <f>SUMIF(ENTRADAS!$C$8:$C$1002,'CONT. ESTOQUE'!$B311,ENTRADAS!$H$7:$H$1002)</f>
        <v>0</v>
      </c>
      <c r="J311" s="94">
        <f>'CONT. ESTOQUE'!$H311-'CONT. ESTOQUE'!$I311</f>
        <v>0</v>
      </c>
    </row>
    <row r="312" spans="2:10" ht="15.75" customHeight="1">
      <c r="B312" s="91">
        <f>PROD!B312</f>
        <v>0</v>
      </c>
      <c r="C312" s="92">
        <f>IF('CONT. ESTOQUE'!$B312&lt;&gt;"",SUMIF(ENTRADAS!$C$7:$C$1002,'CONT. ESTOQUE'!$B312,ENTRADAS!$E$7:$E$1002),"")</f>
        <v>0</v>
      </c>
      <c r="D312" s="92">
        <f>IF('CONT. ESTOQUE'!$B312&lt;&gt;"",SUMIF(SAÍDAS!$C$7:$C$800,'CONT. ESTOQUE'!$B312,SAÍDAS!$J$7:$J$800),"")</f>
        <v>0</v>
      </c>
      <c r="E312" s="92">
        <f>IFERROR('CONT. ESTOQUE'!$C312-'CONT. ESTOQUE'!$D312,"")</f>
        <v>0</v>
      </c>
      <c r="F312" s="92" t="str">
        <f>IFERROR(VLOOKUP('CONT. ESTOQUE'!$B312,PROD!$B$6:$G$1095,4,0),"")</f>
        <v/>
      </c>
      <c r="G312" s="92" t="str">
        <f>IF('CONT. ESTOQUE'!$B312&lt;&gt;"",IF('CONT. ESTOQUE'!$E312=0,"Sem Estoque",IF('CONT. ESTOQUE'!$E312&lt;'CONT. ESTOQUE'!$F312,"Estoque Perigoso","Estoque Confortável")),"")</f>
        <v>Sem Estoque</v>
      </c>
      <c r="H312" s="93">
        <f>SUMIF(SAÍDAS!$C$7:$C$289,'CONT. ESTOQUE'!$B312,SAÍDAS!$L$7:$L$289)</f>
        <v>0</v>
      </c>
      <c r="I312" s="93">
        <f>SUMIF(ENTRADAS!$C$8:$C$1002,'CONT. ESTOQUE'!$B312,ENTRADAS!$H$7:$H$1002)</f>
        <v>0</v>
      </c>
      <c r="J312" s="94">
        <f>'CONT. ESTOQUE'!$H312-'CONT. ESTOQUE'!$I312</f>
        <v>0</v>
      </c>
    </row>
    <row r="313" spans="2:10" ht="15.75" customHeight="1">
      <c r="B313" s="91">
        <f>PROD!B313</f>
        <v>0</v>
      </c>
      <c r="C313" s="92">
        <f>IF('CONT. ESTOQUE'!$B313&lt;&gt;"",SUMIF(ENTRADAS!$C$7:$C$1002,'CONT. ESTOQUE'!$B313,ENTRADAS!$E$7:$E$1002),"")</f>
        <v>0</v>
      </c>
      <c r="D313" s="92">
        <f>IF('CONT. ESTOQUE'!$B313&lt;&gt;"",SUMIF(SAÍDAS!$C$7:$C$800,'CONT. ESTOQUE'!$B313,SAÍDAS!$J$7:$J$800),"")</f>
        <v>0</v>
      </c>
      <c r="E313" s="92">
        <f>IFERROR('CONT. ESTOQUE'!$C313-'CONT. ESTOQUE'!$D313,"")</f>
        <v>0</v>
      </c>
      <c r="F313" s="92" t="str">
        <f>IFERROR(VLOOKUP('CONT. ESTOQUE'!$B313,PROD!$B$6:$G$1095,4,0),"")</f>
        <v/>
      </c>
      <c r="G313" s="92" t="str">
        <f>IF('CONT. ESTOQUE'!$B313&lt;&gt;"",IF('CONT. ESTOQUE'!$E313=0,"Sem Estoque",IF('CONT. ESTOQUE'!$E313&lt;'CONT. ESTOQUE'!$F313,"Estoque Perigoso","Estoque Confortável")),"")</f>
        <v>Sem Estoque</v>
      </c>
      <c r="H313" s="93">
        <f>SUMIF(SAÍDAS!$C$7:$C$289,'CONT. ESTOQUE'!$B313,SAÍDAS!$L$7:$L$289)</f>
        <v>0</v>
      </c>
      <c r="I313" s="93">
        <f>SUMIF(ENTRADAS!$C$8:$C$1002,'CONT. ESTOQUE'!$B313,ENTRADAS!$H$7:$H$1002)</f>
        <v>0</v>
      </c>
      <c r="J313" s="94">
        <f>'CONT. ESTOQUE'!$H313-'CONT. ESTOQUE'!$I313</f>
        <v>0</v>
      </c>
    </row>
    <row r="314" spans="2:10" ht="15.75" customHeight="1">
      <c r="B314" s="91">
        <f>PROD!B314</f>
        <v>0</v>
      </c>
      <c r="C314" s="92">
        <f>IF('CONT. ESTOQUE'!$B314&lt;&gt;"",SUMIF(ENTRADAS!$C$7:$C$1002,'CONT. ESTOQUE'!$B314,ENTRADAS!$E$7:$E$1002),"")</f>
        <v>0</v>
      </c>
      <c r="D314" s="92">
        <f>IF('CONT. ESTOQUE'!$B314&lt;&gt;"",SUMIF(SAÍDAS!$C$7:$C$800,'CONT. ESTOQUE'!$B314,SAÍDAS!$J$7:$J$800),"")</f>
        <v>0</v>
      </c>
      <c r="E314" s="92">
        <f>IFERROR('CONT. ESTOQUE'!$C314-'CONT. ESTOQUE'!$D314,"")</f>
        <v>0</v>
      </c>
      <c r="F314" s="92" t="str">
        <f>IFERROR(VLOOKUP('CONT. ESTOQUE'!$B314,PROD!$B$6:$G$1095,4,0),"")</f>
        <v/>
      </c>
      <c r="G314" s="92" t="str">
        <f>IF('CONT. ESTOQUE'!$B314&lt;&gt;"",IF('CONT. ESTOQUE'!$E314=0,"Sem Estoque",IF('CONT. ESTOQUE'!$E314&lt;'CONT. ESTOQUE'!$F314,"Estoque Perigoso","Estoque Confortável")),"")</f>
        <v>Sem Estoque</v>
      </c>
      <c r="H314" s="93">
        <f>SUMIF(SAÍDAS!$C$7:$C$289,'CONT. ESTOQUE'!$B314,SAÍDAS!$L$7:$L$289)</f>
        <v>0</v>
      </c>
      <c r="I314" s="93">
        <f>SUMIF(ENTRADAS!$C$8:$C$1002,'CONT. ESTOQUE'!$B314,ENTRADAS!$H$7:$H$1002)</f>
        <v>0</v>
      </c>
      <c r="J314" s="94">
        <f>'CONT. ESTOQUE'!$H314-'CONT. ESTOQUE'!$I314</f>
        <v>0</v>
      </c>
    </row>
    <row r="315" spans="2:10" ht="15.75" customHeight="1">
      <c r="B315" s="91">
        <f>PROD!B315</f>
        <v>0</v>
      </c>
      <c r="C315" s="92">
        <f>IF('CONT. ESTOQUE'!$B315&lt;&gt;"",SUMIF(ENTRADAS!$C$7:$C$1002,'CONT. ESTOQUE'!$B315,ENTRADAS!$E$7:$E$1002),"")</f>
        <v>0</v>
      </c>
      <c r="D315" s="92">
        <f>IF('CONT. ESTOQUE'!$B315&lt;&gt;"",SUMIF(SAÍDAS!$C$7:$C$800,'CONT. ESTOQUE'!$B315,SAÍDAS!$J$7:$J$800),"")</f>
        <v>0</v>
      </c>
      <c r="E315" s="92">
        <f>IFERROR('CONT. ESTOQUE'!$C315-'CONT. ESTOQUE'!$D315,"")</f>
        <v>0</v>
      </c>
      <c r="F315" s="92" t="str">
        <f>IFERROR(VLOOKUP('CONT. ESTOQUE'!$B315,PROD!$B$6:$G$1095,4,0),"")</f>
        <v/>
      </c>
      <c r="G315" s="92" t="str">
        <f>IF('CONT. ESTOQUE'!$B315&lt;&gt;"",IF('CONT. ESTOQUE'!$E315=0,"Sem Estoque",IF('CONT. ESTOQUE'!$E315&lt;'CONT. ESTOQUE'!$F315,"Estoque Perigoso","Estoque Confortável")),"")</f>
        <v>Sem Estoque</v>
      </c>
      <c r="H315" s="93">
        <f>SUMIF(SAÍDAS!$C$7:$C$289,'CONT. ESTOQUE'!$B315,SAÍDAS!$L$7:$L$289)</f>
        <v>0</v>
      </c>
      <c r="I315" s="93">
        <f>SUMIF(ENTRADAS!$C$8:$C$1002,'CONT. ESTOQUE'!$B315,ENTRADAS!$H$7:$H$1002)</f>
        <v>0</v>
      </c>
      <c r="J315" s="94">
        <f>'CONT. ESTOQUE'!$H315-'CONT. ESTOQUE'!$I315</f>
        <v>0</v>
      </c>
    </row>
    <row r="316" spans="2:10" ht="15.75" customHeight="1">
      <c r="B316" s="91">
        <f>PROD!B316</f>
        <v>0</v>
      </c>
      <c r="C316" s="92">
        <f>IF('CONT. ESTOQUE'!$B316&lt;&gt;"",SUMIF(ENTRADAS!$C$7:$C$1002,'CONT. ESTOQUE'!$B316,ENTRADAS!$E$7:$E$1002),"")</f>
        <v>0</v>
      </c>
      <c r="D316" s="92">
        <f>IF('CONT. ESTOQUE'!$B316&lt;&gt;"",SUMIF(SAÍDAS!$C$7:$C$800,'CONT. ESTOQUE'!$B316,SAÍDAS!$J$7:$J$800),"")</f>
        <v>0</v>
      </c>
      <c r="E316" s="92">
        <f>IFERROR('CONT. ESTOQUE'!$C316-'CONT. ESTOQUE'!$D316,"")</f>
        <v>0</v>
      </c>
      <c r="F316" s="92" t="str">
        <f>IFERROR(VLOOKUP('CONT. ESTOQUE'!$B316,PROD!$B$6:$G$1095,4,0),"")</f>
        <v/>
      </c>
      <c r="G316" s="92" t="str">
        <f>IF('CONT. ESTOQUE'!$B316&lt;&gt;"",IF('CONT. ESTOQUE'!$E316=0,"Sem Estoque",IF('CONT. ESTOQUE'!$E316&lt;'CONT. ESTOQUE'!$F316,"Estoque Perigoso","Estoque Confortável")),"")</f>
        <v>Sem Estoque</v>
      </c>
      <c r="H316" s="93">
        <f>SUMIF(SAÍDAS!$C$7:$C$289,'CONT. ESTOQUE'!$B316,SAÍDAS!$L$7:$L$289)</f>
        <v>0</v>
      </c>
      <c r="I316" s="93">
        <f>SUMIF(ENTRADAS!$C$8:$C$1002,'CONT. ESTOQUE'!$B316,ENTRADAS!$H$7:$H$1002)</f>
        <v>0</v>
      </c>
      <c r="J316" s="94">
        <f>'CONT. ESTOQUE'!$H316-'CONT. ESTOQUE'!$I316</f>
        <v>0</v>
      </c>
    </row>
    <row r="317" spans="2:10" ht="15.75" customHeight="1">
      <c r="B317" s="91">
        <f>PROD!B317</f>
        <v>0</v>
      </c>
      <c r="C317" s="92">
        <f>IF('CONT. ESTOQUE'!$B317&lt;&gt;"",SUMIF(ENTRADAS!$C$7:$C$1002,'CONT. ESTOQUE'!$B317,ENTRADAS!$E$7:$E$1002),"")</f>
        <v>0</v>
      </c>
      <c r="D317" s="92">
        <f>IF('CONT. ESTOQUE'!$B317&lt;&gt;"",SUMIF(SAÍDAS!$C$7:$C$800,'CONT. ESTOQUE'!$B317,SAÍDAS!$J$7:$J$800),"")</f>
        <v>0</v>
      </c>
      <c r="E317" s="92">
        <f>IFERROR('CONT. ESTOQUE'!$C317-'CONT. ESTOQUE'!$D317,"")</f>
        <v>0</v>
      </c>
      <c r="F317" s="92" t="str">
        <f>IFERROR(VLOOKUP('CONT. ESTOQUE'!$B317,PROD!$B$6:$G$1095,4,0),"")</f>
        <v/>
      </c>
      <c r="G317" s="92" t="str">
        <f>IF('CONT. ESTOQUE'!$B317&lt;&gt;"",IF('CONT. ESTOQUE'!$E317=0,"Sem Estoque",IF('CONT. ESTOQUE'!$E317&lt;'CONT. ESTOQUE'!$F317,"Estoque Perigoso","Estoque Confortável")),"")</f>
        <v>Sem Estoque</v>
      </c>
      <c r="H317" s="93">
        <f>SUMIF(SAÍDAS!$C$7:$C$289,'CONT. ESTOQUE'!$B317,SAÍDAS!$L$7:$L$289)</f>
        <v>0</v>
      </c>
      <c r="I317" s="93">
        <f>SUMIF(ENTRADAS!$C$8:$C$1002,'CONT. ESTOQUE'!$B317,ENTRADAS!$H$7:$H$1002)</f>
        <v>0</v>
      </c>
      <c r="J317" s="94">
        <f>'CONT. ESTOQUE'!$H317-'CONT. ESTOQUE'!$I317</f>
        <v>0</v>
      </c>
    </row>
    <row r="318" spans="2:10" ht="15.75" customHeight="1">
      <c r="B318" s="91">
        <f>PROD!B318</f>
        <v>0</v>
      </c>
      <c r="C318" s="92">
        <f>IF('CONT. ESTOQUE'!$B318&lt;&gt;"",SUMIF(ENTRADAS!$C$7:$C$1002,'CONT. ESTOQUE'!$B318,ENTRADAS!$E$7:$E$1002),"")</f>
        <v>0</v>
      </c>
      <c r="D318" s="92">
        <f>IF('CONT. ESTOQUE'!$B318&lt;&gt;"",SUMIF(SAÍDAS!$C$7:$C$800,'CONT. ESTOQUE'!$B318,SAÍDAS!$J$7:$J$800),"")</f>
        <v>0</v>
      </c>
      <c r="E318" s="92">
        <f>IFERROR('CONT. ESTOQUE'!$C318-'CONT. ESTOQUE'!$D318,"")</f>
        <v>0</v>
      </c>
      <c r="F318" s="92" t="str">
        <f>IFERROR(VLOOKUP('CONT. ESTOQUE'!$B318,PROD!$B$6:$G$1095,4,0),"")</f>
        <v/>
      </c>
      <c r="G318" s="92" t="str">
        <f>IF('CONT. ESTOQUE'!$B318&lt;&gt;"",IF('CONT. ESTOQUE'!$E318=0,"Sem Estoque",IF('CONT. ESTOQUE'!$E318&lt;'CONT. ESTOQUE'!$F318,"Estoque Perigoso","Estoque Confortável")),"")</f>
        <v>Sem Estoque</v>
      </c>
      <c r="H318" s="93">
        <f>SUMIF(SAÍDAS!$C$7:$C$289,'CONT. ESTOQUE'!$B318,SAÍDAS!$L$7:$L$289)</f>
        <v>0</v>
      </c>
      <c r="I318" s="93">
        <f>SUMIF(ENTRADAS!$C$8:$C$1002,'CONT. ESTOQUE'!$B318,ENTRADAS!$H$7:$H$1002)</f>
        <v>0</v>
      </c>
      <c r="J318" s="94">
        <f>'CONT. ESTOQUE'!$H318-'CONT. ESTOQUE'!$I318</f>
        <v>0</v>
      </c>
    </row>
    <row r="319" spans="2:10" ht="15.75" customHeight="1">
      <c r="B319" s="91">
        <f>PROD!B319</f>
        <v>0</v>
      </c>
      <c r="C319" s="92">
        <f>IF('CONT. ESTOQUE'!$B319&lt;&gt;"",SUMIF(ENTRADAS!$C$7:$C$1002,'CONT. ESTOQUE'!$B319,ENTRADAS!$E$7:$E$1002),"")</f>
        <v>0</v>
      </c>
      <c r="D319" s="92">
        <f>IF('CONT. ESTOQUE'!$B319&lt;&gt;"",SUMIF(SAÍDAS!$C$7:$C$800,'CONT. ESTOQUE'!$B319,SAÍDAS!$J$7:$J$800),"")</f>
        <v>0</v>
      </c>
      <c r="E319" s="92">
        <f>IFERROR('CONT. ESTOQUE'!$C319-'CONT. ESTOQUE'!$D319,"")</f>
        <v>0</v>
      </c>
      <c r="F319" s="92" t="str">
        <f>IFERROR(VLOOKUP('CONT. ESTOQUE'!$B319,PROD!$B$6:$G$1095,4,0),"")</f>
        <v/>
      </c>
      <c r="G319" s="92" t="str">
        <f>IF('CONT. ESTOQUE'!$B319&lt;&gt;"",IF('CONT. ESTOQUE'!$E319=0,"Sem Estoque",IF('CONT. ESTOQUE'!$E319&lt;'CONT. ESTOQUE'!$F319,"Estoque Perigoso","Estoque Confortável")),"")</f>
        <v>Sem Estoque</v>
      </c>
      <c r="H319" s="93">
        <f>SUMIF(SAÍDAS!$C$7:$C$289,'CONT. ESTOQUE'!$B319,SAÍDAS!$L$7:$L$289)</f>
        <v>0</v>
      </c>
      <c r="I319" s="93">
        <f>SUMIF(ENTRADAS!$C$8:$C$1002,'CONT. ESTOQUE'!$B319,ENTRADAS!$H$7:$H$1002)</f>
        <v>0</v>
      </c>
      <c r="J319" s="94">
        <f>'CONT. ESTOQUE'!$H319-'CONT. ESTOQUE'!$I319</f>
        <v>0</v>
      </c>
    </row>
    <row r="320" spans="2:10" ht="15.75" customHeight="1">
      <c r="B320" s="91">
        <f>PROD!B320</f>
        <v>0</v>
      </c>
      <c r="C320" s="92">
        <f>IF('CONT. ESTOQUE'!$B320&lt;&gt;"",SUMIF(ENTRADAS!$C$7:$C$1002,'CONT. ESTOQUE'!$B320,ENTRADAS!$E$7:$E$1002),"")</f>
        <v>0</v>
      </c>
      <c r="D320" s="92">
        <f>IF('CONT. ESTOQUE'!$B320&lt;&gt;"",SUMIF(SAÍDAS!$C$7:$C$800,'CONT. ESTOQUE'!$B320,SAÍDAS!$J$7:$J$800),"")</f>
        <v>0</v>
      </c>
      <c r="E320" s="92">
        <f>IFERROR('CONT. ESTOQUE'!$C320-'CONT. ESTOQUE'!$D320,"")</f>
        <v>0</v>
      </c>
      <c r="F320" s="92" t="str">
        <f>IFERROR(VLOOKUP('CONT. ESTOQUE'!$B320,PROD!$B$6:$G$1095,4,0),"")</f>
        <v/>
      </c>
      <c r="G320" s="92" t="str">
        <f>IF('CONT. ESTOQUE'!$B320&lt;&gt;"",IF('CONT. ESTOQUE'!$E320=0,"Sem Estoque",IF('CONT. ESTOQUE'!$E320&lt;'CONT. ESTOQUE'!$F320,"Estoque Perigoso","Estoque Confortável")),"")</f>
        <v>Sem Estoque</v>
      </c>
      <c r="H320" s="93">
        <f>SUMIF(SAÍDAS!$C$7:$C$289,'CONT. ESTOQUE'!$B320,SAÍDAS!$L$7:$L$289)</f>
        <v>0</v>
      </c>
      <c r="I320" s="93">
        <f>SUMIF(ENTRADAS!$C$8:$C$1002,'CONT. ESTOQUE'!$B320,ENTRADAS!$H$7:$H$1002)</f>
        <v>0</v>
      </c>
      <c r="J320" s="94">
        <f>'CONT. ESTOQUE'!$H320-'CONT. ESTOQUE'!$I320</f>
        <v>0</v>
      </c>
    </row>
    <row r="321" spans="2:10" ht="15.75" customHeight="1">
      <c r="B321" s="91">
        <f>PROD!B321</f>
        <v>0</v>
      </c>
      <c r="C321" s="92">
        <f>IF('CONT. ESTOQUE'!$B321&lt;&gt;"",SUMIF(ENTRADAS!$C$7:$C$1002,'CONT. ESTOQUE'!$B321,ENTRADAS!$E$7:$E$1002),"")</f>
        <v>0</v>
      </c>
      <c r="D321" s="92">
        <f>IF('CONT. ESTOQUE'!$B321&lt;&gt;"",SUMIF(SAÍDAS!$C$7:$C$800,'CONT. ESTOQUE'!$B321,SAÍDAS!$J$7:$J$800),"")</f>
        <v>0</v>
      </c>
      <c r="E321" s="92">
        <f>IFERROR('CONT. ESTOQUE'!$C321-'CONT. ESTOQUE'!$D321,"")</f>
        <v>0</v>
      </c>
      <c r="F321" s="92" t="str">
        <f>IFERROR(VLOOKUP('CONT. ESTOQUE'!$B321,PROD!$B$6:$G$1095,4,0),"")</f>
        <v/>
      </c>
      <c r="G321" s="92" t="str">
        <f>IF('CONT. ESTOQUE'!$B321&lt;&gt;"",IF('CONT. ESTOQUE'!$E321=0,"Sem Estoque",IF('CONT. ESTOQUE'!$E321&lt;'CONT. ESTOQUE'!$F321,"Estoque Perigoso","Estoque Confortável")),"")</f>
        <v>Sem Estoque</v>
      </c>
      <c r="H321" s="93">
        <f>SUMIF(SAÍDAS!$C$7:$C$289,'CONT. ESTOQUE'!$B321,SAÍDAS!$L$7:$L$289)</f>
        <v>0</v>
      </c>
      <c r="I321" s="93">
        <f>SUMIF(ENTRADAS!$C$8:$C$1002,'CONT. ESTOQUE'!$B321,ENTRADAS!$H$7:$H$1002)</f>
        <v>0</v>
      </c>
      <c r="J321" s="94">
        <f>'CONT. ESTOQUE'!$H321-'CONT. ESTOQUE'!$I321</f>
        <v>0</v>
      </c>
    </row>
    <row r="322" spans="2:10" ht="15.75" customHeight="1">
      <c r="B322" s="91">
        <f>PROD!B322</f>
        <v>0</v>
      </c>
      <c r="C322" s="92">
        <f>IF('CONT. ESTOQUE'!$B322&lt;&gt;"",SUMIF(ENTRADAS!$C$7:$C$1002,'CONT. ESTOQUE'!$B322,ENTRADAS!$E$7:$E$1002),"")</f>
        <v>0</v>
      </c>
      <c r="D322" s="92">
        <f>IF('CONT. ESTOQUE'!$B322&lt;&gt;"",SUMIF(SAÍDAS!$C$7:$C$800,'CONT. ESTOQUE'!$B322,SAÍDAS!$J$7:$J$800),"")</f>
        <v>0</v>
      </c>
      <c r="E322" s="92">
        <f>IFERROR('CONT. ESTOQUE'!$C322-'CONT. ESTOQUE'!$D322,"")</f>
        <v>0</v>
      </c>
      <c r="F322" s="92" t="str">
        <f>IFERROR(VLOOKUP('CONT. ESTOQUE'!$B322,PROD!$B$6:$G$1095,4,0),"")</f>
        <v/>
      </c>
      <c r="G322" s="92" t="str">
        <f>IF('CONT. ESTOQUE'!$B322&lt;&gt;"",IF('CONT. ESTOQUE'!$E322=0,"Sem Estoque",IF('CONT. ESTOQUE'!$E322&lt;'CONT. ESTOQUE'!$F322,"Estoque Perigoso","Estoque Confortável")),"")</f>
        <v>Sem Estoque</v>
      </c>
      <c r="H322" s="93">
        <f>SUMIF(SAÍDAS!$C$7:$C$289,'CONT. ESTOQUE'!$B322,SAÍDAS!$L$7:$L$289)</f>
        <v>0</v>
      </c>
      <c r="I322" s="93">
        <f>SUMIF(ENTRADAS!$C$8:$C$1002,'CONT. ESTOQUE'!$B322,ENTRADAS!$H$7:$H$1002)</f>
        <v>0</v>
      </c>
      <c r="J322" s="94">
        <f>'CONT. ESTOQUE'!$H322-'CONT. ESTOQUE'!$I322</f>
        <v>0</v>
      </c>
    </row>
    <row r="323" spans="2:10" ht="15.75" customHeight="1">
      <c r="B323" s="91">
        <f>PROD!B323</f>
        <v>0</v>
      </c>
      <c r="C323" s="92">
        <f>IF('CONT. ESTOQUE'!$B323&lt;&gt;"",SUMIF(ENTRADAS!$C$7:$C$1002,'CONT. ESTOQUE'!$B323,ENTRADAS!$E$7:$E$1002),"")</f>
        <v>0</v>
      </c>
      <c r="D323" s="92">
        <f>IF('CONT. ESTOQUE'!$B323&lt;&gt;"",SUMIF(SAÍDAS!$C$7:$C$800,'CONT. ESTOQUE'!$B323,SAÍDAS!$J$7:$J$800),"")</f>
        <v>0</v>
      </c>
      <c r="E323" s="92">
        <f>IFERROR('CONT. ESTOQUE'!$C323-'CONT. ESTOQUE'!$D323,"")</f>
        <v>0</v>
      </c>
      <c r="F323" s="92" t="str">
        <f>IFERROR(VLOOKUP('CONT. ESTOQUE'!$B323,PROD!$B$6:$G$1095,4,0),"")</f>
        <v/>
      </c>
      <c r="G323" s="92" t="str">
        <f>IF('CONT. ESTOQUE'!$B323&lt;&gt;"",IF('CONT. ESTOQUE'!$E323=0,"Sem Estoque",IF('CONT. ESTOQUE'!$E323&lt;'CONT. ESTOQUE'!$F323,"Estoque Perigoso","Estoque Confortável")),"")</f>
        <v>Sem Estoque</v>
      </c>
      <c r="H323" s="93">
        <f>SUMIF(SAÍDAS!$C$7:$C$289,'CONT. ESTOQUE'!$B323,SAÍDAS!$L$7:$L$289)</f>
        <v>0</v>
      </c>
      <c r="I323" s="93">
        <f>SUMIF(ENTRADAS!$C$8:$C$1002,'CONT. ESTOQUE'!$B323,ENTRADAS!$H$7:$H$1002)</f>
        <v>0</v>
      </c>
      <c r="J323" s="94">
        <f>'CONT. ESTOQUE'!$H323-'CONT. ESTOQUE'!$I323</f>
        <v>0</v>
      </c>
    </row>
    <row r="324" spans="2:10" ht="15.75" customHeight="1">
      <c r="B324" s="91">
        <f>PROD!B324</f>
        <v>0</v>
      </c>
      <c r="C324" s="92">
        <f>IF('CONT. ESTOQUE'!$B324&lt;&gt;"",SUMIF(ENTRADAS!$C$7:$C$1002,'CONT. ESTOQUE'!$B324,ENTRADAS!$E$7:$E$1002),"")</f>
        <v>0</v>
      </c>
      <c r="D324" s="92">
        <f>IF('CONT. ESTOQUE'!$B324&lt;&gt;"",SUMIF(SAÍDAS!$C$7:$C$800,'CONT. ESTOQUE'!$B324,SAÍDAS!$J$7:$J$800),"")</f>
        <v>0</v>
      </c>
      <c r="E324" s="92">
        <f>IFERROR('CONT. ESTOQUE'!$C324-'CONT. ESTOQUE'!$D324,"")</f>
        <v>0</v>
      </c>
      <c r="F324" s="92" t="str">
        <f>IFERROR(VLOOKUP('CONT. ESTOQUE'!$B324,PROD!$B$6:$G$1095,4,0),"")</f>
        <v/>
      </c>
      <c r="G324" s="92" t="str">
        <f>IF('CONT. ESTOQUE'!$B324&lt;&gt;"",IF('CONT. ESTOQUE'!$E324=0,"Sem Estoque",IF('CONT. ESTOQUE'!$E324&lt;'CONT. ESTOQUE'!$F324,"Estoque Perigoso","Estoque Confortável")),"")</f>
        <v>Sem Estoque</v>
      </c>
      <c r="H324" s="93">
        <f>SUMIF(SAÍDAS!$C$7:$C$289,'CONT. ESTOQUE'!$B324,SAÍDAS!$L$7:$L$289)</f>
        <v>0</v>
      </c>
      <c r="I324" s="93">
        <f>SUMIF(ENTRADAS!$C$8:$C$1002,'CONT. ESTOQUE'!$B324,ENTRADAS!$H$7:$H$1002)</f>
        <v>0</v>
      </c>
      <c r="J324" s="94">
        <f>'CONT. ESTOQUE'!$H324-'CONT. ESTOQUE'!$I324</f>
        <v>0</v>
      </c>
    </row>
    <row r="325" spans="2:10" ht="15.75" customHeight="1">
      <c r="B325" s="91">
        <f>PROD!B325</f>
        <v>0</v>
      </c>
      <c r="C325" s="92">
        <f>IF('CONT. ESTOQUE'!$B325&lt;&gt;"",SUMIF(ENTRADAS!$C$7:$C$1002,'CONT. ESTOQUE'!$B325,ENTRADAS!$E$7:$E$1002),"")</f>
        <v>0</v>
      </c>
      <c r="D325" s="92">
        <f>IF('CONT. ESTOQUE'!$B325&lt;&gt;"",SUMIF(SAÍDAS!$C$7:$C$800,'CONT. ESTOQUE'!$B325,SAÍDAS!$J$7:$J$800),"")</f>
        <v>0</v>
      </c>
      <c r="E325" s="92">
        <f>IFERROR('CONT. ESTOQUE'!$C325-'CONT. ESTOQUE'!$D325,"")</f>
        <v>0</v>
      </c>
      <c r="F325" s="92" t="str">
        <f>IFERROR(VLOOKUP('CONT. ESTOQUE'!$B325,PROD!$B$6:$G$1095,4,0),"")</f>
        <v/>
      </c>
      <c r="G325" s="92" t="str">
        <f>IF('CONT. ESTOQUE'!$B325&lt;&gt;"",IF('CONT. ESTOQUE'!$E325=0,"Sem Estoque",IF('CONT. ESTOQUE'!$E325&lt;'CONT. ESTOQUE'!$F325,"Estoque Perigoso","Estoque Confortável")),"")</f>
        <v>Sem Estoque</v>
      </c>
      <c r="H325" s="93">
        <f>SUMIF(SAÍDAS!$C$7:$C$289,'CONT. ESTOQUE'!$B325,SAÍDAS!$L$7:$L$289)</f>
        <v>0</v>
      </c>
      <c r="I325" s="93">
        <f>SUMIF(ENTRADAS!$C$8:$C$1002,'CONT. ESTOQUE'!$B325,ENTRADAS!$H$7:$H$1002)</f>
        <v>0</v>
      </c>
      <c r="J325" s="94">
        <f>'CONT. ESTOQUE'!$H325-'CONT. ESTOQUE'!$I325</f>
        <v>0</v>
      </c>
    </row>
    <row r="326" spans="2:10" ht="15.75" customHeight="1">
      <c r="B326" s="91">
        <f>PROD!B326</f>
        <v>0</v>
      </c>
      <c r="C326" s="92">
        <f>IF('CONT. ESTOQUE'!$B326&lt;&gt;"",SUMIF(ENTRADAS!$C$7:$C$1002,'CONT. ESTOQUE'!$B326,ENTRADAS!$E$7:$E$1002),"")</f>
        <v>0</v>
      </c>
      <c r="D326" s="92">
        <f>IF('CONT. ESTOQUE'!$B326&lt;&gt;"",SUMIF(SAÍDAS!$C$7:$C$800,'CONT. ESTOQUE'!$B326,SAÍDAS!$J$7:$J$800),"")</f>
        <v>0</v>
      </c>
      <c r="E326" s="92">
        <f>IFERROR('CONT. ESTOQUE'!$C326-'CONT. ESTOQUE'!$D326,"")</f>
        <v>0</v>
      </c>
      <c r="F326" s="92" t="str">
        <f>IFERROR(VLOOKUP('CONT. ESTOQUE'!$B326,PROD!$B$6:$G$1095,4,0),"")</f>
        <v/>
      </c>
      <c r="G326" s="92" t="str">
        <f>IF('CONT. ESTOQUE'!$B326&lt;&gt;"",IF('CONT. ESTOQUE'!$E326=0,"Sem Estoque",IF('CONT. ESTOQUE'!$E326&lt;'CONT. ESTOQUE'!$F326,"Estoque Perigoso","Estoque Confortável")),"")</f>
        <v>Sem Estoque</v>
      </c>
      <c r="H326" s="93">
        <f>SUMIF(SAÍDAS!$C$7:$C$289,'CONT. ESTOQUE'!$B326,SAÍDAS!$L$7:$L$289)</f>
        <v>0</v>
      </c>
      <c r="I326" s="93">
        <f>SUMIF(ENTRADAS!$C$8:$C$1002,'CONT. ESTOQUE'!$B326,ENTRADAS!$H$7:$H$1002)</f>
        <v>0</v>
      </c>
      <c r="J326" s="94">
        <f>'CONT. ESTOQUE'!$H326-'CONT. ESTOQUE'!$I326</f>
        <v>0</v>
      </c>
    </row>
    <row r="327" spans="2:10" ht="15.75" customHeight="1">
      <c r="B327" s="91">
        <f>PROD!B327</f>
        <v>0</v>
      </c>
      <c r="C327" s="92">
        <f>IF('CONT. ESTOQUE'!$B327&lt;&gt;"",SUMIF(ENTRADAS!$C$7:$C$1002,'CONT. ESTOQUE'!$B327,ENTRADAS!$E$7:$E$1002),"")</f>
        <v>0</v>
      </c>
      <c r="D327" s="92">
        <f>IF('CONT. ESTOQUE'!$B327&lt;&gt;"",SUMIF(SAÍDAS!$C$7:$C$800,'CONT. ESTOQUE'!$B327,SAÍDAS!$J$7:$J$800),"")</f>
        <v>0</v>
      </c>
      <c r="E327" s="92">
        <f>IFERROR('CONT. ESTOQUE'!$C327-'CONT. ESTOQUE'!$D327,"")</f>
        <v>0</v>
      </c>
      <c r="F327" s="92" t="str">
        <f>IFERROR(VLOOKUP('CONT. ESTOQUE'!$B327,PROD!$B$6:$G$1095,4,0),"")</f>
        <v/>
      </c>
      <c r="G327" s="92" t="str">
        <f>IF('CONT. ESTOQUE'!$B327&lt;&gt;"",IF('CONT. ESTOQUE'!$E327=0,"Sem Estoque",IF('CONT. ESTOQUE'!$E327&lt;'CONT. ESTOQUE'!$F327,"Estoque Perigoso","Estoque Confortável")),"")</f>
        <v>Sem Estoque</v>
      </c>
      <c r="H327" s="93">
        <f>SUMIF(SAÍDAS!$C$7:$C$289,'CONT. ESTOQUE'!$B327,SAÍDAS!$L$7:$L$289)</f>
        <v>0</v>
      </c>
      <c r="I327" s="93">
        <f>SUMIF(ENTRADAS!$C$8:$C$1002,'CONT. ESTOQUE'!$B327,ENTRADAS!$H$7:$H$1002)</f>
        <v>0</v>
      </c>
      <c r="J327" s="94">
        <f>'CONT. ESTOQUE'!$H327-'CONT. ESTOQUE'!$I327</f>
        <v>0</v>
      </c>
    </row>
    <row r="328" spans="2:10" ht="15.75" customHeight="1">
      <c r="B328" s="91">
        <f>PROD!B328</f>
        <v>0</v>
      </c>
      <c r="C328" s="92">
        <f>IF('CONT. ESTOQUE'!$B328&lt;&gt;"",SUMIF(ENTRADAS!$C$7:$C$1002,'CONT. ESTOQUE'!$B328,ENTRADAS!$E$7:$E$1002),"")</f>
        <v>0</v>
      </c>
      <c r="D328" s="92">
        <f>IF('CONT. ESTOQUE'!$B328&lt;&gt;"",SUMIF(SAÍDAS!$C$7:$C$800,'CONT. ESTOQUE'!$B328,SAÍDAS!$J$7:$J$800),"")</f>
        <v>0</v>
      </c>
      <c r="E328" s="92">
        <f>IFERROR('CONT. ESTOQUE'!$C328-'CONT. ESTOQUE'!$D328,"")</f>
        <v>0</v>
      </c>
      <c r="F328" s="92" t="str">
        <f>IFERROR(VLOOKUP('CONT. ESTOQUE'!$B328,PROD!$B$6:$G$1095,4,0),"")</f>
        <v/>
      </c>
      <c r="G328" s="92" t="str">
        <f>IF('CONT. ESTOQUE'!$B328&lt;&gt;"",IF('CONT. ESTOQUE'!$E328=0,"Sem Estoque",IF('CONT. ESTOQUE'!$E328&lt;'CONT. ESTOQUE'!$F328,"Estoque Perigoso","Estoque Confortável")),"")</f>
        <v>Sem Estoque</v>
      </c>
      <c r="H328" s="93">
        <f>SUMIF(SAÍDAS!$C$7:$C$289,'CONT. ESTOQUE'!$B328,SAÍDAS!$L$7:$L$289)</f>
        <v>0</v>
      </c>
      <c r="I328" s="93">
        <f>SUMIF(ENTRADAS!$C$8:$C$1002,'CONT. ESTOQUE'!$B328,ENTRADAS!$H$7:$H$1002)</f>
        <v>0</v>
      </c>
      <c r="J328" s="94">
        <f>'CONT. ESTOQUE'!$H328-'CONT. ESTOQUE'!$I328</f>
        <v>0</v>
      </c>
    </row>
    <row r="329" spans="2:10" ht="15.75" customHeight="1">
      <c r="B329" s="91">
        <f>PROD!B329</f>
        <v>0</v>
      </c>
      <c r="C329" s="92">
        <f>IF('CONT. ESTOQUE'!$B329&lt;&gt;"",SUMIF(ENTRADAS!$C$7:$C$1002,'CONT. ESTOQUE'!$B329,ENTRADAS!$E$7:$E$1002),"")</f>
        <v>0</v>
      </c>
      <c r="D329" s="92">
        <f>IF('CONT. ESTOQUE'!$B329&lt;&gt;"",SUMIF(SAÍDAS!$C$7:$C$800,'CONT. ESTOQUE'!$B329,SAÍDAS!$J$7:$J$800),"")</f>
        <v>0</v>
      </c>
      <c r="E329" s="92">
        <f>IFERROR('CONT. ESTOQUE'!$C329-'CONT. ESTOQUE'!$D329,"")</f>
        <v>0</v>
      </c>
      <c r="F329" s="92" t="str">
        <f>IFERROR(VLOOKUP('CONT. ESTOQUE'!$B329,PROD!$B$6:$G$1095,4,0),"")</f>
        <v/>
      </c>
      <c r="G329" s="92" t="str">
        <f>IF('CONT. ESTOQUE'!$B329&lt;&gt;"",IF('CONT. ESTOQUE'!$E329=0,"Sem Estoque",IF('CONT. ESTOQUE'!$E329&lt;'CONT. ESTOQUE'!$F329,"Estoque Perigoso","Estoque Confortável")),"")</f>
        <v>Sem Estoque</v>
      </c>
      <c r="H329" s="93">
        <f>SUMIF(SAÍDAS!$C$7:$C$289,'CONT. ESTOQUE'!$B329,SAÍDAS!$L$7:$L$289)</f>
        <v>0</v>
      </c>
      <c r="I329" s="93">
        <f>SUMIF(ENTRADAS!$C$8:$C$1002,'CONT. ESTOQUE'!$B329,ENTRADAS!$H$7:$H$1002)</f>
        <v>0</v>
      </c>
      <c r="J329" s="94">
        <f>'CONT. ESTOQUE'!$H329-'CONT. ESTOQUE'!$I329</f>
        <v>0</v>
      </c>
    </row>
    <row r="330" spans="2:10" ht="15.75" customHeight="1">
      <c r="B330" s="91">
        <f>PROD!B330</f>
        <v>0</v>
      </c>
      <c r="C330" s="92">
        <f>IF('CONT. ESTOQUE'!$B330&lt;&gt;"",SUMIF(ENTRADAS!$C$7:$C$1002,'CONT. ESTOQUE'!$B330,ENTRADAS!$E$7:$E$1002),"")</f>
        <v>0</v>
      </c>
      <c r="D330" s="92">
        <f>IF('CONT. ESTOQUE'!$B330&lt;&gt;"",SUMIF(SAÍDAS!$C$7:$C$800,'CONT. ESTOQUE'!$B330,SAÍDAS!$J$7:$J$800),"")</f>
        <v>0</v>
      </c>
      <c r="E330" s="92">
        <f>IFERROR('CONT. ESTOQUE'!$C330-'CONT. ESTOQUE'!$D330,"")</f>
        <v>0</v>
      </c>
      <c r="F330" s="92" t="str">
        <f>IFERROR(VLOOKUP('CONT. ESTOQUE'!$B330,PROD!$B$6:$G$1095,4,0),"")</f>
        <v/>
      </c>
      <c r="G330" s="92" t="str">
        <f>IF('CONT. ESTOQUE'!$B330&lt;&gt;"",IF('CONT. ESTOQUE'!$E330=0,"Sem Estoque",IF('CONT. ESTOQUE'!$E330&lt;'CONT. ESTOQUE'!$F330,"Estoque Perigoso","Estoque Confortável")),"")</f>
        <v>Sem Estoque</v>
      </c>
      <c r="H330" s="93">
        <f>SUMIF(SAÍDAS!$C$7:$C$289,'CONT. ESTOQUE'!$B330,SAÍDAS!$L$7:$L$289)</f>
        <v>0</v>
      </c>
      <c r="I330" s="93">
        <f>SUMIF(ENTRADAS!$C$8:$C$1002,'CONT. ESTOQUE'!$B330,ENTRADAS!$H$7:$H$1002)</f>
        <v>0</v>
      </c>
      <c r="J330" s="94">
        <f>'CONT. ESTOQUE'!$H330-'CONT. ESTOQUE'!$I330</f>
        <v>0</v>
      </c>
    </row>
    <row r="331" spans="2:10" ht="15.75" customHeight="1">
      <c r="B331" s="91">
        <f>PROD!B331</f>
        <v>0</v>
      </c>
      <c r="C331" s="92">
        <f>IF('CONT. ESTOQUE'!$B331&lt;&gt;"",SUMIF(ENTRADAS!$C$7:$C$1002,'CONT. ESTOQUE'!$B331,ENTRADAS!$E$7:$E$1002),"")</f>
        <v>0</v>
      </c>
      <c r="D331" s="92">
        <f>IF('CONT. ESTOQUE'!$B331&lt;&gt;"",SUMIF(SAÍDAS!$C$7:$C$800,'CONT. ESTOQUE'!$B331,SAÍDAS!$J$7:$J$800),"")</f>
        <v>0</v>
      </c>
      <c r="E331" s="92">
        <f>IFERROR('CONT. ESTOQUE'!$C331-'CONT. ESTOQUE'!$D331,"")</f>
        <v>0</v>
      </c>
      <c r="F331" s="92" t="str">
        <f>IFERROR(VLOOKUP('CONT. ESTOQUE'!$B331,PROD!$B$6:$G$1095,4,0),"")</f>
        <v/>
      </c>
      <c r="G331" s="92" t="str">
        <f>IF('CONT. ESTOQUE'!$B331&lt;&gt;"",IF('CONT. ESTOQUE'!$E331=0,"Sem Estoque",IF('CONT. ESTOQUE'!$E331&lt;'CONT. ESTOQUE'!$F331,"Estoque Perigoso","Estoque Confortável")),"")</f>
        <v>Sem Estoque</v>
      </c>
      <c r="H331" s="93">
        <f>SUMIF(SAÍDAS!$C$7:$C$289,'CONT. ESTOQUE'!$B331,SAÍDAS!$L$7:$L$289)</f>
        <v>0</v>
      </c>
      <c r="I331" s="93">
        <f>SUMIF(ENTRADAS!$C$8:$C$1002,'CONT. ESTOQUE'!$B331,ENTRADAS!$H$7:$H$1002)</f>
        <v>0</v>
      </c>
      <c r="J331" s="94">
        <f>'CONT. ESTOQUE'!$H331-'CONT. ESTOQUE'!$I331</f>
        <v>0</v>
      </c>
    </row>
    <row r="332" spans="2:10" ht="15.75" customHeight="1">
      <c r="B332" s="91">
        <f>PROD!B332</f>
        <v>0</v>
      </c>
      <c r="C332" s="92">
        <f>IF('CONT. ESTOQUE'!$B332&lt;&gt;"",SUMIF(ENTRADAS!$C$7:$C$1002,'CONT. ESTOQUE'!$B332,ENTRADAS!$E$7:$E$1002),"")</f>
        <v>0</v>
      </c>
      <c r="D332" s="92">
        <f>IF('CONT. ESTOQUE'!$B332&lt;&gt;"",SUMIF(SAÍDAS!$C$7:$C$800,'CONT. ESTOQUE'!$B332,SAÍDAS!$J$7:$J$800),"")</f>
        <v>0</v>
      </c>
      <c r="E332" s="92">
        <f>IFERROR('CONT. ESTOQUE'!$C332-'CONT. ESTOQUE'!$D332,"")</f>
        <v>0</v>
      </c>
      <c r="F332" s="92" t="str">
        <f>IFERROR(VLOOKUP('CONT. ESTOQUE'!$B332,PROD!$B$6:$G$1095,4,0),"")</f>
        <v/>
      </c>
      <c r="G332" s="92" t="str">
        <f>IF('CONT. ESTOQUE'!$B332&lt;&gt;"",IF('CONT. ESTOQUE'!$E332=0,"Sem Estoque",IF('CONT. ESTOQUE'!$E332&lt;'CONT. ESTOQUE'!$F332,"Estoque Perigoso","Estoque Confortável")),"")</f>
        <v>Sem Estoque</v>
      </c>
      <c r="H332" s="93">
        <f>SUMIF(SAÍDAS!$C$7:$C$289,'CONT. ESTOQUE'!$B332,SAÍDAS!$L$7:$L$289)</f>
        <v>0</v>
      </c>
      <c r="I332" s="93">
        <f>SUMIF(ENTRADAS!$C$8:$C$1002,'CONT. ESTOQUE'!$B332,ENTRADAS!$H$7:$H$1002)</f>
        <v>0</v>
      </c>
      <c r="J332" s="94">
        <f>'CONT. ESTOQUE'!$H332-'CONT. ESTOQUE'!$I332</f>
        <v>0</v>
      </c>
    </row>
    <row r="333" spans="2:10" ht="15.75" customHeight="1">
      <c r="B333" s="91">
        <f>PROD!B333</f>
        <v>0</v>
      </c>
      <c r="C333" s="92">
        <f>IF('CONT. ESTOQUE'!$B333&lt;&gt;"",SUMIF(ENTRADAS!$C$7:$C$1002,'CONT. ESTOQUE'!$B333,ENTRADAS!$E$7:$E$1002),"")</f>
        <v>0</v>
      </c>
      <c r="D333" s="92">
        <f>IF('CONT. ESTOQUE'!$B333&lt;&gt;"",SUMIF(SAÍDAS!$C$7:$C$800,'CONT. ESTOQUE'!$B333,SAÍDAS!$J$7:$J$800),"")</f>
        <v>0</v>
      </c>
      <c r="E333" s="92">
        <f>IFERROR('CONT. ESTOQUE'!$C333-'CONT. ESTOQUE'!$D333,"")</f>
        <v>0</v>
      </c>
      <c r="F333" s="92" t="str">
        <f>IFERROR(VLOOKUP('CONT. ESTOQUE'!$B333,PROD!$B$6:$G$1095,4,0),"")</f>
        <v/>
      </c>
      <c r="G333" s="92" t="str">
        <f>IF('CONT. ESTOQUE'!$B333&lt;&gt;"",IF('CONT. ESTOQUE'!$E333=0,"Sem Estoque",IF('CONT. ESTOQUE'!$E333&lt;'CONT. ESTOQUE'!$F333,"Estoque Perigoso","Estoque Confortável")),"")</f>
        <v>Sem Estoque</v>
      </c>
      <c r="H333" s="93">
        <f>SUMIF(SAÍDAS!$C$7:$C$289,'CONT. ESTOQUE'!$B333,SAÍDAS!$L$7:$L$289)</f>
        <v>0</v>
      </c>
      <c r="I333" s="93">
        <f>SUMIF(ENTRADAS!$C$8:$C$1002,'CONT. ESTOQUE'!$B333,ENTRADAS!$H$7:$H$1002)</f>
        <v>0</v>
      </c>
      <c r="J333" s="94">
        <f>'CONT. ESTOQUE'!$H333-'CONT. ESTOQUE'!$I333</f>
        <v>0</v>
      </c>
    </row>
    <row r="334" spans="2:10" ht="15.75" customHeight="1">
      <c r="B334" s="91">
        <f>PROD!B334</f>
        <v>0</v>
      </c>
      <c r="C334" s="92">
        <f>IF('CONT. ESTOQUE'!$B334&lt;&gt;"",SUMIF(ENTRADAS!$C$7:$C$1002,'CONT. ESTOQUE'!$B334,ENTRADAS!$E$7:$E$1002),"")</f>
        <v>0</v>
      </c>
      <c r="D334" s="92">
        <f>IF('CONT. ESTOQUE'!$B334&lt;&gt;"",SUMIF(SAÍDAS!$C$7:$C$800,'CONT. ESTOQUE'!$B334,SAÍDAS!$J$7:$J$800),"")</f>
        <v>0</v>
      </c>
      <c r="E334" s="92">
        <f>IFERROR('CONT. ESTOQUE'!$C334-'CONT. ESTOQUE'!$D334,"")</f>
        <v>0</v>
      </c>
      <c r="F334" s="92" t="str">
        <f>IFERROR(VLOOKUP('CONT. ESTOQUE'!$B334,PROD!$B$6:$G$1095,4,0),"")</f>
        <v/>
      </c>
      <c r="G334" s="92" t="str">
        <f>IF('CONT. ESTOQUE'!$B334&lt;&gt;"",IF('CONT. ESTOQUE'!$E334=0,"Sem Estoque",IF('CONT. ESTOQUE'!$E334&lt;'CONT. ESTOQUE'!$F334,"Estoque Perigoso","Estoque Confortável")),"")</f>
        <v>Sem Estoque</v>
      </c>
      <c r="H334" s="93">
        <f>SUMIF(SAÍDAS!$C$7:$C$289,'CONT. ESTOQUE'!$B334,SAÍDAS!$L$7:$L$289)</f>
        <v>0</v>
      </c>
      <c r="I334" s="93">
        <f>SUMIF(ENTRADAS!$C$8:$C$1002,'CONT. ESTOQUE'!$B334,ENTRADAS!$H$7:$H$1002)</f>
        <v>0</v>
      </c>
      <c r="J334" s="94">
        <f>'CONT. ESTOQUE'!$H334-'CONT. ESTOQUE'!$I334</f>
        <v>0</v>
      </c>
    </row>
    <row r="335" spans="2:10" ht="15.75" customHeight="1">
      <c r="B335" s="91">
        <f>PROD!B335</f>
        <v>0</v>
      </c>
      <c r="C335" s="92">
        <f>IF('CONT. ESTOQUE'!$B335&lt;&gt;"",SUMIF(ENTRADAS!$C$7:$C$1002,'CONT. ESTOQUE'!$B335,ENTRADAS!$E$7:$E$1002),"")</f>
        <v>0</v>
      </c>
      <c r="D335" s="92">
        <f>IF('CONT. ESTOQUE'!$B335&lt;&gt;"",SUMIF(SAÍDAS!$C$7:$C$800,'CONT. ESTOQUE'!$B335,SAÍDAS!$J$7:$J$800),"")</f>
        <v>0</v>
      </c>
      <c r="E335" s="92">
        <f>IFERROR('CONT. ESTOQUE'!$C335-'CONT. ESTOQUE'!$D335,"")</f>
        <v>0</v>
      </c>
      <c r="F335" s="92" t="str">
        <f>IFERROR(VLOOKUP('CONT. ESTOQUE'!$B335,PROD!$B$6:$G$1095,4,0),"")</f>
        <v/>
      </c>
      <c r="G335" s="92" t="str">
        <f>IF('CONT. ESTOQUE'!$B335&lt;&gt;"",IF('CONT. ESTOQUE'!$E335=0,"Sem Estoque",IF('CONT. ESTOQUE'!$E335&lt;'CONT. ESTOQUE'!$F335,"Estoque Perigoso","Estoque Confortável")),"")</f>
        <v>Sem Estoque</v>
      </c>
      <c r="H335" s="93">
        <f>SUMIF(SAÍDAS!$C$7:$C$289,'CONT. ESTOQUE'!$B335,SAÍDAS!$L$7:$L$289)</f>
        <v>0</v>
      </c>
      <c r="I335" s="93">
        <f>SUMIF(ENTRADAS!$C$8:$C$1002,'CONT. ESTOQUE'!$B335,ENTRADAS!$H$7:$H$1002)</f>
        <v>0</v>
      </c>
      <c r="J335" s="94">
        <f>'CONT. ESTOQUE'!$H335-'CONT. ESTOQUE'!$I335</f>
        <v>0</v>
      </c>
    </row>
    <row r="336" spans="2:10" ht="15.75" customHeight="1">
      <c r="B336" s="91">
        <f>PROD!B336</f>
        <v>0</v>
      </c>
      <c r="C336" s="92">
        <f>IF('CONT. ESTOQUE'!$B336&lt;&gt;"",SUMIF(ENTRADAS!$C$7:$C$1002,'CONT. ESTOQUE'!$B336,ENTRADAS!$E$7:$E$1002),"")</f>
        <v>0</v>
      </c>
      <c r="D336" s="92">
        <f>IF('CONT. ESTOQUE'!$B336&lt;&gt;"",SUMIF(SAÍDAS!$C$7:$C$800,'CONT. ESTOQUE'!$B336,SAÍDAS!$J$7:$J$800),"")</f>
        <v>0</v>
      </c>
      <c r="E336" s="92">
        <f>IFERROR('CONT. ESTOQUE'!$C336-'CONT. ESTOQUE'!$D336,"")</f>
        <v>0</v>
      </c>
      <c r="F336" s="92" t="str">
        <f>IFERROR(VLOOKUP('CONT. ESTOQUE'!$B336,PROD!$B$6:$G$1095,4,0),"")</f>
        <v/>
      </c>
      <c r="G336" s="92" t="str">
        <f>IF('CONT. ESTOQUE'!$B336&lt;&gt;"",IF('CONT. ESTOQUE'!$E336=0,"Sem Estoque",IF('CONT. ESTOQUE'!$E336&lt;'CONT. ESTOQUE'!$F336,"Estoque Perigoso","Estoque Confortável")),"")</f>
        <v>Sem Estoque</v>
      </c>
      <c r="H336" s="93">
        <f>SUMIF(SAÍDAS!$C$7:$C$289,'CONT. ESTOQUE'!$B336,SAÍDAS!$L$7:$L$289)</f>
        <v>0</v>
      </c>
      <c r="I336" s="93">
        <f>SUMIF(ENTRADAS!$C$8:$C$1002,'CONT. ESTOQUE'!$B336,ENTRADAS!$H$7:$H$1002)</f>
        <v>0</v>
      </c>
      <c r="J336" s="94">
        <f>'CONT. ESTOQUE'!$H336-'CONT. ESTOQUE'!$I336</f>
        <v>0</v>
      </c>
    </row>
    <row r="337" spans="2:10" ht="15.75" customHeight="1">
      <c r="B337" s="91">
        <f>PROD!B337</f>
        <v>0</v>
      </c>
      <c r="C337" s="92">
        <f>IF('CONT. ESTOQUE'!$B337&lt;&gt;"",SUMIF(ENTRADAS!$C$7:$C$1002,'CONT. ESTOQUE'!$B337,ENTRADAS!$E$7:$E$1002),"")</f>
        <v>0</v>
      </c>
      <c r="D337" s="92">
        <f>IF('CONT. ESTOQUE'!$B337&lt;&gt;"",SUMIF(SAÍDAS!$C$7:$C$800,'CONT. ESTOQUE'!$B337,SAÍDAS!$J$7:$J$800),"")</f>
        <v>0</v>
      </c>
      <c r="E337" s="92">
        <f>IFERROR('CONT. ESTOQUE'!$C337-'CONT. ESTOQUE'!$D337,"")</f>
        <v>0</v>
      </c>
      <c r="F337" s="92" t="str">
        <f>IFERROR(VLOOKUP('CONT. ESTOQUE'!$B337,PROD!$B$6:$G$1095,4,0),"")</f>
        <v/>
      </c>
      <c r="G337" s="92" t="str">
        <f>IF('CONT. ESTOQUE'!$B337&lt;&gt;"",IF('CONT. ESTOQUE'!$E337=0,"Sem Estoque",IF('CONT. ESTOQUE'!$E337&lt;'CONT. ESTOQUE'!$F337,"Estoque Perigoso","Estoque Confortável")),"")</f>
        <v>Sem Estoque</v>
      </c>
      <c r="H337" s="93">
        <f>SUMIF(SAÍDAS!$C$7:$C$289,'CONT. ESTOQUE'!$B337,SAÍDAS!$L$7:$L$289)</f>
        <v>0</v>
      </c>
      <c r="I337" s="93">
        <f>SUMIF(ENTRADAS!$C$8:$C$1002,'CONT. ESTOQUE'!$B337,ENTRADAS!$H$7:$H$1002)</f>
        <v>0</v>
      </c>
      <c r="J337" s="94">
        <f>'CONT. ESTOQUE'!$H337-'CONT. ESTOQUE'!$I337</f>
        <v>0</v>
      </c>
    </row>
    <row r="338" spans="2:10" ht="15.75" customHeight="1">
      <c r="B338" s="91">
        <f>PROD!B338</f>
        <v>0</v>
      </c>
      <c r="C338" s="92">
        <f>IF('CONT. ESTOQUE'!$B338&lt;&gt;"",SUMIF(ENTRADAS!$C$7:$C$1002,'CONT. ESTOQUE'!$B338,ENTRADAS!$E$7:$E$1002),"")</f>
        <v>0</v>
      </c>
      <c r="D338" s="92">
        <f>IF('CONT. ESTOQUE'!$B338&lt;&gt;"",SUMIF(SAÍDAS!$C$7:$C$800,'CONT. ESTOQUE'!$B338,SAÍDAS!$J$7:$J$800),"")</f>
        <v>0</v>
      </c>
      <c r="E338" s="92">
        <f>IFERROR('CONT. ESTOQUE'!$C338-'CONT. ESTOQUE'!$D338,"")</f>
        <v>0</v>
      </c>
      <c r="F338" s="92" t="str">
        <f>IFERROR(VLOOKUP('CONT. ESTOQUE'!$B338,PROD!$B$6:$G$1095,4,0),"")</f>
        <v/>
      </c>
      <c r="G338" s="92" t="str">
        <f>IF('CONT. ESTOQUE'!$B338&lt;&gt;"",IF('CONT. ESTOQUE'!$E338=0,"Sem Estoque",IF('CONT. ESTOQUE'!$E338&lt;'CONT. ESTOQUE'!$F338,"Estoque Perigoso","Estoque Confortável")),"")</f>
        <v>Sem Estoque</v>
      </c>
      <c r="H338" s="93">
        <f>SUMIF(SAÍDAS!$C$7:$C$289,'CONT. ESTOQUE'!$B338,SAÍDAS!$L$7:$L$289)</f>
        <v>0</v>
      </c>
      <c r="I338" s="93">
        <f>SUMIF(ENTRADAS!$C$8:$C$1002,'CONT. ESTOQUE'!$B338,ENTRADAS!$H$7:$H$1002)</f>
        <v>0</v>
      </c>
      <c r="J338" s="94">
        <f>'CONT. ESTOQUE'!$H338-'CONT. ESTOQUE'!$I338</f>
        <v>0</v>
      </c>
    </row>
    <row r="339" spans="2:10" ht="15.75" customHeight="1">
      <c r="B339" s="91">
        <f>PROD!B339</f>
        <v>0</v>
      </c>
      <c r="C339" s="92">
        <f>IF('CONT. ESTOQUE'!$B339&lt;&gt;"",SUMIF(ENTRADAS!$C$7:$C$1002,'CONT. ESTOQUE'!$B339,ENTRADAS!$E$7:$E$1002),"")</f>
        <v>0</v>
      </c>
      <c r="D339" s="92">
        <f>IF('CONT. ESTOQUE'!$B339&lt;&gt;"",SUMIF(SAÍDAS!$C$7:$C$800,'CONT. ESTOQUE'!$B339,SAÍDAS!$J$7:$J$800),"")</f>
        <v>0</v>
      </c>
      <c r="E339" s="92">
        <f>IFERROR('CONT. ESTOQUE'!$C339-'CONT. ESTOQUE'!$D339,"")</f>
        <v>0</v>
      </c>
      <c r="F339" s="92" t="str">
        <f>IFERROR(VLOOKUP('CONT. ESTOQUE'!$B339,PROD!$B$6:$G$1095,4,0),"")</f>
        <v/>
      </c>
      <c r="G339" s="92" t="str">
        <f>IF('CONT. ESTOQUE'!$B339&lt;&gt;"",IF('CONT. ESTOQUE'!$E339=0,"Sem Estoque",IF('CONT. ESTOQUE'!$E339&lt;'CONT. ESTOQUE'!$F339,"Estoque Perigoso","Estoque Confortável")),"")</f>
        <v>Sem Estoque</v>
      </c>
      <c r="H339" s="93">
        <f>SUMIF(SAÍDAS!$C$7:$C$289,'CONT. ESTOQUE'!$B339,SAÍDAS!$L$7:$L$289)</f>
        <v>0</v>
      </c>
      <c r="I339" s="93">
        <f>SUMIF(ENTRADAS!$C$8:$C$1002,'CONT. ESTOQUE'!$B339,ENTRADAS!$H$7:$H$1002)</f>
        <v>0</v>
      </c>
      <c r="J339" s="94">
        <f>'CONT. ESTOQUE'!$H339-'CONT. ESTOQUE'!$I339</f>
        <v>0</v>
      </c>
    </row>
    <row r="340" spans="2:10" ht="15.75" customHeight="1">
      <c r="B340" s="91">
        <f>PROD!B340</f>
        <v>0</v>
      </c>
      <c r="C340" s="92">
        <f>IF('CONT. ESTOQUE'!$B340&lt;&gt;"",SUMIF(ENTRADAS!$C$7:$C$1002,'CONT. ESTOQUE'!$B340,ENTRADAS!$E$7:$E$1002),"")</f>
        <v>0</v>
      </c>
      <c r="D340" s="92">
        <f>IF('CONT. ESTOQUE'!$B340&lt;&gt;"",SUMIF(SAÍDAS!$C$7:$C$800,'CONT. ESTOQUE'!$B340,SAÍDAS!$J$7:$J$800),"")</f>
        <v>0</v>
      </c>
      <c r="E340" s="92">
        <f>IFERROR('CONT. ESTOQUE'!$C340-'CONT. ESTOQUE'!$D340,"")</f>
        <v>0</v>
      </c>
      <c r="F340" s="92" t="str">
        <f>IFERROR(VLOOKUP('CONT. ESTOQUE'!$B340,PROD!$B$6:$G$1095,4,0),"")</f>
        <v/>
      </c>
      <c r="G340" s="92" t="str">
        <f>IF('CONT. ESTOQUE'!$B340&lt;&gt;"",IF('CONT. ESTOQUE'!$E340=0,"Sem Estoque",IF('CONT. ESTOQUE'!$E340&lt;'CONT. ESTOQUE'!$F340,"Estoque Perigoso","Estoque Confortável")),"")</f>
        <v>Sem Estoque</v>
      </c>
      <c r="H340" s="93">
        <f>SUMIF(SAÍDAS!$C$7:$C$289,'CONT. ESTOQUE'!$B340,SAÍDAS!$L$7:$L$289)</f>
        <v>0</v>
      </c>
      <c r="I340" s="93">
        <f>SUMIF(ENTRADAS!$C$8:$C$1002,'CONT. ESTOQUE'!$B340,ENTRADAS!$H$7:$H$1002)</f>
        <v>0</v>
      </c>
      <c r="J340" s="94">
        <f>'CONT. ESTOQUE'!$H340-'CONT. ESTOQUE'!$I340</f>
        <v>0</v>
      </c>
    </row>
    <row r="341" spans="2:10" ht="15.75" customHeight="1">
      <c r="B341" s="91">
        <f>PROD!B341</f>
        <v>0</v>
      </c>
      <c r="C341" s="92">
        <f>IF('CONT. ESTOQUE'!$B341&lt;&gt;"",SUMIF(ENTRADAS!$C$7:$C$1002,'CONT. ESTOQUE'!$B341,ENTRADAS!$E$7:$E$1002),"")</f>
        <v>0</v>
      </c>
      <c r="D341" s="92">
        <f>IF('CONT. ESTOQUE'!$B341&lt;&gt;"",SUMIF(SAÍDAS!$C$7:$C$800,'CONT. ESTOQUE'!$B341,SAÍDAS!$J$7:$J$800),"")</f>
        <v>0</v>
      </c>
      <c r="E341" s="92">
        <f>IFERROR('CONT. ESTOQUE'!$C341-'CONT. ESTOQUE'!$D341,"")</f>
        <v>0</v>
      </c>
      <c r="F341" s="92" t="str">
        <f>IFERROR(VLOOKUP('CONT. ESTOQUE'!$B341,PROD!$B$6:$G$1095,4,0),"")</f>
        <v/>
      </c>
      <c r="G341" s="92" t="str">
        <f>IF('CONT. ESTOQUE'!$B341&lt;&gt;"",IF('CONT. ESTOQUE'!$E341=0,"Sem Estoque",IF('CONT. ESTOQUE'!$E341&lt;'CONT. ESTOQUE'!$F341,"Estoque Perigoso","Estoque Confortável")),"")</f>
        <v>Sem Estoque</v>
      </c>
      <c r="H341" s="93">
        <f>SUMIF(SAÍDAS!$C$7:$C$289,'CONT. ESTOQUE'!$B341,SAÍDAS!$L$7:$L$289)</f>
        <v>0</v>
      </c>
      <c r="I341" s="93">
        <f>SUMIF(ENTRADAS!$C$8:$C$1002,'CONT. ESTOQUE'!$B341,ENTRADAS!$H$7:$H$1002)</f>
        <v>0</v>
      </c>
      <c r="J341" s="94">
        <f>'CONT. ESTOQUE'!$H341-'CONT. ESTOQUE'!$I341</f>
        <v>0</v>
      </c>
    </row>
    <row r="342" spans="2:10" ht="15.75" customHeight="1">
      <c r="B342" s="91">
        <f>PROD!B342</f>
        <v>0</v>
      </c>
      <c r="C342" s="92">
        <f>IF('CONT. ESTOQUE'!$B342&lt;&gt;"",SUMIF(ENTRADAS!$C$7:$C$1002,'CONT. ESTOQUE'!$B342,ENTRADAS!$E$7:$E$1002),"")</f>
        <v>0</v>
      </c>
      <c r="D342" s="92">
        <f>IF('CONT. ESTOQUE'!$B342&lt;&gt;"",SUMIF(SAÍDAS!$C$7:$C$800,'CONT. ESTOQUE'!$B342,SAÍDAS!$J$7:$J$800),"")</f>
        <v>0</v>
      </c>
      <c r="E342" s="92">
        <f>IFERROR('CONT. ESTOQUE'!$C342-'CONT. ESTOQUE'!$D342,"")</f>
        <v>0</v>
      </c>
      <c r="F342" s="92" t="str">
        <f>IFERROR(VLOOKUP('CONT. ESTOQUE'!$B342,PROD!$B$6:$G$1095,4,0),"")</f>
        <v/>
      </c>
      <c r="G342" s="92" t="str">
        <f>IF('CONT. ESTOQUE'!$B342&lt;&gt;"",IF('CONT. ESTOQUE'!$E342=0,"Sem Estoque",IF('CONT. ESTOQUE'!$E342&lt;'CONT. ESTOQUE'!$F342,"Estoque Perigoso","Estoque Confortável")),"")</f>
        <v>Sem Estoque</v>
      </c>
      <c r="H342" s="93">
        <f>SUMIF(SAÍDAS!$C$7:$C$289,'CONT. ESTOQUE'!$B342,SAÍDAS!$L$7:$L$289)</f>
        <v>0</v>
      </c>
      <c r="I342" s="93">
        <f>SUMIF(ENTRADAS!$C$8:$C$1002,'CONT. ESTOQUE'!$B342,ENTRADAS!$H$7:$H$1002)</f>
        <v>0</v>
      </c>
      <c r="J342" s="94">
        <f>'CONT. ESTOQUE'!$H342-'CONT. ESTOQUE'!$I342</f>
        <v>0</v>
      </c>
    </row>
    <row r="343" spans="2:10" ht="15.75" customHeight="1">
      <c r="B343" s="91">
        <f>PROD!B343</f>
        <v>0</v>
      </c>
      <c r="C343" s="92">
        <f>IF('CONT. ESTOQUE'!$B343&lt;&gt;"",SUMIF(ENTRADAS!$C$7:$C$1002,'CONT. ESTOQUE'!$B343,ENTRADAS!$E$7:$E$1002),"")</f>
        <v>0</v>
      </c>
      <c r="D343" s="92">
        <f>IF('CONT. ESTOQUE'!$B343&lt;&gt;"",SUMIF(SAÍDAS!$C$7:$C$800,'CONT. ESTOQUE'!$B343,SAÍDAS!$J$7:$J$800),"")</f>
        <v>0</v>
      </c>
      <c r="E343" s="92">
        <f>IFERROR('CONT. ESTOQUE'!$C343-'CONT. ESTOQUE'!$D343,"")</f>
        <v>0</v>
      </c>
      <c r="F343" s="92" t="str">
        <f>IFERROR(VLOOKUP('CONT. ESTOQUE'!$B343,PROD!$B$6:$G$1095,4,0),"")</f>
        <v/>
      </c>
      <c r="G343" s="92" t="str">
        <f>IF('CONT. ESTOQUE'!$B343&lt;&gt;"",IF('CONT. ESTOQUE'!$E343=0,"Sem Estoque",IF('CONT. ESTOQUE'!$E343&lt;'CONT. ESTOQUE'!$F343,"Estoque Perigoso","Estoque Confortável")),"")</f>
        <v>Sem Estoque</v>
      </c>
      <c r="H343" s="93">
        <f>SUMIF(SAÍDAS!$C$7:$C$289,'CONT. ESTOQUE'!$B343,SAÍDAS!$L$7:$L$289)</f>
        <v>0</v>
      </c>
      <c r="I343" s="93">
        <f>SUMIF(ENTRADAS!$C$8:$C$1002,'CONT. ESTOQUE'!$B343,ENTRADAS!$H$7:$H$1002)</f>
        <v>0</v>
      </c>
      <c r="J343" s="94">
        <f>'CONT. ESTOQUE'!$H343-'CONT. ESTOQUE'!$I343</f>
        <v>0</v>
      </c>
    </row>
    <row r="344" spans="2:10" ht="15.75" customHeight="1">
      <c r="B344" s="91">
        <f>PROD!B344</f>
        <v>0</v>
      </c>
      <c r="C344" s="92">
        <f>IF('CONT. ESTOQUE'!$B344&lt;&gt;"",SUMIF(ENTRADAS!$C$7:$C$1002,'CONT. ESTOQUE'!$B344,ENTRADAS!$E$7:$E$1002),"")</f>
        <v>0</v>
      </c>
      <c r="D344" s="92">
        <f>IF('CONT. ESTOQUE'!$B344&lt;&gt;"",SUMIF(SAÍDAS!$C$7:$C$800,'CONT. ESTOQUE'!$B344,SAÍDAS!$J$7:$J$800),"")</f>
        <v>0</v>
      </c>
      <c r="E344" s="92">
        <f>IFERROR('CONT. ESTOQUE'!$C344-'CONT. ESTOQUE'!$D344,"")</f>
        <v>0</v>
      </c>
      <c r="F344" s="92" t="str">
        <f>IFERROR(VLOOKUP('CONT. ESTOQUE'!$B344,PROD!$B$6:$G$1095,4,0),"")</f>
        <v/>
      </c>
      <c r="G344" s="92" t="str">
        <f>IF('CONT. ESTOQUE'!$B344&lt;&gt;"",IF('CONT. ESTOQUE'!$E344=0,"Sem Estoque",IF('CONT. ESTOQUE'!$E344&lt;'CONT. ESTOQUE'!$F344,"Estoque Perigoso","Estoque Confortável")),"")</f>
        <v>Sem Estoque</v>
      </c>
      <c r="H344" s="93">
        <f>SUMIF(SAÍDAS!$C$7:$C$289,'CONT. ESTOQUE'!$B344,SAÍDAS!$L$7:$L$289)</f>
        <v>0</v>
      </c>
      <c r="I344" s="93">
        <f>SUMIF(ENTRADAS!$C$8:$C$1002,'CONT. ESTOQUE'!$B344,ENTRADAS!$H$7:$H$1002)</f>
        <v>0</v>
      </c>
      <c r="J344" s="94">
        <f>'CONT. ESTOQUE'!$H344-'CONT. ESTOQUE'!$I344</f>
        <v>0</v>
      </c>
    </row>
    <row r="345" spans="2:10" ht="15.75" customHeight="1">
      <c r="B345" s="91">
        <f>PROD!B345</f>
        <v>0</v>
      </c>
      <c r="C345" s="92">
        <f>IF('CONT. ESTOQUE'!$B345&lt;&gt;"",SUMIF(ENTRADAS!$C$7:$C$1002,'CONT. ESTOQUE'!$B345,ENTRADAS!$E$7:$E$1002),"")</f>
        <v>0</v>
      </c>
      <c r="D345" s="92">
        <f>IF('CONT. ESTOQUE'!$B345&lt;&gt;"",SUMIF(SAÍDAS!$C$7:$C$800,'CONT. ESTOQUE'!$B345,SAÍDAS!$J$7:$J$800),"")</f>
        <v>0</v>
      </c>
      <c r="E345" s="92">
        <f>IFERROR('CONT. ESTOQUE'!$C345-'CONT. ESTOQUE'!$D345,"")</f>
        <v>0</v>
      </c>
      <c r="F345" s="92" t="str">
        <f>IFERROR(VLOOKUP('CONT. ESTOQUE'!$B345,PROD!$B$6:$G$1095,4,0),"")</f>
        <v/>
      </c>
      <c r="G345" s="92" t="str">
        <f>IF('CONT. ESTOQUE'!$B345&lt;&gt;"",IF('CONT. ESTOQUE'!$E345=0,"Sem Estoque",IF('CONT. ESTOQUE'!$E345&lt;'CONT. ESTOQUE'!$F345,"Estoque Perigoso","Estoque Confortável")),"")</f>
        <v>Sem Estoque</v>
      </c>
      <c r="H345" s="93">
        <f>SUMIF(SAÍDAS!$C$7:$C$289,'CONT. ESTOQUE'!$B345,SAÍDAS!$L$7:$L$289)</f>
        <v>0</v>
      </c>
      <c r="I345" s="93">
        <f>SUMIF(ENTRADAS!$C$8:$C$1002,'CONT. ESTOQUE'!$B345,ENTRADAS!$H$7:$H$1002)</f>
        <v>0</v>
      </c>
      <c r="J345" s="94">
        <f>'CONT. ESTOQUE'!$H345-'CONT. ESTOQUE'!$I345</f>
        <v>0</v>
      </c>
    </row>
    <row r="346" spans="2:10" ht="15.75" customHeight="1">
      <c r="B346" s="91">
        <f>PROD!B346</f>
        <v>0</v>
      </c>
      <c r="C346" s="92">
        <f>IF('CONT. ESTOQUE'!$B346&lt;&gt;"",SUMIF(ENTRADAS!$C$7:$C$1002,'CONT. ESTOQUE'!$B346,ENTRADAS!$E$7:$E$1002),"")</f>
        <v>0</v>
      </c>
      <c r="D346" s="92">
        <f>IF('CONT. ESTOQUE'!$B346&lt;&gt;"",SUMIF(SAÍDAS!$C$7:$C$800,'CONT. ESTOQUE'!$B346,SAÍDAS!$J$7:$J$800),"")</f>
        <v>0</v>
      </c>
      <c r="E346" s="92">
        <f>IFERROR('CONT. ESTOQUE'!$C346-'CONT. ESTOQUE'!$D346,"")</f>
        <v>0</v>
      </c>
      <c r="F346" s="92" t="str">
        <f>IFERROR(VLOOKUP('CONT. ESTOQUE'!$B346,PROD!$B$6:$G$1095,4,0),"")</f>
        <v/>
      </c>
      <c r="G346" s="92" t="str">
        <f>IF('CONT. ESTOQUE'!$B346&lt;&gt;"",IF('CONT. ESTOQUE'!$E346=0,"Sem Estoque",IF('CONT. ESTOQUE'!$E346&lt;'CONT. ESTOQUE'!$F346,"Estoque Perigoso","Estoque Confortável")),"")</f>
        <v>Sem Estoque</v>
      </c>
      <c r="H346" s="93">
        <f>SUMIF(SAÍDAS!$C$7:$C$289,'CONT. ESTOQUE'!$B346,SAÍDAS!$L$7:$L$289)</f>
        <v>0</v>
      </c>
      <c r="I346" s="93">
        <f>SUMIF(ENTRADAS!$C$8:$C$1002,'CONT. ESTOQUE'!$B346,ENTRADAS!$H$7:$H$1002)</f>
        <v>0</v>
      </c>
      <c r="J346" s="94">
        <f>'CONT. ESTOQUE'!$H346-'CONT. ESTOQUE'!$I346</f>
        <v>0</v>
      </c>
    </row>
    <row r="347" spans="2:10" ht="15.75" customHeight="1">
      <c r="B347" s="91">
        <f>PROD!B347</f>
        <v>0</v>
      </c>
      <c r="C347" s="92">
        <f>IF('CONT. ESTOQUE'!$B347&lt;&gt;"",SUMIF(ENTRADAS!$C$7:$C$1002,'CONT. ESTOQUE'!$B347,ENTRADAS!$E$7:$E$1002),"")</f>
        <v>0</v>
      </c>
      <c r="D347" s="92">
        <f>IF('CONT. ESTOQUE'!$B347&lt;&gt;"",SUMIF(SAÍDAS!$C$7:$C$800,'CONT. ESTOQUE'!$B347,SAÍDAS!$J$7:$J$800),"")</f>
        <v>0</v>
      </c>
      <c r="E347" s="92">
        <f>IFERROR('CONT. ESTOQUE'!$C347-'CONT. ESTOQUE'!$D347,"")</f>
        <v>0</v>
      </c>
      <c r="F347" s="92" t="str">
        <f>IFERROR(VLOOKUP('CONT. ESTOQUE'!$B347,PROD!$B$6:$G$1095,4,0),"")</f>
        <v/>
      </c>
      <c r="G347" s="92" t="str">
        <f>IF('CONT. ESTOQUE'!$B347&lt;&gt;"",IF('CONT. ESTOQUE'!$E347=0,"Sem Estoque",IF('CONT. ESTOQUE'!$E347&lt;'CONT. ESTOQUE'!$F347,"Estoque Perigoso","Estoque Confortável")),"")</f>
        <v>Sem Estoque</v>
      </c>
      <c r="H347" s="93">
        <f>SUMIF(SAÍDAS!$C$7:$C$289,'CONT. ESTOQUE'!$B347,SAÍDAS!$L$7:$L$289)</f>
        <v>0</v>
      </c>
      <c r="I347" s="93">
        <f>SUMIF(ENTRADAS!$C$8:$C$1002,'CONT. ESTOQUE'!$B347,ENTRADAS!$H$7:$H$1002)</f>
        <v>0</v>
      </c>
      <c r="J347" s="94">
        <f>'CONT. ESTOQUE'!$H347-'CONT. ESTOQUE'!$I347</f>
        <v>0</v>
      </c>
    </row>
    <row r="348" spans="2:10" ht="15.75" customHeight="1">
      <c r="B348" s="91">
        <f>PROD!B348</f>
        <v>0</v>
      </c>
      <c r="C348" s="92">
        <f>IF('CONT. ESTOQUE'!$B348&lt;&gt;"",SUMIF(ENTRADAS!$C$7:$C$1002,'CONT. ESTOQUE'!$B348,ENTRADAS!$E$7:$E$1002),"")</f>
        <v>0</v>
      </c>
      <c r="D348" s="92">
        <f>IF('CONT. ESTOQUE'!$B348&lt;&gt;"",SUMIF(SAÍDAS!$C$7:$C$800,'CONT. ESTOQUE'!$B348,SAÍDAS!$J$7:$J$800),"")</f>
        <v>0</v>
      </c>
      <c r="E348" s="92">
        <f>IFERROR('CONT. ESTOQUE'!$C348-'CONT. ESTOQUE'!$D348,"")</f>
        <v>0</v>
      </c>
      <c r="F348" s="92" t="str">
        <f>IFERROR(VLOOKUP('CONT. ESTOQUE'!$B348,PROD!$B$6:$G$1095,4,0),"")</f>
        <v/>
      </c>
      <c r="G348" s="92" t="str">
        <f>IF('CONT. ESTOQUE'!$B348&lt;&gt;"",IF('CONT. ESTOQUE'!$E348=0,"Sem Estoque",IF('CONT. ESTOQUE'!$E348&lt;'CONT. ESTOQUE'!$F348,"Estoque Perigoso","Estoque Confortável")),"")</f>
        <v>Sem Estoque</v>
      </c>
      <c r="H348" s="93">
        <f>SUMIF(SAÍDAS!$C$7:$C$289,'CONT. ESTOQUE'!$B348,SAÍDAS!$L$7:$L$289)</f>
        <v>0</v>
      </c>
      <c r="I348" s="93">
        <f>SUMIF(ENTRADAS!$C$8:$C$1002,'CONT. ESTOQUE'!$B348,ENTRADAS!$H$7:$H$1002)</f>
        <v>0</v>
      </c>
      <c r="J348" s="94">
        <f>'CONT. ESTOQUE'!$H348-'CONT. ESTOQUE'!$I348</f>
        <v>0</v>
      </c>
    </row>
    <row r="349" spans="2:10" ht="15.75" customHeight="1">
      <c r="B349" s="91">
        <f>PROD!B349</f>
        <v>0</v>
      </c>
      <c r="C349" s="92">
        <f>IF('CONT. ESTOQUE'!$B349&lt;&gt;"",SUMIF(ENTRADAS!$C$7:$C$1002,'CONT. ESTOQUE'!$B349,ENTRADAS!$E$7:$E$1002),"")</f>
        <v>0</v>
      </c>
      <c r="D349" s="92">
        <f>IF('CONT. ESTOQUE'!$B349&lt;&gt;"",SUMIF(SAÍDAS!$C$7:$C$800,'CONT. ESTOQUE'!$B349,SAÍDAS!$J$7:$J$800),"")</f>
        <v>0</v>
      </c>
      <c r="E349" s="92">
        <f>IFERROR('CONT. ESTOQUE'!$C349-'CONT. ESTOQUE'!$D349,"")</f>
        <v>0</v>
      </c>
      <c r="F349" s="92" t="str">
        <f>IFERROR(VLOOKUP('CONT. ESTOQUE'!$B349,PROD!$B$6:$G$1095,4,0),"")</f>
        <v/>
      </c>
      <c r="G349" s="92" t="str">
        <f>IF('CONT. ESTOQUE'!$B349&lt;&gt;"",IF('CONT. ESTOQUE'!$E349=0,"Sem Estoque",IF('CONT. ESTOQUE'!$E349&lt;'CONT. ESTOQUE'!$F349,"Estoque Perigoso","Estoque Confortável")),"")</f>
        <v>Sem Estoque</v>
      </c>
      <c r="H349" s="93">
        <f>SUMIF(SAÍDAS!$C$7:$C$289,'CONT. ESTOQUE'!$B349,SAÍDAS!$L$7:$L$289)</f>
        <v>0</v>
      </c>
      <c r="I349" s="93">
        <f>SUMIF(ENTRADAS!$C$8:$C$1002,'CONT. ESTOQUE'!$B349,ENTRADAS!$H$7:$H$1002)</f>
        <v>0</v>
      </c>
      <c r="J349" s="94">
        <f>'CONT. ESTOQUE'!$H349-'CONT. ESTOQUE'!$I349</f>
        <v>0</v>
      </c>
    </row>
    <row r="350" spans="2:10" ht="15.75" customHeight="1">
      <c r="B350" s="91">
        <f>PROD!B350</f>
        <v>0</v>
      </c>
      <c r="C350" s="92">
        <f>IF('CONT. ESTOQUE'!$B350&lt;&gt;"",SUMIF(ENTRADAS!$C$7:$C$1002,'CONT. ESTOQUE'!$B350,ENTRADAS!$E$7:$E$1002),"")</f>
        <v>0</v>
      </c>
      <c r="D350" s="92">
        <f>IF('CONT. ESTOQUE'!$B350&lt;&gt;"",SUMIF(SAÍDAS!$C$7:$C$800,'CONT. ESTOQUE'!$B350,SAÍDAS!$J$7:$J$800),"")</f>
        <v>0</v>
      </c>
      <c r="E350" s="92">
        <f>IFERROR('CONT. ESTOQUE'!$C350-'CONT. ESTOQUE'!$D350,"")</f>
        <v>0</v>
      </c>
      <c r="F350" s="92" t="str">
        <f>IFERROR(VLOOKUP('CONT. ESTOQUE'!$B350,PROD!$B$6:$G$1095,4,0),"")</f>
        <v/>
      </c>
      <c r="G350" s="92" t="str">
        <f>IF('CONT. ESTOQUE'!$B350&lt;&gt;"",IF('CONT. ESTOQUE'!$E350=0,"Sem Estoque",IF('CONT. ESTOQUE'!$E350&lt;'CONT. ESTOQUE'!$F350,"Estoque Perigoso","Estoque Confortável")),"")</f>
        <v>Sem Estoque</v>
      </c>
      <c r="H350" s="93">
        <f>SUMIF(SAÍDAS!$C$7:$C$289,'CONT. ESTOQUE'!$B350,SAÍDAS!$L$7:$L$289)</f>
        <v>0</v>
      </c>
      <c r="I350" s="93">
        <f>SUMIF(ENTRADAS!$C$8:$C$1002,'CONT. ESTOQUE'!$B350,ENTRADAS!$H$7:$H$1002)</f>
        <v>0</v>
      </c>
      <c r="J350" s="94">
        <f>'CONT. ESTOQUE'!$H350-'CONT. ESTOQUE'!$I350</f>
        <v>0</v>
      </c>
    </row>
    <row r="351" spans="2:10" ht="15.75" customHeight="1">
      <c r="B351" s="91">
        <f>PROD!B351</f>
        <v>0</v>
      </c>
      <c r="C351" s="92">
        <f>IF('CONT. ESTOQUE'!$B351&lt;&gt;"",SUMIF(ENTRADAS!$C$7:$C$1002,'CONT. ESTOQUE'!$B351,ENTRADAS!$E$7:$E$1002),"")</f>
        <v>0</v>
      </c>
      <c r="D351" s="92">
        <f>IF('CONT. ESTOQUE'!$B351&lt;&gt;"",SUMIF(SAÍDAS!$C$7:$C$800,'CONT. ESTOQUE'!$B351,SAÍDAS!$J$7:$J$800),"")</f>
        <v>0</v>
      </c>
      <c r="E351" s="92">
        <f>IFERROR('CONT. ESTOQUE'!$C351-'CONT. ESTOQUE'!$D351,"")</f>
        <v>0</v>
      </c>
      <c r="F351" s="92" t="str">
        <f>IFERROR(VLOOKUP('CONT. ESTOQUE'!$B351,PROD!$B$6:$G$1095,4,0),"")</f>
        <v/>
      </c>
      <c r="G351" s="92" t="str">
        <f>IF('CONT. ESTOQUE'!$B351&lt;&gt;"",IF('CONT. ESTOQUE'!$E351=0,"Sem Estoque",IF('CONT. ESTOQUE'!$E351&lt;'CONT. ESTOQUE'!$F351,"Estoque Perigoso","Estoque Confortável")),"")</f>
        <v>Sem Estoque</v>
      </c>
      <c r="H351" s="93">
        <f>SUMIF(SAÍDAS!$C$7:$C$289,'CONT. ESTOQUE'!$B351,SAÍDAS!$L$7:$L$289)</f>
        <v>0</v>
      </c>
      <c r="I351" s="93">
        <f>SUMIF(ENTRADAS!$C$8:$C$1002,'CONT. ESTOQUE'!$B351,ENTRADAS!$H$7:$H$1002)</f>
        <v>0</v>
      </c>
      <c r="J351" s="94">
        <f>'CONT. ESTOQUE'!$H351-'CONT. ESTOQUE'!$I351</f>
        <v>0</v>
      </c>
    </row>
    <row r="352" spans="2:10" ht="15.75" customHeight="1">
      <c r="B352" s="91">
        <f>PROD!B352</f>
        <v>0</v>
      </c>
      <c r="C352" s="92">
        <f>IF('CONT. ESTOQUE'!$B352&lt;&gt;"",SUMIF(ENTRADAS!$C$7:$C$1002,'CONT. ESTOQUE'!$B352,ENTRADAS!$E$7:$E$1002),"")</f>
        <v>0</v>
      </c>
      <c r="D352" s="92">
        <f>IF('CONT. ESTOQUE'!$B352&lt;&gt;"",SUMIF(SAÍDAS!$C$7:$C$800,'CONT. ESTOQUE'!$B352,SAÍDAS!$J$7:$J$800),"")</f>
        <v>0</v>
      </c>
      <c r="E352" s="92">
        <f>IFERROR('CONT. ESTOQUE'!$C352-'CONT. ESTOQUE'!$D352,"")</f>
        <v>0</v>
      </c>
      <c r="F352" s="92" t="str">
        <f>IFERROR(VLOOKUP('CONT. ESTOQUE'!$B352,PROD!$B$6:$G$1095,4,0),"")</f>
        <v/>
      </c>
      <c r="G352" s="92" t="str">
        <f>IF('CONT. ESTOQUE'!$B352&lt;&gt;"",IF('CONT. ESTOQUE'!$E352=0,"Sem Estoque",IF('CONT. ESTOQUE'!$E352&lt;'CONT. ESTOQUE'!$F352,"Estoque Perigoso","Estoque Confortável")),"")</f>
        <v>Sem Estoque</v>
      </c>
      <c r="H352" s="93">
        <f>SUMIF(SAÍDAS!$C$7:$C$289,'CONT. ESTOQUE'!$B352,SAÍDAS!$L$7:$L$289)</f>
        <v>0</v>
      </c>
      <c r="I352" s="93">
        <f>SUMIF(ENTRADAS!$C$8:$C$1002,'CONT. ESTOQUE'!$B352,ENTRADAS!$H$7:$H$1002)</f>
        <v>0</v>
      </c>
      <c r="J352" s="94">
        <f>'CONT. ESTOQUE'!$H352-'CONT. ESTOQUE'!$I352</f>
        <v>0</v>
      </c>
    </row>
    <row r="353" spans="2:10" ht="15.75" customHeight="1">
      <c r="B353" s="91">
        <f>PROD!B353</f>
        <v>0</v>
      </c>
      <c r="C353" s="92">
        <f>IF('CONT. ESTOQUE'!$B353&lt;&gt;"",SUMIF(ENTRADAS!$C$7:$C$1002,'CONT. ESTOQUE'!$B353,ENTRADAS!$E$7:$E$1002),"")</f>
        <v>0</v>
      </c>
      <c r="D353" s="92">
        <f>IF('CONT. ESTOQUE'!$B353&lt;&gt;"",SUMIF(SAÍDAS!$C$7:$C$800,'CONT. ESTOQUE'!$B353,SAÍDAS!$J$7:$J$800),"")</f>
        <v>0</v>
      </c>
      <c r="E353" s="92">
        <f>IFERROR('CONT. ESTOQUE'!$C353-'CONT. ESTOQUE'!$D353,"")</f>
        <v>0</v>
      </c>
      <c r="F353" s="92" t="str">
        <f>IFERROR(VLOOKUP('CONT. ESTOQUE'!$B353,PROD!$B$6:$G$1095,4,0),"")</f>
        <v/>
      </c>
      <c r="G353" s="92" t="str">
        <f>IF('CONT. ESTOQUE'!$B353&lt;&gt;"",IF('CONT. ESTOQUE'!$E353=0,"Sem Estoque",IF('CONT. ESTOQUE'!$E353&lt;'CONT. ESTOQUE'!$F353,"Estoque Perigoso","Estoque Confortável")),"")</f>
        <v>Sem Estoque</v>
      </c>
      <c r="H353" s="93">
        <f>SUMIF(SAÍDAS!$C$7:$C$289,'CONT. ESTOQUE'!$B353,SAÍDAS!$L$7:$L$289)</f>
        <v>0</v>
      </c>
      <c r="I353" s="93">
        <f>SUMIF(ENTRADAS!$C$8:$C$1002,'CONT. ESTOQUE'!$B353,ENTRADAS!$H$7:$H$1002)</f>
        <v>0</v>
      </c>
      <c r="J353" s="94">
        <f>'CONT. ESTOQUE'!$H353-'CONT. ESTOQUE'!$I353</f>
        <v>0</v>
      </c>
    </row>
    <row r="354" spans="2:10" ht="15.75" customHeight="1">
      <c r="B354" s="91">
        <f>PROD!B354</f>
        <v>0</v>
      </c>
      <c r="C354" s="92">
        <f>IF('CONT. ESTOQUE'!$B354&lt;&gt;"",SUMIF(ENTRADAS!$C$7:$C$1002,'CONT. ESTOQUE'!$B354,ENTRADAS!$E$7:$E$1002),"")</f>
        <v>0</v>
      </c>
      <c r="D354" s="92">
        <f>IF('CONT. ESTOQUE'!$B354&lt;&gt;"",SUMIF(SAÍDAS!$C$7:$C$800,'CONT. ESTOQUE'!$B354,SAÍDAS!$J$7:$J$800),"")</f>
        <v>0</v>
      </c>
      <c r="E354" s="92">
        <f>IFERROR('CONT. ESTOQUE'!$C354-'CONT. ESTOQUE'!$D354,"")</f>
        <v>0</v>
      </c>
      <c r="F354" s="92" t="str">
        <f>IFERROR(VLOOKUP('CONT. ESTOQUE'!$B354,PROD!$B$6:$G$1095,4,0),"")</f>
        <v/>
      </c>
      <c r="G354" s="92" t="str">
        <f>IF('CONT. ESTOQUE'!$B354&lt;&gt;"",IF('CONT. ESTOQUE'!$E354=0,"Sem Estoque",IF('CONT. ESTOQUE'!$E354&lt;'CONT. ESTOQUE'!$F354,"Estoque Perigoso","Estoque Confortável")),"")</f>
        <v>Sem Estoque</v>
      </c>
      <c r="H354" s="93">
        <f>SUMIF(SAÍDAS!$C$7:$C$289,'CONT. ESTOQUE'!$B354,SAÍDAS!$L$7:$L$289)</f>
        <v>0</v>
      </c>
      <c r="I354" s="93">
        <f>SUMIF(ENTRADAS!$C$8:$C$1002,'CONT. ESTOQUE'!$B354,ENTRADAS!$H$7:$H$1002)</f>
        <v>0</v>
      </c>
      <c r="J354" s="94">
        <f>'CONT. ESTOQUE'!$H354-'CONT. ESTOQUE'!$I354</f>
        <v>0</v>
      </c>
    </row>
    <row r="355" spans="2:10" ht="15.75" customHeight="1">
      <c r="B355" s="91">
        <f>PROD!B355</f>
        <v>0</v>
      </c>
      <c r="C355" s="92">
        <f>IF('CONT. ESTOQUE'!$B355&lt;&gt;"",SUMIF(ENTRADAS!$C$7:$C$1002,'CONT. ESTOQUE'!$B355,ENTRADAS!$E$7:$E$1002),"")</f>
        <v>0</v>
      </c>
      <c r="D355" s="92">
        <f>IF('CONT. ESTOQUE'!$B355&lt;&gt;"",SUMIF(SAÍDAS!$C$7:$C$800,'CONT. ESTOQUE'!$B355,SAÍDAS!$J$7:$J$800),"")</f>
        <v>0</v>
      </c>
      <c r="E355" s="92">
        <f>IFERROR('CONT. ESTOQUE'!$C355-'CONT. ESTOQUE'!$D355,"")</f>
        <v>0</v>
      </c>
      <c r="F355" s="92" t="str">
        <f>IFERROR(VLOOKUP('CONT. ESTOQUE'!$B355,PROD!$B$6:$G$1095,4,0),"")</f>
        <v/>
      </c>
      <c r="G355" s="92" t="str">
        <f>IF('CONT. ESTOQUE'!$B355&lt;&gt;"",IF('CONT. ESTOQUE'!$E355=0,"Sem Estoque",IF('CONT. ESTOQUE'!$E355&lt;'CONT. ESTOQUE'!$F355,"Estoque Perigoso","Estoque Confortável")),"")</f>
        <v>Sem Estoque</v>
      </c>
      <c r="H355" s="93">
        <f>SUMIF(SAÍDAS!$C$7:$C$289,'CONT. ESTOQUE'!$B355,SAÍDAS!$L$7:$L$289)</f>
        <v>0</v>
      </c>
      <c r="I355" s="93">
        <f>SUMIF(ENTRADAS!$C$8:$C$1002,'CONT. ESTOQUE'!$B355,ENTRADAS!$H$7:$H$1002)</f>
        <v>0</v>
      </c>
      <c r="J355" s="94">
        <f>'CONT. ESTOQUE'!$H355-'CONT. ESTOQUE'!$I355</f>
        <v>0</v>
      </c>
    </row>
    <row r="356" spans="2:10" ht="15.75" customHeight="1">
      <c r="B356" s="91">
        <f>PROD!B356</f>
        <v>0</v>
      </c>
      <c r="C356" s="92">
        <f>IF('CONT. ESTOQUE'!$B356&lt;&gt;"",SUMIF(ENTRADAS!$C$7:$C$1002,'CONT. ESTOQUE'!$B356,ENTRADAS!$E$7:$E$1002),"")</f>
        <v>0</v>
      </c>
      <c r="D356" s="92">
        <f>IF('CONT. ESTOQUE'!$B356&lt;&gt;"",SUMIF(SAÍDAS!$C$7:$C$800,'CONT. ESTOQUE'!$B356,SAÍDAS!$J$7:$J$800),"")</f>
        <v>0</v>
      </c>
      <c r="E356" s="92">
        <f>IFERROR('CONT. ESTOQUE'!$C356-'CONT. ESTOQUE'!$D356,"")</f>
        <v>0</v>
      </c>
      <c r="F356" s="92" t="str">
        <f>IFERROR(VLOOKUP('CONT. ESTOQUE'!$B356,PROD!$B$6:$G$1095,4,0),"")</f>
        <v/>
      </c>
      <c r="G356" s="92" t="str">
        <f>IF('CONT. ESTOQUE'!$B356&lt;&gt;"",IF('CONT. ESTOQUE'!$E356=0,"Sem Estoque",IF('CONT. ESTOQUE'!$E356&lt;'CONT. ESTOQUE'!$F356,"Estoque Perigoso","Estoque Confortável")),"")</f>
        <v>Sem Estoque</v>
      </c>
      <c r="H356" s="93">
        <f>SUMIF(SAÍDAS!$C$7:$C$289,'CONT. ESTOQUE'!$B356,SAÍDAS!$L$7:$L$289)</f>
        <v>0</v>
      </c>
      <c r="I356" s="93">
        <f>SUMIF(ENTRADAS!$C$8:$C$1002,'CONT. ESTOQUE'!$B356,ENTRADAS!$H$7:$H$1002)</f>
        <v>0</v>
      </c>
      <c r="J356" s="94">
        <f>'CONT. ESTOQUE'!$H356-'CONT. ESTOQUE'!$I356</f>
        <v>0</v>
      </c>
    </row>
    <row r="357" spans="2:10" ht="15.75" customHeight="1">
      <c r="B357" s="91">
        <f>PROD!B357</f>
        <v>0</v>
      </c>
      <c r="C357" s="92">
        <f>IF('CONT. ESTOQUE'!$B357&lt;&gt;"",SUMIF(ENTRADAS!$C$7:$C$1002,'CONT. ESTOQUE'!$B357,ENTRADAS!$E$7:$E$1002),"")</f>
        <v>0</v>
      </c>
      <c r="D357" s="92">
        <f>IF('CONT. ESTOQUE'!$B357&lt;&gt;"",SUMIF(SAÍDAS!$C$7:$C$800,'CONT. ESTOQUE'!$B357,SAÍDAS!$J$7:$J$800),"")</f>
        <v>0</v>
      </c>
      <c r="E357" s="92">
        <f>IFERROR('CONT. ESTOQUE'!$C357-'CONT. ESTOQUE'!$D357,"")</f>
        <v>0</v>
      </c>
      <c r="F357" s="92" t="str">
        <f>IFERROR(VLOOKUP('CONT. ESTOQUE'!$B357,PROD!$B$6:$G$1095,4,0),"")</f>
        <v/>
      </c>
      <c r="G357" s="92" t="str">
        <f>IF('CONT. ESTOQUE'!$B357&lt;&gt;"",IF('CONT. ESTOQUE'!$E357=0,"Sem Estoque",IF('CONT. ESTOQUE'!$E357&lt;'CONT. ESTOQUE'!$F357,"Estoque Perigoso","Estoque Confortável")),"")</f>
        <v>Sem Estoque</v>
      </c>
      <c r="H357" s="93">
        <f>SUMIF(SAÍDAS!$C$7:$C$289,'CONT. ESTOQUE'!$B357,SAÍDAS!$L$7:$L$289)</f>
        <v>0</v>
      </c>
      <c r="I357" s="93">
        <f>SUMIF(ENTRADAS!$C$8:$C$1002,'CONT. ESTOQUE'!$B357,ENTRADAS!$H$7:$H$1002)</f>
        <v>0</v>
      </c>
      <c r="J357" s="94">
        <f>'CONT. ESTOQUE'!$H357-'CONT. ESTOQUE'!$I357</f>
        <v>0</v>
      </c>
    </row>
    <row r="358" spans="2:10" ht="15.75" customHeight="1">
      <c r="B358" s="91">
        <f>PROD!B358</f>
        <v>0</v>
      </c>
      <c r="C358" s="92">
        <f>IF('CONT. ESTOQUE'!$B358&lt;&gt;"",SUMIF(ENTRADAS!$C$7:$C$1002,'CONT. ESTOQUE'!$B358,ENTRADAS!$E$7:$E$1002),"")</f>
        <v>0</v>
      </c>
      <c r="D358" s="92">
        <f>IF('CONT. ESTOQUE'!$B358&lt;&gt;"",SUMIF(SAÍDAS!$C$7:$C$800,'CONT. ESTOQUE'!$B358,SAÍDAS!$J$7:$J$800),"")</f>
        <v>0</v>
      </c>
      <c r="E358" s="92">
        <f>IFERROR('CONT. ESTOQUE'!$C358-'CONT. ESTOQUE'!$D358,"")</f>
        <v>0</v>
      </c>
      <c r="F358" s="92" t="str">
        <f>IFERROR(VLOOKUP('CONT. ESTOQUE'!$B358,PROD!$B$6:$G$1095,4,0),"")</f>
        <v/>
      </c>
      <c r="G358" s="92" t="str">
        <f>IF('CONT. ESTOQUE'!$B358&lt;&gt;"",IF('CONT. ESTOQUE'!$E358=0,"Sem Estoque",IF('CONT. ESTOQUE'!$E358&lt;'CONT. ESTOQUE'!$F358,"Estoque Perigoso","Estoque Confortável")),"")</f>
        <v>Sem Estoque</v>
      </c>
      <c r="H358" s="93">
        <f>SUMIF(SAÍDAS!$C$7:$C$289,'CONT. ESTOQUE'!$B358,SAÍDAS!$L$7:$L$289)</f>
        <v>0</v>
      </c>
      <c r="I358" s="93">
        <f>SUMIF(ENTRADAS!$C$8:$C$1002,'CONT. ESTOQUE'!$B358,ENTRADAS!$H$7:$H$1002)</f>
        <v>0</v>
      </c>
      <c r="J358" s="94">
        <f>'CONT. ESTOQUE'!$H358-'CONT. ESTOQUE'!$I358</f>
        <v>0</v>
      </c>
    </row>
    <row r="359" spans="2:10" ht="15.75" customHeight="1">
      <c r="B359" s="91">
        <f>PROD!B359</f>
        <v>0</v>
      </c>
      <c r="C359" s="92">
        <f>IF('CONT. ESTOQUE'!$B359&lt;&gt;"",SUMIF(ENTRADAS!$C$7:$C$1002,'CONT. ESTOQUE'!$B359,ENTRADAS!$E$7:$E$1002),"")</f>
        <v>0</v>
      </c>
      <c r="D359" s="92">
        <f>IF('CONT. ESTOQUE'!$B359&lt;&gt;"",SUMIF(SAÍDAS!$C$7:$C$800,'CONT. ESTOQUE'!$B359,SAÍDAS!$J$7:$J$800),"")</f>
        <v>0</v>
      </c>
      <c r="E359" s="92">
        <f>IFERROR('CONT. ESTOQUE'!$C359-'CONT. ESTOQUE'!$D359,"")</f>
        <v>0</v>
      </c>
      <c r="F359" s="92" t="str">
        <f>IFERROR(VLOOKUP('CONT. ESTOQUE'!$B359,PROD!$B$6:$G$1095,4,0),"")</f>
        <v/>
      </c>
      <c r="G359" s="92" t="str">
        <f>IF('CONT. ESTOQUE'!$B359&lt;&gt;"",IF('CONT. ESTOQUE'!$E359=0,"Sem Estoque",IF('CONT. ESTOQUE'!$E359&lt;'CONT. ESTOQUE'!$F359,"Estoque Perigoso","Estoque Confortável")),"")</f>
        <v>Sem Estoque</v>
      </c>
      <c r="H359" s="93">
        <f>SUMIF(SAÍDAS!$C$7:$C$289,'CONT. ESTOQUE'!$B359,SAÍDAS!$L$7:$L$289)</f>
        <v>0</v>
      </c>
      <c r="I359" s="93">
        <f>SUMIF(ENTRADAS!$C$8:$C$1002,'CONT. ESTOQUE'!$B359,ENTRADAS!$H$7:$H$1002)</f>
        <v>0</v>
      </c>
      <c r="J359" s="94">
        <f>'CONT. ESTOQUE'!$H359-'CONT. ESTOQUE'!$I359</f>
        <v>0</v>
      </c>
    </row>
    <row r="360" spans="2:10" ht="15.75" customHeight="1">
      <c r="B360" s="91">
        <f>PROD!B360</f>
        <v>0</v>
      </c>
      <c r="C360" s="92">
        <f>IF('CONT. ESTOQUE'!$B360&lt;&gt;"",SUMIF(ENTRADAS!$C$7:$C$1002,'CONT. ESTOQUE'!$B360,ENTRADAS!$E$7:$E$1002),"")</f>
        <v>0</v>
      </c>
      <c r="D360" s="92">
        <f>IF('CONT. ESTOQUE'!$B360&lt;&gt;"",SUMIF(SAÍDAS!$C$7:$C$800,'CONT. ESTOQUE'!$B360,SAÍDAS!$J$7:$J$800),"")</f>
        <v>0</v>
      </c>
      <c r="E360" s="92">
        <f>IFERROR('CONT. ESTOQUE'!$C360-'CONT. ESTOQUE'!$D360,"")</f>
        <v>0</v>
      </c>
      <c r="F360" s="92" t="str">
        <f>IFERROR(VLOOKUP('CONT. ESTOQUE'!$B360,PROD!$B$6:$G$1095,4,0),"")</f>
        <v/>
      </c>
      <c r="G360" s="92" t="str">
        <f>IF('CONT. ESTOQUE'!$B360&lt;&gt;"",IF('CONT. ESTOQUE'!$E360=0,"Sem Estoque",IF('CONT. ESTOQUE'!$E360&lt;'CONT. ESTOQUE'!$F360,"Estoque Perigoso","Estoque Confortável")),"")</f>
        <v>Sem Estoque</v>
      </c>
      <c r="H360" s="93">
        <f>SUMIF(SAÍDAS!$C$7:$C$289,'CONT. ESTOQUE'!$B360,SAÍDAS!$L$7:$L$289)</f>
        <v>0</v>
      </c>
      <c r="I360" s="93">
        <f>SUMIF(ENTRADAS!$C$8:$C$1002,'CONT. ESTOQUE'!$B360,ENTRADAS!$H$7:$H$1002)</f>
        <v>0</v>
      </c>
      <c r="J360" s="94">
        <f>'CONT. ESTOQUE'!$H360-'CONT. ESTOQUE'!$I360</f>
        <v>0</v>
      </c>
    </row>
    <row r="361" spans="2:10" ht="15.75" customHeight="1">
      <c r="B361" s="91">
        <f>PROD!B361</f>
        <v>0</v>
      </c>
      <c r="C361" s="92">
        <f>IF('CONT. ESTOQUE'!$B361&lt;&gt;"",SUMIF(ENTRADAS!$C$7:$C$1002,'CONT. ESTOQUE'!$B361,ENTRADAS!$E$7:$E$1002),"")</f>
        <v>0</v>
      </c>
      <c r="D361" s="92">
        <f>IF('CONT. ESTOQUE'!$B361&lt;&gt;"",SUMIF(SAÍDAS!$C$7:$C$800,'CONT. ESTOQUE'!$B361,SAÍDAS!$J$7:$J$800),"")</f>
        <v>0</v>
      </c>
      <c r="E361" s="92">
        <f>IFERROR('CONT. ESTOQUE'!$C361-'CONT. ESTOQUE'!$D361,"")</f>
        <v>0</v>
      </c>
      <c r="F361" s="92" t="str">
        <f>IFERROR(VLOOKUP('CONT. ESTOQUE'!$B361,PROD!$B$6:$G$1095,4,0),"")</f>
        <v/>
      </c>
      <c r="G361" s="92" t="str">
        <f>IF('CONT. ESTOQUE'!$B361&lt;&gt;"",IF('CONT. ESTOQUE'!$E361=0,"Sem Estoque",IF('CONT. ESTOQUE'!$E361&lt;'CONT. ESTOQUE'!$F361,"Estoque Perigoso","Estoque Confortável")),"")</f>
        <v>Sem Estoque</v>
      </c>
      <c r="H361" s="93">
        <f>SUMIF(SAÍDAS!$C$7:$C$289,'CONT. ESTOQUE'!$B361,SAÍDAS!$L$7:$L$289)</f>
        <v>0</v>
      </c>
      <c r="I361" s="93">
        <f>SUMIF(ENTRADAS!$C$8:$C$1002,'CONT. ESTOQUE'!$B361,ENTRADAS!$H$7:$H$1002)</f>
        <v>0</v>
      </c>
      <c r="J361" s="94">
        <f>'CONT. ESTOQUE'!$H361-'CONT. ESTOQUE'!$I361</f>
        <v>0</v>
      </c>
    </row>
    <row r="362" spans="2:10" ht="15.75" customHeight="1">
      <c r="B362" s="91">
        <f>PROD!B362</f>
        <v>0</v>
      </c>
      <c r="C362" s="92">
        <f>IF('CONT. ESTOQUE'!$B362&lt;&gt;"",SUMIF(ENTRADAS!$C$7:$C$1002,'CONT. ESTOQUE'!$B362,ENTRADAS!$E$7:$E$1002),"")</f>
        <v>0</v>
      </c>
      <c r="D362" s="92">
        <f>IF('CONT. ESTOQUE'!$B362&lt;&gt;"",SUMIF(SAÍDAS!$C$7:$C$800,'CONT. ESTOQUE'!$B362,SAÍDAS!$J$7:$J$800),"")</f>
        <v>0</v>
      </c>
      <c r="E362" s="92">
        <f>IFERROR('CONT. ESTOQUE'!$C362-'CONT. ESTOQUE'!$D362,"")</f>
        <v>0</v>
      </c>
      <c r="F362" s="92" t="str">
        <f>IFERROR(VLOOKUP('CONT. ESTOQUE'!$B362,PROD!$B$6:$G$1095,4,0),"")</f>
        <v/>
      </c>
      <c r="G362" s="92" t="str">
        <f>IF('CONT. ESTOQUE'!$B362&lt;&gt;"",IF('CONT. ESTOQUE'!$E362=0,"Sem Estoque",IF('CONT. ESTOQUE'!$E362&lt;'CONT. ESTOQUE'!$F362,"Estoque Perigoso","Estoque Confortável")),"")</f>
        <v>Sem Estoque</v>
      </c>
      <c r="H362" s="93">
        <f>SUMIF(SAÍDAS!$C$7:$C$289,'CONT. ESTOQUE'!$B362,SAÍDAS!$L$7:$L$289)</f>
        <v>0</v>
      </c>
      <c r="I362" s="93">
        <f>SUMIF(ENTRADAS!$C$8:$C$1002,'CONT. ESTOQUE'!$B362,ENTRADAS!$H$7:$H$1002)</f>
        <v>0</v>
      </c>
      <c r="J362" s="94">
        <f>'CONT. ESTOQUE'!$H362-'CONT. ESTOQUE'!$I362</f>
        <v>0</v>
      </c>
    </row>
    <row r="363" spans="2:10" ht="15.75" customHeight="1">
      <c r="B363" s="91">
        <f>PROD!B363</f>
        <v>0</v>
      </c>
      <c r="C363" s="92">
        <f>IF('CONT. ESTOQUE'!$B363&lt;&gt;"",SUMIF(ENTRADAS!$C$7:$C$1002,'CONT. ESTOQUE'!$B363,ENTRADAS!$E$7:$E$1002),"")</f>
        <v>0</v>
      </c>
      <c r="D363" s="92">
        <f>IF('CONT. ESTOQUE'!$B363&lt;&gt;"",SUMIF(SAÍDAS!$C$7:$C$800,'CONT. ESTOQUE'!$B363,SAÍDAS!$J$7:$J$800),"")</f>
        <v>0</v>
      </c>
      <c r="E363" s="92">
        <f>IFERROR('CONT. ESTOQUE'!$C363-'CONT. ESTOQUE'!$D363,"")</f>
        <v>0</v>
      </c>
      <c r="F363" s="92" t="str">
        <f>IFERROR(VLOOKUP('CONT. ESTOQUE'!$B363,PROD!$B$6:$G$1095,4,0),"")</f>
        <v/>
      </c>
      <c r="G363" s="92" t="str">
        <f>IF('CONT. ESTOQUE'!$B363&lt;&gt;"",IF('CONT. ESTOQUE'!$E363=0,"Sem Estoque",IF('CONT. ESTOQUE'!$E363&lt;'CONT. ESTOQUE'!$F363,"Estoque Perigoso","Estoque Confortável")),"")</f>
        <v>Sem Estoque</v>
      </c>
      <c r="H363" s="93">
        <f>SUMIF(SAÍDAS!$C$7:$C$289,'CONT. ESTOQUE'!$B363,SAÍDAS!$L$7:$L$289)</f>
        <v>0</v>
      </c>
      <c r="I363" s="93">
        <f>SUMIF(ENTRADAS!$C$8:$C$1002,'CONT. ESTOQUE'!$B363,ENTRADAS!$H$7:$H$1002)</f>
        <v>0</v>
      </c>
      <c r="J363" s="94">
        <f>'CONT. ESTOQUE'!$H363-'CONT. ESTOQUE'!$I363</f>
        <v>0</v>
      </c>
    </row>
    <row r="364" spans="2:10" ht="15.75" customHeight="1">
      <c r="B364" s="91">
        <f>PROD!B364</f>
        <v>0</v>
      </c>
      <c r="C364" s="92">
        <f>IF('CONT. ESTOQUE'!$B364&lt;&gt;"",SUMIF(ENTRADAS!$C$7:$C$1002,'CONT. ESTOQUE'!$B364,ENTRADAS!$E$7:$E$1002),"")</f>
        <v>0</v>
      </c>
      <c r="D364" s="92">
        <f>IF('CONT. ESTOQUE'!$B364&lt;&gt;"",SUMIF(SAÍDAS!$C$7:$C$800,'CONT. ESTOQUE'!$B364,SAÍDAS!$J$7:$J$800),"")</f>
        <v>0</v>
      </c>
      <c r="E364" s="92">
        <f>IFERROR('CONT. ESTOQUE'!$C364-'CONT. ESTOQUE'!$D364,"")</f>
        <v>0</v>
      </c>
      <c r="F364" s="92" t="str">
        <f>IFERROR(VLOOKUP('CONT. ESTOQUE'!$B364,PROD!$B$6:$G$1095,4,0),"")</f>
        <v/>
      </c>
      <c r="G364" s="92" t="str">
        <f>IF('CONT. ESTOQUE'!$B364&lt;&gt;"",IF('CONT. ESTOQUE'!$E364=0,"Sem Estoque",IF('CONT. ESTOQUE'!$E364&lt;'CONT. ESTOQUE'!$F364,"Estoque Perigoso","Estoque Confortável")),"")</f>
        <v>Sem Estoque</v>
      </c>
      <c r="H364" s="93">
        <f>SUMIF(SAÍDAS!$C$7:$C$289,'CONT. ESTOQUE'!$B364,SAÍDAS!$L$7:$L$289)</f>
        <v>0</v>
      </c>
      <c r="I364" s="93">
        <f>SUMIF(ENTRADAS!$C$8:$C$1002,'CONT. ESTOQUE'!$B364,ENTRADAS!$H$7:$H$1002)</f>
        <v>0</v>
      </c>
      <c r="J364" s="94">
        <f>'CONT. ESTOQUE'!$H364-'CONT. ESTOQUE'!$I364</f>
        <v>0</v>
      </c>
    </row>
    <row r="365" spans="2:10" ht="15.75" customHeight="1">
      <c r="B365" s="91">
        <f>PROD!B365</f>
        <v>0</v>
      </c>
      <c r="C365" s="92">
        <f>IF('CONT. ESTOQUE'!$B365&lt;&gt;"",SUMIF(ENTRADAS!$C$7:$C$1002,'CONT. ESTOQUE'!$B365,ENTRADAS!$E$7:$E$1002),"")</f>
        <v>0</v>
      </c>
      <c r="D365" s="92">
        <f>IF('CONT. ESTOQUE'!$B365&lt;&gt;"",SUMIF(SAÍDAS!$C$7:$C$800,'CONT. ESTOQUE'!$B365,SAÍDAS!$J$7:$J$800),"")</f>
        <v>0</v>
      </c>
      <c r="E365" s="92">
        <f>IFERROR('CONT. ESTOQUE'!$C365-'CONT. ESTOQUE'!$D365,"")</f>
        <v>0</v>
      </c>
      <c r="F365" s="92" t="str">
        <f>IFERROR(VLOOKUP('CONT. ESTOQUE'!$B365,PROD!$B$6:$G$1095,4,0),"")</f>
        <v/>
      </c>
      <c r="G365" s="92" t="str">
        <f>IF('CONT. ESTOQUE'!$B365&lt;&gt;"",IF('CONT. ESTOQUE'!$E365=0,"Sem Estoque",IF('CONT. ESTOQUE'!$E365&lt;'CONT. ESTOQUE'!$F365,"Estoque Perigoso","Estoque Confortável")),"")</f>
        <v>Sem Estoque</v>
      </c>
      <c r="H365" s="93">
        <f>SUMIF(SAÍDAS!$C$7:$C$289,'CONT. ESTOQUE'!$B365,SAÍDAS!$L$7:$L$289)</f>
        <v>0</v>
      </c>
      <c r="I365" s="93">
        <f>SUMIF(ENTRADAS!$C$8:$C$1002,'CONT. ESTOQUE'!$B365,ENTRADAS!$H$7:$H$1002)</f>
        <v>0</v>
      </c>
      <c r="J365" s="94">
        <f>'CONT. ESTOQUE'!$H365-'CONT. ESTOQUE'!$I365</f>
        <v>0</v>
      </c>
    </row>
    <row r="366" spans="2:10" ht="15.75" customHeight="1">
      <c r="B366" s="91">
        <f>PROD!B366</f>
        <v>0</v>
      </c>
      <c r="C366" s="92">
        <f>IF('CONT. ESTOQUE'!$B366&lt;&gt;"",SUMIF(ENTRADAS!$C$7:$C$1002,'CONT. ESTOQUE'!$B366,ENTRADAS!$E$7:$E$1002),"")</f>
        <v>0</v>
      </c>
      <c r="D366" s="92">
        <f>IF('CONT. ESTOQUE'!$B366&lt;&gt;"",SUMIF(SAÍDAS!$C$7:$C$800,'CONT. ESTOQUE'!$B366,SAÍDAS!$J$7:$J$800),"")</f>
        <v>0</v>
      </c>
      <c r="E366" s="92">
        <f>IFERROR('CONT. ESTOQUE'!$C366-'CONT. ESTOQUE'!$D366,"")</f>
        <v>0</v>
      </c>
      <c r="F366" s="92" t="str">
        <f>IFERROR(VLOOKUP('CONT. ESTOQUE'!$B366,PROD!$B$6:$G$1095,4,0),"")</f>
        <v/>
      </c>
      <c r="G366" s="92" t="str">
        <f>IF('CONT. ESTOQUE'!$B366&lt;&gt;"",IF('CONT. ESTOQUE'!$E366=0,"Sem Estoque",IF('CONT. ESTOQUE'!$E366&lt;'CONT. ESTOQUE'!$F366,"Estoque Perigoso","Estoque Confortável")),"")</f>
        <v>Sem Estoque</v>
      </c>
      <c r="H366" s="93">
        <f>SUMIF(SAÍDAS!$C$7:$C$289,'CONT. ESTOQUE'!$B366,SAÍDAS!$L$7:$L$289)</f>
        <v>0</v>
      </c>
      <c r="I366" s="93">
        <f>SUMIF(ENTRADAS!$C$8:$C$1002,'CONT. ESTOQUE'!$B366,ENTRADAS!$H$7:$H$1002)</f>
        <v>0</v>
      </c>
      <c r="J366" s="94">
        <f>'CONT. ESTOQUE'!$H366-'CONT. ESTOQUE'!$I366</f>
        <v>0</v>
      </c>
    </row>
    <row r="367" spans="2:10" ht="15.75" customHeight="1">
      <c r="B367" s="91">
        <f>PROD!B367</f>
        <v>0</v>
      </c>
      <c r="C367" s="92">
        <f>IF('CONT. ESTOQUE'!$B367&lt;&gt;"",SUMIF(ENTRADAS!$C$7:$C$1002,'CONT. ESTOQUE'!$B367,ENTRADAS!$E$7:$E$1002),"")</f>
        <v>0</v>
      </c>
      <c r="D367" s="92">
        <f>IF('CONT. ESTOQUE'!$B367&lt;&gt;"",SUMIF(SAÍDAS!$C$7:$C$800,'CONT. ESTOQUE'!$B367,SAÍDAS!$J$7:$J$800),"")</f>
        <v>0</v>
      </c>
      <c r="E367" s="92">
        <f>IFERROR('CONT. ESTOQUE'!$C367-'CONT. ESTOQUE'!$D367,"")</f>
        <v>0</v>
      </c>
      <c r="F367" s="92" t="str">
        <f>IFERROR(VLOOKUP('CONT. ESTOQUE'!$B367,PROD!$B$6:$G$1095,4,0),"")</f>
        <v/>
      </c>
      <c r="G367" s="92" t="str">
        <f>IF('CONT. ESTOQUE'!$B367&lt;&gt;"",IF('CONT. ESTOQUE'!$E367=0,"Sem Estoque",IF('CONT. ESTOQUE'!$E367&lt;'CONT. ESTOQUE'!$F367,"Estoque Perigoso","Estoque Confortável")),"")</f>
        <v>Sem Estoque</v>
      </c>
      <c r="H367" s="93">
        <f>SUMIF(SAÍDAS!$C$7:$C$289,'CONT. ESTOQUE'!$B367,SAÍDAS!$L$7:$L$289)</f>
        <v>0</v>
      </c>
      <c r="I367" s="93">
        <f>SUMIF(ENTRADAS!$C$8:$C$1002,'CONT. ESTOQUE'!$B367,ENTRADAS!$H$7:$H$1002)</f>
        <v>0</v>
      </c>
      <c r="J367" s="94">
        <f>'CONT. ESTOQUE'!$H367-'CONT. ESTOQUE'!$I367</f>
        <v>0</v>
      </c>
    </row>
    <row r="368" spans="2:10" ht="15.75" customHeight="1">
      <c r="B368" s="91">
        <f>PROD!B368</f>
        <v>0</v>
      </c>
      <c r="C368" s="92">
        <f>IF('CONT. ESTOQUE'!$B368&lt;&gt;"",SUMIF(ENTRADAS!$C$7:$C$1002,'CONT. ESTOQUE'!$B368,ENTRADAS!$E$7:$E$1002),"")</f>
        <v>0</v>
      </c>
      <c r="D368" s="92">
        <f>IF('CONT. ESTOQUE'!$B368&lt;&gt;"",SUMIF(SAÍDAS!$C$7:$C$800,'CONT. ESTOQUE'!$B368,SAÍDAS!$J$7:$J$800),"")</f>
        <v>0</v>
      </c>
      <c r="E368" s="92">
        <f>IFERROR('CONT. ESTOQUE'!$C368-'CONT. ESTOQUE'!$D368,"")</f>
        <v>0</v>
      </c>
      <c r="F368" s="92" t="str">
        <f>IFERROR(VLOOKUP('CONT. ESTOQUE'!$B368,PROD!$B$6:$G$1095,4,0),"")</f>
        <v/>
      </c>
      <c r="G368" s="92" t="str">
        <f>IF('CONT. ESTOQUE'!$B368&lt;&gt;"",IF('CONT. ESTOQUE'!$E368=0,"Sem Estoque",IF('CONT. ESTOQUE'!$E368&lt;'CONT. ESTOQUE'!$F368,"Estoque Perigoso","Estoque Confortável")),"")</f>
        <v>Sem Estoque</v>
      </c>
      <c r="H368" s="93">
        <f>SUMIF(SAÍDAS!$C$7:$C$289,'CONT. ESTOQUE'!$B368,SAÍDAS!$L$7:$L$289)</f>
        <v>0</v>
      </c>
      <c r="I368" s="93">
        <f>SUMIF(ENTRADAS!$C$8:$C$1002,'CONT. ESTOQUE'!$B368,ENTRADAS!$H$7:$H$1002)</f>
        <v>0</v>
      </c>
      <c r="J368" s="94">
        <f>'CONT. ESTOQUE'!$H368-'CONT. ESTOQUE'!$I368</f>
        <v>0</v>
      </c>
    </row>
    <row r="369" spans="2:10" ht="15.75" customHeight="1">
      <c r="B369" s="91">
        <f>PROD!B369</f>
        <v>0</v>
      </c>
      <c r="C369" s="92">
        <f>IF('CONT. ESTOQUE'!$B369&lt;&gt;"",SUMIF(ENTRADAS!$C$7:$C$1002,'CONT. ESTOQUE'!$B369,ENTRADAS!$E$7:$E$1002),"")</f>
        <v>0</v>
      </c>
      <c r="D369" s="92">
        <f>IF('CONT. ESTOQUE'!$B369&lt;&gt;"",SUMIF(SAÍDAS!$C$7:$C$800,'CONT. ESTOQUE'!$B369,SAÍDAS!$J$7:$J$800),"")</f>
        <v>0</v>
      </c>
      <c r="E369" s="92">
        <f>IFERROR('CONT. ESTOQUE'!$C369-'CONT. ESTOQUE'!$D369,"")</f>
        <v>0</v>
      </c>
      <c r="F369" s="92" t="str">
        <f>IFERROR(VLOOKUP('CONT. ESTOQUE'!$B369,PROD!$B$6:$G$1095,4,0),"")</f>
        <v/>
      </c>
      <c r="G369" s="92" t="str">
        <f>IF('CONT. ESTOQUE'!$B369&lt;&gt;"",IF('CONT. ESTOQUE'!$E369=0,"Sem Estoque",IF('CONT. ESTOQUE'!$E369&lt;'CONT. ESTOQUE'!$F369,"Estoque Perigoso","Estoque Confortável")),"")</f>
        <v>Sem Estoque</v>
      </c>
      <c r="H369" s="93">
        <f>SUMIF(SAÍDAS!$C$7:$C$289,'CONT. ESTOQUE'!$B369,SAÍDAS!$L$7:$L$289)</f>
        <v>0</v>
      </c>
      <c r="I369" s="93">
        <f>SUMIF(ENTRADAS!$C$8:$C$1002,'CONT. ESTOQUE'!$B369,ENTRADAS!$H$7:$H$1002)</f>
        <v>0</v>
      </c>
      <c r="J369" s="94">
        <f>'CONT. ESTOQUE'!$H369-'CONT. ESTOQUE'!$I369</f>
        <v>0</v>
      </c>
    </row>
    <row r="370" spans="2:10" ht="15.75" customHeight="1">
      <c r="B370" s="91">
        <f>PROD!B370</f>
        <v>0</v>
      </c>
      <c r="C370" s="92">
        <f>IF('CONT. ESTOQUE'!$B370&lt;&gt;"",SUMIF(ENTRADAS!$C$7:$C$1002,'CONT. ESTOQUE'!$B370,ENTRADAS!$E$7:$E$1002),"")</f>
        <v>0</v>
      </c>
      <c r="D370" s="92">
        <f>IF('CONT. ESTOQUE'!$B370&lt;&gt;"",SUMIF(SAÍDAS!$C$7:$C$800,'CONT. ESTOQUE'!$B370,SAÍDAS!$J$7:$J$800),"")</f>
        <v>0</v>
      </c>
      <c r="E370" s="92">
        <f>IFERROR('CONT. ESTOQUE'!$C370-'CONT. ESTOQUE'!$D370,"")</f>
        <v>0</v>
      </c>
      <c r="F370" s="92" t="str">
        <f>IFERROR(VLOOKUP('CONT. ESTOQUE'!$B370,PROD!$B$6:$G$1095,4,0),"")</f>
        <v/>
      </c>
      <c r="G370" s="92" t="str">
        <f>IF('CONT. ESTOQUE'!$B370&lt;&gt;"",IF('CONT. ESTOQUE'!$E370=0,"Sem Estoque",IF('CONT. ESTOQUE'!$E370&lt;'CONT. ESTOQUE'!$F370,"Estoque Perigoso","Estoque Confortável")),"")</f>
        <v>Sem Estoque</v>
      </c>
      <c r="H370" s="93">
        <f>SUMIF(SAÍDAS!$C$7:$C$289,'CONT. ESTOQUE'!$B370,SAÍDAS!$L$7:$L$289)</f>
        <v>0</v>
      </c>
      <c r="I370" s="93">
        <f>SUMIF(ENTRADAS!$C$8:$C$1002,'CONT. ESTOQUE'!$B370,ENTRADAS!$H$7:$H$1002)</f>
        <v>0</v>
      </c>
      <c r="J370" s="94">
        <f>'CONT. ESTOQUE'!$H370-'CONT. ESTOQUE'!$I370</f>
        <v>0</v>
      </c>
    </row>
    <row r="371" spans="2:10" ht="15.75" customHeight="1">
      <c r="B371" s="91">
        <f>PROD!B371</f>
        <v>0</v>
      </c>
      <c r="C371" s="92">
        <f>IF('CONT. ESTOQUE'!$B371&lt;&gt;"",SUMIF(ENTRADAS!$C$7:$C$1002,'CONT. ESTOQUE'!$B371,ENTRADAS!$E$7:$E$1002),"")</f>
        <v>0</v>
      </c>
      <c r="D371" s="92">
        <f>IF('CONT. ESTOQUE'!$B371&lt;&gt;"",SUMIF(SAÍDAS!$C$7:$C$800,'CONT. ESTOQUE'!$B371,SAÍDAS!$J$7:$J$800),"")</f>
        <v>0</v>
      </c>
      <c r="E371" s="92">
        <f>IFERROR('CONT. ESTOQUE'!$C371-'CONT. ESTOQUE'!$D371,"")</f>
        <v>0</v>
      </c>
      <c r="F371" s="92" t="str">
        <f>IFERROR(VLOOKUP('CONT. ESTOQUE'!$B371,PROD!$B$6:$G$1095,4,0),"")</f>
        <v/>
      </c>
      <c r="G371" s="92" t="str">
        <f>IF('CONT. ESTOQUE'!$B371&lt;&gt;"",IF('CONT. ESTOQUE'!$E371=0,"Sem Estoque",IF('CONT. ESTOQUE'!$E371&lt;'CONT. ESTOQUE'!$F371,"Estoque Perigoso","Estoque Confortável")),"")</f>
        <v>Sem Estoque</v>
      </c>
      <c r="H371" s="93">
        <f>SUMIF(SAÍDAS!$C$7:$C$289,'CONT. ESTOQUE'!$B371,SAÍDAS!$L$7:$L$289)</f>
        <v>0</v>
      </c>
      <c r="I371" s="93">
        <f>SUMIF(ENTRADAS!$C$8:$C$1002,'CONT. ESTOQUE'!$B371,ENTRADAS!$H$7:$H$1002)</f>
        <v>0</v>
      </c>
      <c r="J371" s="94">
        <f>'CONT. ESTOQUE'!$H371-'CONT. ESTOQUE'!$I371</f>
        <v>0</v>
      </c>
    </row>
    <row r="372" spans="2:10" ht="15.75" customHeight="1">
      <c r="B372" s="91">
        <f>PROD!B372</f>
        <v>0</v>
      </c>
      <c r="C372" s="92">
        <f>IF('CONT. ESTOQUE'!$B372&lt;&gt;"",SUMIF(ENTRADAS!$C$7:$C$1002,'CONT. ESTOQUE'!$B372,ENTRADAS!$E$7:$E$1002),"")</f>
        <v>0</v>
      </c>
      <c r="D372" s="92">
        <f>IF('CONT. ESTOQUE'!$B372&lt;&gt;"",SUMIF(SAÍDAS!$C$7:$C$800,'CONT. ESTOQUE'!$B372,SAÍDAS!$J$7:$J$800),"")</f>
        <v>0</v>
      </c>
      <c r="E372" s="92">
        <f>IFERROR('CONT. ESTOQUE'!$C372-'CONT. ESTOQUE'!$D372,"")</f>
        <v>0</v>
      </c>
      <c r="F372" s="92" t="str">
        <f>IFERROR(VLOOKUP('CONT. ESTOQUE'!$B372,PROD!$B$6:$G$1095,4,0),"")</f>
        <v/>
      </c>
      <c r="G372" s="92" t="str">
        <f>IF('CONT. ESTOQUE'!$B372&lt;&gt;"",IF('CONT. ESTOQUE'!$E372=0,"Sem Estoque",IF('CONT. ESTOQUE'!$E372&lt;'CONT. ESTOQUE'!$F372,"Estoque Perigoso","Estoque Confortável")),"")</f>
        <v>Sem Estoque</v>
      </c>
      <c r="H372" s="93">
        <f>SUMIF(SAÍDAS!$C$7:$C$289,'CONT. ESTOQUE'!$B372,SAÍDAS!$L$7:$L$289)</f>
        <v>0</v>
      </c>
      <c r="I372" s="93">
        <f>SUMIF(ENTRADAS!$C$8:$C$1002,'CONT. ESTOQUE'!$B372,ENTRADAS!$H$7:$H$1002)</f>
        <v>0</v>
      </c>
      <c r="J372" s="94">
        <f>'CONT. ESTOQUE'!$H372-'CONT. ESTOQUE'!$I372</f>
        <v>0</v>
      </c>
    </row>
    <row r="373" spans="2:10" ht="15.75" customHeight="1">
      <c r="B373" s="91">
        <f>PROD!B373</f>
        <v>0</v>
      </c>
      <c r="C373" s="92">
        <f>IF('CONT. ESTOQUE'!$B373&lt;&gt;"",SUMIF(ENTRADAS!$C$7:$C$1002,'CONT. ESTOQUE'!$B373,ENTRADAS!$E$7:$E$1002),"")</f>
        <v>0</v>
      </c>
      <c r="D373" s="92">
        <f>IF('CONT. ESTOQUE'!$B373&lt;&gt;"",SUMIF(SAÍDAS!$C$7:$C$800,'CONT. ESTOQUE'!$B373,SAÍDAS!$J$7:$J$800),"")</f>
        <v>0</v>
      </c>
      <c r="E373" s="92">
        <f>IFERROR('CONT. ESTOQUE'!$C373-'CONT. ESTOQUE'!$D373,"")</f>
        <v>0</v>
      </c>
      <c r="F373" s="92" t="str">
        <f>IFERROR(VLOOKUP('CONT. ESTOQUE'!$B373,PROD!$B$6:$G$1095,4,0),"")</f>
        <v/>
      </c>
      <c r="G373" s="92" t="str">
        <f>IF('CONT. ESTOQUE'!$B373&lt;&gt;"",IF('CONT. ESTOQUE'!$E373=0,"Sem Estoque",IF('CONT. ESTOQUE'!$E373&lt;'CONT. ESTOQUE'!$F373,"Estoque Perigoso","Estoque Confortável")),"")</f>
        <v>Sem Estoque</v>
      </c>
      <c r="H373" s="93">
        <f>SUMIF(SAÍDAS!$C$7:$C$289,'CONT. ESTOQUE'!$B373,SAÍDAS!$L$7:$L$289)</f>
        <v>0</v>
      </c>
      <c r="I373" s="93">
        <f>SUMIF(ENTRADAS!$C$8:$C$1002,'CONT. ESTOQUE'!$B373,ENTRADAS!$H$7:$H$1002)</f>
        <v>0</v>
      </c>
      <c r="J373" s="94">
        <f>'CONT. ESTOQUE'!$H373-'CONT. ESTOQUE'!$I373</f>
        <v>0</v>
      </c>
    </row>
    <row r="374" spans="2:10" ht="15.75" customHeight="1">
      <c r="B374" s="91">
        <f>PROD!B374</f>
        <v>0</v>
      </c>
      <c r="C374" s="92">
        <f>IF('CONT. ESTOQUE'!$B374&lt;&gt;"",SUMIF(ENTRADAS!$C$7:$C$1002,'CONT. ESTOQUE'!$B374,ENTRADAS!$E$7:$E$1002),"")</f>
        <v>0</v>
      </c>
      <c r="D374" s="92">
        <f>IF('CONT. ESTOQUE'!$B374&lt;&gt;"",SUMIF(SAÍDAS!$C$7:$C$800,'CONT. ESTOQUE'!$B374,SAÍDAS!$J$7:$J$800),"")</f>
        <v>0</v>
      </c>
      <c r="E374" s="92">
        <f>IFERROR('CONT. ESTOQUE'!$C374-'CONT. ESTOQUE'!$D374,"")</f>
        <v>0</v>
      </c>
      <c r="F374" s="92" t="str">
        <f>IFERROR(VLOOKUP('CONT. ESTOQUE'!$B374,PROD!$B$6:$G$1095,4,0),"")</f>
        <v/>
      </c>
      <c r="G374" s="92" t="str">
        <f>IF('CONT. ESTOQUE'!$B374&lt;&gt;"",IF('CONT. ESTOQUE'!$E374=0,"Sem Estoque",IF('CONT. ESTOQUE'!$E374&lt;'CONT. ESTOQUE'!$F374,"Estoque Perigoso","Estoque Confortável")),"")</f>
        <v>Sem Estoque</v>
      </c>
      <c r="H374" s="93">
        <f>SUMIF(SAÍDAS!$C$7:$C$289,'CONT. ESTOQUE'!$B374,SAÍDAS!$L$7:$L$289)</f>
        <v>0</v>
      </c>
      <c r="I374" s="93">
        <f>SUMIF(ENTRADAS!$C$8:$C$1002,'CONT. ESTOQUE'!$B374,ENTRADAS!$H$7:$H$1002)</f>
        <v>0</v>
      </c>
      <c r="J374" s="94">
        <f>'CONT. ESTOQUE'!$H374-'CONT. ESTOQUE'!$I374</f>
        <v>0</v>
      </c>
    </row>
    <row r="375" spans="2:10" ht="15.75" customHeight="1">
      <c r="B375" s="91">
        <f>PROD!B375</f>
        <v>0</v>
      </c>
      <c r="C375" s="92">
        <f>IF('CONT. ESTOQUE'!$B375&lt;&gt;"",SUMIF(ENTRADAS!$C$7:$C$1002,'CONT. ESTOQUE'!$B375,ENTRADAS!$E$7:$E$1002),"")</f>
        <v>0</v>
      </c>
      <c r="D375" s="92">
        <f>IF('CONT. ESTOQUE'!$B375&lt;&gt;"",SUMIF(SAÍDAS!$C$7:$C$800,'CONT. ESTOQUE'!$B375,SAÍDAS!$J$7:$J$800),"")</f>
        <v>0</v>
      </c>
      <c r="E375" s="92">
        <f>IFERROR('CONT. ESTOQUE'!$C375-'CONT. ESTOQUE'!$D375,"")</f>
        <v>0</v>
      </c>
      <c r="F375" s="92" t="str">
        <f>IFERROR(VLOOKUP('CONT. ESTOQUE'!$B375,PROD!$B$6:$G$1095,4,0),"")</f>
        <v/>
      </c>
      <c r="G375" s="92" t="str">
        <f>IF('CONT. ESTOQUE'!$B375&lt;&gt;"",IF('CONT. ESTOQUE'!$E375=0,"Sem Estoque",IF('CONT. ESTOQUE'!$E375&lt;'CONT. ESTOQUE'!$F375,"Estoque Perigoso","Estoque Confortável")),"")</f>
        <v>Sem Estoque</v>
      </c>
      <c r="H375" s="93">
        <f>SUMIF(SAÍDAS!$C$7:$C$289,'CONT. ESTOQUE'!$B375,SAÍDAS!$L$7:$L$289)</f>
        <v>0</v>
      </c>
      <c r="I375" s="93">
        <f>SUMIF(ENTRADAS!$C$8:$C$1002,'CONT. ESTOQUE'!$B375,ENTRADAS!$H$7:$H$1002)</f>
        <v>0</v>
      </c>
      <c r="J375" s="94">
        <f>'CONT. ESTOQUE'!$H375-'CONT. ESTOQUE'!$I375</f>
        <v>0</v>
      </c>
    </row>
    <row r="376" spans="2:10" ht="15.75" customHeight="1">
      <c r="B376" s="91">
        <f>PROD!B376</f>
        <v>0</v>
      </c>
      <c r="C376" s="92">
        <f>IF('CONT. ESTOQUE'!$B376&lt;&gt;"",SUMIF(ENTRADAS!$C$7:$C$1002,'CONT. ESTOQUE'!$B376,ENTRADAS!$E$7:$E$1002),"")</f>
        <v>0</v>
      </c>
      <c r="D376" s="92">
        <f>IF('CONT. ESTOQUE'!$B376&lt;&gt;"",SUMIF(SAÍDAS!$C$7:$C$800,'CONT. ESTOQUE'!$B376,SAÍDAS!$J$7:$J$800),"")</f>
        <v>0</v>
      </c>
      <c r="E376" s="92">
        <f>IFERROR('CONT. ESTOQUE'!$C376-'CONT. ESTOQUE'!$D376,"")</f>
        <v>0</v>
      </c>
      <c r="F376" s="92" t="str">
        <f>IFERROR(VLOOKUP('CONT. ESTOQUE'!$B376,PROD!$B$6:$G$1095,4,0),"")</f>
        <v/>
      </c>
      <c r="G376" s="92" t="str">
        <f>IF('CONT. ESTOQUE'!$B376&lt;&gt;"",IF('CONT. ESTOQUE'!$E376=0,"Sem Estoque",IF('CONT. ESTOQUE'!$E376&lt;'CONT. ESTOQUE'!$F376,"Estoque Perigoso","Estoque Confortável")),"")</f>
        <v>Sem Estoque</v>
      </c>
      <c r="H376" s="93">
        <f>SUMIF(SAÍDAS!$C$7:$C$289,'CONT. ESTOQUE'!$B376,SAÍDAS!$L$7:$L$289)</f>
        <v>0</v>
      </c>
      <c r="I376" s="93">
        <f>SUMIF(ENTRADAS!$C$8:$C$1002,'CONT. ESTOQUE'!$B376,ENTRADAS!$H$7:$H$1002)</f>
        <v>0</v>
      </c>
      <c r="J376" s="94">
        <f>'CONT. ESTOQUE'!$H376-'CONT. ESTOQUE'!$I376</f>
        <v>0</v>
      </c>
    </row>
    <row r="377" spans="2:10" ht="15.75" customHeight="1">
      <c r="B377" s="91">
        <f>PROD!B377</f>
        <v>0</v>
      </c>
      <c r="C377" s="92">
        <f>IF('CONT. ESTOQUE'!$B377&lt;&gt;"",SUMIF(ENTRADAS!$C$7:$C$1002,'CONT. ESTOQUE'!$B377,ENTRADAS!$E$7:$E$1002),"")</f>
        <v>0</v>
      </c>
      <c r="D377" s="92">
        <f>IF('CONT. ESTOQUE'!$B377&lt;&gt;"",SUMIF(SAÍDAS!$C$7:$C$800,'CONT. ESTOQUE'!$B377,SAÍDAS!$J$7:$J$800),"")</f>
        <v>0</v>
      </c>
      <c r="E377" s="92">
        <f>IFERROR('CONT. ESTOQUE'!$C377-'CONT. ESTOQUE'!$D377,"")</f>
        <v>0</v>
      </c>
      <c r="F377" s="92" t="str">
        <f>IFERROR(VLOOKUP('CONT. ESTOQUE'!$B377,PROD!$B$6:$G$1095,4,0),"")</f>
        <v/>
      </c>
      <c r="G377" s="92" t="str">
        <f>IF('CONT. ESTOQUE'!$B377&lt;&gt;"",IF('CONT. ESTOQUE'!$E377=0,"Sem Estoque",IF('CONT. ESTOQUE'!$E377&lt;'CONT. ESTOQUE'!$F377,"Estoque Perigoso","Estoque Confortável")),"")</f>
        <v>Sem Estoque</v>
      </c>
      <c r="H377" s="93">
        <f>SUMIF(SAÍDAS!$C$7:$C$289,'CONT. ESTOQUE'!$B377,SAÍDAS!$L$7:$L$289)</f>
        <v>0</v>
      </c>
      <c r="I377" s="93">
        <f>SUMIF(ENTRADAS!$C$8:$C$1002,'CONT. ESTOQUE'!$B377,ENTRADAS!$H$7:$H$1002)</f>
        <v>0</v>
      </c>
      <c r="J377" s="94">
        <f>'CONT. ESTOQUE'!$H377-'CONT. ESTOQUE'!$I377</f>
        <v>0</v>
      </c>
    </row>
    <row r="378" spans="2:10" ht="15.75" customHeight="1">
      <c r="B378" s="91">
        <f>PROD!B378</f>
        <v>0</v>
      </c>
      <c r="C378" s="92">
        <f>IF('CONT. ESTOQUE'!$B378&lt;&gt;"",SUMIF(ENTRADAS!$C$7:$C$1002,'CONT. ESTOQUE'!$B378,ENTRADAS!$E$7:$E$1002),"")</f>
        <v>0</v>
      </c>
      <c r="D378" s="92">
        <f>IF('CONT. ESTOQUE'!$B378&lt;&gt;"",SUMIF(SAÍDAS!$C$7:$C$800,'CONT. ESTOQUE'!$B378,SAÍDAS!$J$7:$J$800),"")</f>
        <v>0</v>
      </c>
      <c r="E378" s="92">
        <f>IFERROR('CONT. ESTOQUE'!$C378-'CONT. ESTOQUE'!$D378,"")</f>
        <v>0</v>
      </c>
      <c r="F378" s="92" t="str">
        <f>IFERROR(VLOOKUP('CONT. ESTOQUE'!$B378,PROD!$B$6:$G$1095,4,0),"")</f>
        <v/>
      </c>
      <c r="G378" s="92" t="str">
        <f>IF('CONT. ESTOQUE'!$B378&lt;&gt;"",IF('CONT. ESTOQUE'!$E378=0,"Sem Estoque",IF('CONT. ESTOQUE'!$E378&lt;'CONT. ESTOQUE'!$F378,"Estoque Perigoso","Estoque Confortável")),"")</f>
        <v>Sem Estoque</v>
      </c>
      <c r="H378" s="93">
        <f>SUMIF(SAÍDAS!$C$7:$C$289,'CONT. ESTOQUE'!$B378,SAÍDAS!$L$7:$L$289)</f>
        <v>0</v>
      </c>
      <c r="I378" s="93">
        <f>SUMIF(ENTRADAS!$C$8:$C$1002,'CONT. ESTOQUE'!$B378,ENTRADAS!$H$7:$H$1002)</f>
        <v>0</v>
      </c>
      <c r="J378" s="94">
        <f>'CONT. ESTOQUE'!$H378-'CONT. ESTOQUE'!$I378</f>
        <v>0</v>
      </c>
    </row>
    <row r="379" spans="2:10" ht="15.75" customHeight="1">
      <c r="B379" s="91">
        <f>PROD!B379</f>
        <v>0</v>
      </c>
      <c r="C379" s="92">
        <f>IF('CONT. ESTOQUE'!$B379&lt;&gt;"",SUMIF(ENTRADAS!$C$7:$C$1002,'CONT. ESTOQUE'!$B379,ENTRADAS!$E$7:$E$1002),"")</f>
        <v>0</v>
      </c>
      <c r="D379" s="92">
        <f>IF('CONT. ESTOQUE'!$B379&lt;&gt;"",SUMIF(SAÍDAS!$C$7:$C$800,'CONT. ESTOQUE'!$B379,SAÍDAS!$J$7:$J$800),"")</f>
        <v>0</v>
      </c>
      <c r="E379" s="92">
        <f>IFERROR('CONT. ESTOQUE'!$C379-'CONT. ESTOQUE'!$D379,"")</f>
        <v>0</v>
      </c>
      <c r="F379" s="92" t="str">
        <f>IFERROR(VLOOKUP('CONT. ESTOQUE'!$B379,PROD!$B$6:$G$1095,4,0),"")</f>
        <v/>
      </c>
      <c r="G379" s="92" t="str">
        <f>IF('CONT. ESTOQUE'!$B379&lt;&gt;"",IF('CONT. ESTOQUE'!$E379=0,"Sem Estoque",IF('CONT. ESTOQUE'!$E379&lt;'CONT. ESTOQUE'!$F379,"Estoque Perigoso","Estoque Confortável")),"")</f>
        <v>Sem Estoque</v>
      </c>
      <c r="H379" s="93">
        <f>SUMIF(SAÍDAS!$C$7:$C$289,'CONT. ESTOQUE'!$B379,SAÍDAS!$L$7:$L$289)</f>
        <v>0</v>
      </c>
      <c r="I379" s="93">
        <f>SUMIF(ENTRADAS!$C$8:$C$1002,'CONT. ESTOQUE'!$B379,ENTRADAS!$H$7:$H$1002)</f>
        <v>0</v>
      </c>
      <c r="J379" s="94">
        <f>'CONT. ESTOQUE'!$H379-'CONT. ESTOQUE'!$I379</f>
        <v>0</v>
      </c>
    </row>
    <row r="380" spans="2:10" ht="15.75" customHeight="1">
      <c r="B380" s="91">
        <f>PROD!B380</f>
        <v>0</v>
      </c>
      <c r="C380" s="92">
        <f>IF('CONT. ESTOQUE'!$B380&lt;&gt;"",SUMIF(ENTRADAS!$C$7:$C$1002,'CONT. ESTOQUE'!$B380,ENTRADAS!$E$7:$E$1002),"")</f>
        <v>0</v>
      </c>
      <c r="D380" s="92">
        <f>IF('CONT. ESTOQUE'!$B380&lt;&gt;"",SUMIF(SAÍDAS!$C$7:$C$800,'CONT. ESTOQUE'!$B380,SAÍDAS!$J$7:$J$800),"")</f>
        <v>0</v>
      </c>
      <c r="E380" s="92">
        <f>IFERROR('CONT. ESTOQUE'!$C380-'CONT. ESTOQUE'!$D380,"")</f>
        <v>0</v>
      </c>
      <c r="F380" s="92" t="str">
        <f>IFERROR(VLOOKUP('CONT. ESTOQUE'!$B380,PROD!$B$6:$G$1095,4,0),"")</f>
        <v/>
      </c>
      <c r="G380" s="92" t="str">
        <f>IF('CONT. ESTOQUE'!$B380&lt;&gt;"",IF('CONT. ESTOQUE'!$E380=0,"Sem Estoque",IF('CONT. ESTOQUE'!$E380&lt;'CONT. ESTOQUE'!$F380,"Estoque Perigoso","Estoque Confortável")),"")</f>
        <v>Sem Estoque</v>
      </c>
      <c r="H380" s="93">
        <f>SUMIF(SAÍDAS!$C$7:$C$289,'CONT. ESTOQUE'!$B380,SAÍDAS!$L$7:$L$289)</f>
        <v>0</v>
      </c>
      <c r="I380" s="93">
        <f>SUMIF(ENTRADAS!$C$8:$C$1002,'CONT. ESTOQUE'!$B380,ENTRADAS!$H$7:$H$1002)</f>
        <v>0</v>
      </c>
      <c r="J380" s="94">
        <f>'CONT. ESTOQUE'!$H380-'CONT. ESTOQUE'!$I380</f>
        <v>0</v>
      </c>
    </row>
    <row r="381" spans="2:10" ht="15.75" customHeight="1">
      <c r="B381" s="91">
        <f>PROD!B381</f>
        <v>0</v>
      </c>
      <c r="C381" s="92">
        <f>IF('CONT. ESTOQUE'!$B381&lt;&gt;"",SUMIF(ENTRADAS!$C$7:$C$1002,'CONT. ESTOQUE'!$B381,ENTRADAS!$E$7:$E$1002),"")</f>
        <v>0</v>
      </c>
      <c r="D381" s="92">
        <f>IF('CONT. ESTOQUE'!$B381&lt;&gt;"",SUMIF(SAÍDAS!$C$7:$C$800,'CONT. ESTOQUE'!$B381,SAÍDAS!$J$7:$J$800),"")</f>
        <v>0</v>
      </c>
      <c r="E381" s="92">
        <f>IFERROR('CONT. ESTOQUE'!$C381-'CONT. ESTOQUE'!$D381,"")</f>
        <v>0</v>
      </c>
      <c r="F381" s="92" t="str">
        <f>IFERROR(VLOOKUP('CONT. ESTOQUE'!$B381,PROD!$B$6:$G$1095,4,0),"")</f>
        <v/>
      </c>
      <c r="G381" s="92" t="str">
        <f>IF('CONT. ESTOQUE'!$B381&lt;&gt;"",IF('CONT. ESTOQUE'!$E381=0,"Sem Estoque",IF('CONT. ESTOQUE'!$E381&lt;'CONT. ESTOQUE'!$F381,"Estoque Perigoso","Estoque Confortável")),"")</f>
        <v>Sem Estoque</v>
      </c>
      <c r="H381" s="93">
        <f>SUMIF(SAÍDAS!$C$7:$C$289,'CONT. ESTOQUE'!$B381,SAÍDAS!$L$7:$L$289)</f>
        <v>0</v>
      </c>
      <c r="I381" s="93">
        <f>SUMIF(ENTRADAS!$C$8:$C$1002,'CONT. ESTOQUE'!$B381,ENTRADAS!$H$7:$H$1002)</f>
        <v>0</v>
      </c>
      <c r="J381" s="94">
        <f>'CONT. ESTOQUE'!$H381-'CONT. ESTOQUE'!$I381</f>
        <v>0</v>
      </c>
    </row>
    <row r="382" spans="2:10" ht="15.75" customHeight="1">
      <c r="B382" s="91">
        <f>PROD!B382</f>
        <v>0</v>
      </c>
      <c r="C382" s="92">
        <f>IF('CONT. ESTOQUE'!$B382&lt;&gt;"",SUMIF(ENTRADAS!$C$7:$C$1002,'CONT. ESTOQUE'!$B382,ENTRADAS!$E$7:$E$1002),"")</f>
        <v>0</v>
      </c>
      <c r="D382" s="92">
        <f>IF('CONT. ESTOQUE'!$B382&lt;&gt;"",SUMIF(SAÍDAS!$C$7:$C$800,'CONT. ESTOQUE'!$B382,SAÍDAS!$J$7:$J$800),"")</f>
        <v>0</v>
      </c>
      <c r="E382" s="92">
        <f>IFERROR('CONT. ESTOQUE'!$C382-'CONT. ESTOQUE'!$D382,"")</f>
        <v>0</v>
      </c>
      <c r="F382" s="92" t="str">
        <f>IFERROR(VLOOKUP('CONT. ESTOQUE'!$B382,PROD!$B$6:$G$1095,4,0),"")</f>
        <v/>
      </c>
      <c r="G382" s="92" t="str">
        <f>IF('CONT. ESTOQUE'!$B382&lt;&gt;"",IF('CONT. ESTOQUE'!$E382=0,"Sem Estoque",IF('CONT. ESTOQUE'!$E382&lt;'CONT. ESTOQUE'!$F382,"Estoque Perigoso","Estoque Confortável")),"")</f>
        <v>Sem Estoque</v>
      </c>
      <c r="H382" s="93">
        <f>SUMIF(SAÍDAS!$C$7:$C$289,'CONT. ESTOQUE'!$B382,SAÍDAS!$L$7:$L$289)</f>
        <v>0</v>
      </c>
      <c r="I382" s="93">
        <f>SUMIF(ENTRADAS!$C$8:$C$1002,'CONT. ESTOQUE'!$B382,ENTRADAS!$H$7:$H$1002)</f>
        <v>0</v>
      </c>
      <c r="J382" s="94">
        <f>'CONT. ESTOQUE'!$H382-'CONT. ESTOQUE'!$I382</f>
        <v>0</v>
      </c>
    </row>
    <row r="383" spans="2:10" ht="15.75" customHeight="1">
      <c r="B383" s="91">
        <f>PROD!B383</f>
        <v>0</v>
      </c>
      <c r="C383" s="92">
        <f>IF('CONT. ESTOQUE'!$B383&lt;&gt;"",SUMIF(ENTRADAS!$C$7:$C$1002,'CONT. ESTOQUE'!$B383,ENTRADAS!$E$7:$E$1002),"")</f>
        <v>0</v>
      </c>
      <c r="D383" s="92">
        <f>IF('CONT. ESTOQUE'!$B383&lt;&gt;"",SUMIF(SAÍDAS!$C$7:$C$800,'CONT. ESTOQUE'!$B383,SAÍDAS!$J$7:$J$800),"")</f>
        <v>0</v>
      </c>
      <c r="E383" s="92">
        <f>IFERROR('CONT. ESTOQUE'!$C383-'CONT. ESTOQUE'!$D383,"")</f>
        <v>0</v>
      </c>
      <c r="F383" s="92" t="str">
        <f>IFERROR(VLOOKUP('CONT. ESTOQUE'!$B383,PROD!$B$6:$G$1095,4,0),"")</f>
        <v/>
      </c>
      <c r="G383" s="92" t="str">
        <f>IF('CONT. ESTOQUE'!$B383&lt;&gt;"",IF('CONT. ESTOQUE'!$E383=0,"Sem Estoque",IF('CONT. ESTOQUE'!$E383&lt;'CONT. ESTOQUE'!$F383,"Estoque Perigoso","Estoque Confortável")),"")</f>
        <v>Sem Estoque</v>
      </c>
      <c r="H383" s="93">
        <f>SUMIF(SAÍDAS!$C$7:$C$289,'CONT. ESTOQUE'!$B383,SAÍDAS!$L$7:$L$289)</f>
        <v>0</v>
      </c>
      <c r="I383" s="93">
        <f>SUMIF(ENTRADAS!$C$8:$C$1002,'CONT. ESTOQUE'!$B383,ENTRADAS!$H$7:$H$1002)</f>
        <v>0</v>
      </c>
      <c r="J383" s="94">
        <f>'CONT. ESTOQUE'!$H383-'CONT. ESTOQUE'!$I383</f>
        <v>0</v>
      </c>
    </row>
    <row r="384" spans="2:10" ht="15.75" customHeight="1">
      <c r="B384" s="91">
        <f>PROD!B384</f>
        <v>0</v>
      </c>
      <c r="C384" s="92">
        <f>IF('CONT. ESTOQUE'!$B384&lt;&gt;"",SUMIF(ENTRADAS!$C$7:$C$1002,'CONT. ESTOQUE'!$B384,ENTRADAS!$E$7:$E$1002),"")</f>
        <v>0</v>
      </c>
      <c r="D384" s="92">
        <f>IF('CONT. ESTOQUE'!$B384&lt;&gt;"",SUMIF(SAÍDAS!$C$7:$C$800,'CONT. ESTOQUE'!$B384,SAÍDAS!$J$7:$J$800),"")</f>
        <v>0</v>
      </c>
      <c r="E384" s="92">
        <f>IFERROR('CONT. ESTOQUE'!$C384-'CONT. ESTOQUE'!$D384,"")</f>
        <v>0</v>
      </c>
      <c r="F384" s="92" t="str">
        <f>IFERROR(VLOOKUP('CONT. ESTOQUE'!$B384,PROD!$B$6:$G$1095,4,0),"")</f>
        <v/>
      </c>
      <c r="G384" s="92" t="str">
        <f>IF('CONT. ESTOQUE'!$B384&lt;&gt;"",IF('CONT. ESTOQUE'!$E384=0,"Sem Estoque",IF('CONT. ESTOQUE'!$E384&lt;'CONT. ESTOQUE'!$F384,"Estoque Perigoso","Estoque Confortável")),"")</f>
        <v>Sem Estoque</v>
      </c>
      <c r="H384" s="93">
        <f>SUMIF(SAÍDAS!$C$7:$C$289,'CONT. ESTOQUE'!$B384,SAÍDAS!$L$7:$L$289)</f>
        <v>0</v>
      </c>
      <c r="I384" s="93">
        <f>SUMIF(ENTRADAS!$C$8:$C$1002,'CONT. ESTOQUE'!$B384,ENTRADAS!$H$7:$H$1002)</f>
        <v>0</v>
      </c>
      <c r="J384" s="94">
        <f>'CONT. ESTOQUE'!$H384-'CONT. ESTOQUE'!$I384</f>
        <v>0</v>
      </c>
    </row>
    <row r="385" spans="2:10" ht="15.75" customHeight="1">
      <c r="B385" s="91">
        <f>PROD!B385</f>
        <v>0</v>
      </c>
      <c r="C385" s="92">
        <f>IF('CONT. ESTOQUE'!$B385&lt;&gt;"",SUMIF(ENTRADAS!$C$7:$C$1002,'CONT. ESTOQUE'!$B385,ENTRADAS!$E$7:$E$1002),"")</f>
        <v>0</v>
      </c>
      <c r="D385" s="92">
        <f>IF('CONT. ESTOQUE'!$B385&lt;&gt;"",SUMIF(SAÍDAS!$C$7:$C$800,'CONT. ESTOQUE'!$B385,SAÍDAS!$J$7:$J$800),"")</f>
        <v>0</v>
      </c>
      <c r="E385" s="92">
        <f>IFERROR('CONT. ESTOQUE'!$C385-'CONT. ESTOQUE'!$D385,"")</f>
        <v>0</v>
      </c>
      <c r="F385" s="92" t="str">
        <f>IFERROR(VLOOKUP('CONT. ESTOQUE'!$B385,PROD!$B$6:$G$1095,4,0),"")</f>
        <v/>
      </c>
      <c r="G385" s="92" t="str">
        <f>IF('CONT. ESTOQUE'!$B385&lt;&gt;"",IF('CONT. ESTOQUE'!$E385=0,"Sem Estoque",IF('CONT. ESTOQUE'!$E385&lt;'CONT. ESTOQUE'!$F385,"Estoque Perigoso","Estoque Confortável")),"")</f>
        <v>Sem Estoque</v>
      </c>
      <c r="H385" s="93">
        <f>SUMIF(SAÍDAS!$C$7:$C$289,'CONT. ESTOQUE'!$B385,SAÍDAS!$L$7:$L$289)</f>
        <v>0</v>
      </c>
      <c r="I385" s="93">
        <f>SUMIF(ENTRADAS!$C$8:$C$1002,'CONT. ESTOQUE'!$B385,ENTRADAS!$H$7:$H$1002)</f>
        <v>0</v>
      </c>
      <c r="J385" s="94">
        <f>'CONT. ESTOQUE'!$H385-'CONT. ESTOQUE'!$I385</f>
        <v>0</v>
      </c>
    </row>
    <row r="386" spans="2:10" ht="15.75" customHeight="1">
      <c r="B386" s="91">
        <f>PROD!B386</f>
        <v>0</v>
      </c>
      <c r="C386" s="92">
        <f>IF('CONT. ESTOQUE'!$B386&lt;&gt;"",SUMIF(ENTRADAS!$C$7:$C$1002,'CONT. ESTOQUE'!$B386,ENTRADAS!$E$7:$E$1002),"")</f>
        <v>0</v>
      </c>
      <c r="D386" s="92">
        <f>IF('CONT. ESTOQUE'!$B386&lt;&gt;"",SUMIF(SAÍDAS!$C$7:$C$800,'CONT. ESTOQUE'!$B386,SAÍDAS!$J$7:$J$800),"")</f>
        <v>0</v>
      </c>
      <c r="E386" s="92">
        <f>IFERROR('CONT. ESTOQUE'!$C386-'CONT. ESTOQUE'!$D386,"")</f>
        <v>0</v>
      </c>
      <c r="F386" s="92" t="str">
        <f>IFERROR(VLOOKUP('CONT. ESTOQUE'!$B386,PROD!$B$6:$G$1095,4,0),"")</f>
        <v/>
      </c>
      <c r="G386" s="92" t="str">
        <f>IF('CONT. ESTOQUE'!$B386&lt;&gt;"",IF('CONT. ESTOQUE'!$E386=0,"Sem Estoque",IF('CONT. ESTOQUE'!$E386&lt;'CONT. ESTOQUE'!$F386,"Estoque Perigoso","Estoque Confortável")),"")</f>
        <v>Sem Estoque</v>
      </c>
      <c r="H386" s="93">
        <f>SUMIF(SAÍDAS!$C$7:$C$289,'CONT. ESTOQUE'!$B386,SAÍDAS!$L$7:$L$289)</f>
        <v>0</v>
      </c>
      <c r="I386" s="93">
        <f>SUMIF(ENTRADAS!$C$8:$C$1002,'CONT. ESTOQUE'!$B386,ENTRADAS!$H$7:$H$1002)</f>
        <v>0</v>
      </c>
      <c r="J386" s="94">
        <f>'CONT. ESTOQUE'!$H386-'CONT. ESTOQUE'!$I386</f>
        <v>0</v>
      </c>
    </row>
    <row r="387" spans="2:10" ht="15.75" customHeight="1">
      <c r="B387" s="91">
        <f>PROD!B387</f>
        <v>0</v>
      </c>
      <c r="C387" s="92">
        <f>IF('CONT. ESTOQUE'!$B387&lt;&gt;"",SUMIF(ENTRADAS!$C$7:$C$1002,'CONT. ESTOQUE'!$B387,ENTRADAS!$E$7:$E$1002),"")</f>
        <v>0</v>
      </c>
      <c r="D387" s="92">
        <f>IF('CONT. ESTOQUE'!$B387&lt;&gt;"",SUMIF(SAÍDAS!$C$7:$C$800,'CONT. ESTOQUE'!$B387,SAÍDAS!$J$7:$J$800),"")</f>
        <v>0</v>
      </c>
      <c r="E387" s="92">
        <f>IFERROR('CONT. ESTOQUE'!$C387-'CONT. ESTOQUE'!$D387,"")</f>
        <v>0</v>
      </c>
      <c r="F387" s="92" t="str">
        <f>IFERROR(VLOOKUP('CONT. ESTOQUE'!$B387,PROD!$B$6:$G$1095,4,0),"")</f>
        <v/>
      </c>
      <c r="G387" s="92" t="str">
        <f>IF('CONT. ESTOQUE'!$B387&lt;&gt;"",IF('CONT. ESTOQUE'!$E387=0,"Sem Estoque",IF('CONT. ESTOQUE'!$E387&lt;'CONT. ESTOQUE'!$F387,"Estoque Perigoso","Estoque Confortável")),"")</f>
        <v>Sem Estoque</v>
      </c>
      <c r="H387" s="93">
        <f>SUMIF(SAÍDAS!$C$7:$C$289,'CONT. ESTOQUE'!$B387,SAÍDAS!$L$7:$L$289)</f>
        <v>0</v>
      </c>
      <c r="I387" s="93">
        <f>SUMIF(ENTRADAS!$C$8:$C$1002,'CONT. ESTOQUE'!$B387,ENTRADAS!$H$7:$H$1002)</f>
        <v>0</v>
      </c>
      <c r="J387" s="94">
        <f>'CONT. ESTOQUE'!$H387-'CONT. ESTOQUE'!$I387</f>
        <v>0</v>
      </c>
    </row>
    <row r="388" spans="2:10" ht="15.75" customHeight="1">
      <c r="B388" s="91">
        <f>PROD!B388</f>
        <v>0</v>
      </c>
      <c r="C388" s="92">
        <f>IF('CONT. ESTOQUE'!$B388&lt;&gt;"",SUMIF(ENTRADAS!$C$7:$C$1002,'CONT. ESTOQUE'!$B388,ENTRADAS!$E$7:$E$1002),"")</f>
        <v>0</v>
      </c>
      <c r="D388" s="92">
        <f>IF('CONT. ESTOQUE'!$B388&lt;&gt;"",SUMIF(SAÍDAS!$C$7:$C$800,'CONT. ESTOQUE'!$B388,SAÍDAS!$J$7:$J$800),"")</f>
        <v>0</v>
      </c>
      <c r="E388" s="92">
        <f>IFERROR('CONT. ESTOQUE'!$C388-'CONT. ESTOQUE'!$D388,"")</f>
        <v>0</v>
      </c>
      <c r="F388" s="92" t="str">
        <f>IFERROR(VLOOKUP('CONT. ESTOQUE'!$B388,PROD!$B$6:$G$1095,4,0),"")</f>
        <v/>
      </c>
      <c r="G388" s="92" t="str">
        <f>IF('CONT. ESTOQUE'!$B388&lt;&gt;"",IF('CONT. ESTOQUE'!$E388=0,"Sem Estoque",IF('CONT. ESTOQUE'!$E388&lt;'CONT. ESTOQUE'!$F388,"Estoque Perigoso","Estoque Confortável")),"")</f>
        <v>Sem Estoque</v>
      </c>
      <c r="H388" s="93">
        <f>SUMIF(SAÍDAS!$C$7:$C$289,'CONT. ESTOQUE'!$B388,SAÍDAS!$L$7:$L$289)</f>
        <v>0</v>
      </c>
      <c r="I388" s="93">
        <f>SUMIF(ENTRADAS!$C$8:$C$1002,'CONT. ESTOQUE'!$B388,ENTRADAS!$H$7:$H$1002)</f>
        <v>0</v>
      </c>
      <c r="J388" s="94">
        <f>'CONT. ESTOQUE'!$H388-'CONT. ESTOQUE'!$I388</f>
        <v>0</v>
      </c>
    </row>
    <row r="389" spans="2:10" ht="15.75" customHeight="1">
      <c r="B389" s="91">
        <f>PROD!B389</f>
        <v>0</v>
      </c>
      <c r="C389" s="92">
        <f>IF('CONT. ESTOQUE'!$B389&lt;&gt;"",SUMIF(ENTRADAS!$C$7:$C$1002,'CONT. ESTOQUE'!$B389,ENTRADAS!$E$7:$E$1002),"")</f>
        <v>0</v>
      </c>
      <c r="D389" s="92">
        <f>IF('CONT. ESTOQUE'!$B389&lt;&gt;"",SUMIF(SAÍDAS!$C$7:$C$800,'CONT. ESTOQUE'!$B389,SAÍDAS!$J$7:$J$800),"")</f>
        <v>0</v>
      </c>
      <c r="E389" s="92">
        <f>IFERROR('CONT. ESTOQUE'!$C389-'CONT. ESTOQUE'!$D389,"")</f>
        <v>0</v>
      </c>
      <c r="F389" s="92" t="str">
        <f>IFERROR(VLOOKUP('CONT. ESTOQUE'!$B389,PROD!$B$6:$G$1095,4,0),"")</f>
        <v/>
      </c>
      <c r="G389" s="92" t="str">
        <f>IF('CONT. ESTOQUE'!$B389&lt;&gt;"",IF('CONT. ESTOQUE'!$E389=0,"Sem Estoque",IF('CONT. ESTOQUE'!$E389&lt;'CONT. ESTOQUE'!$F389,"Estoque Perigoso","Estoque Confortável")),"")</f>
        <v>Sem Estoque</v>
      </c>
      <c r="H389" s="93">
        <f>SUMIF(SAÍDAS!$C$7:$C$289,'CONT. ESTOQUE'!$B389,SAÍDAS!$L$7:$L$289)</f>
        <v>0</v>
      </c>
      <c r="I389" s="93">
        <f>SUMIF(ENTRADAS!$C$8:$C$1002,'CONT. ESTOQUE'!$B389,ENTRADAS!$H$7:$H$1002)</f>
        <v>0</v>
      </c>
      <c r="J389" s="94">
        <f>'CONT. ESTOQUE'!$H389-'CONT. ESTOQUE'!$I389</f>
        <v>0</v>
      </c>
    </row>
    <row r="390" spans="2:10" ht="15.75" customHeight="1">
      <c r="B390" s="91">
        <f>PROD!B390</f>
        <v>0</v>
      </c>
      <c r="C390" s="92">
        <f>IF('CONT. ESTOQUE'!$B390&lt;&gt;"",SUMIF(ENTRADAS!$C$7:$C$1002,'CONT. ESTOQUE'!$B390,ENTRADAS!$E$7:$E$1002),"")</f>
        <v>0</v>
      </c>
      <c r="D390" s="92">
        <f>IF('CONT. ESTOQUE'!$B390&lt;&gt;"",SUMIF(SAÍDAS!$C$7:$C$800,'CONT. ESTOQUE'!$B390,SAÍDAS!$J$7:$J$800),"")</f>
        <v>0</v>
      </c>
      <c r="E390" s="92">
        <f>IFERROR('CONT. ESTOQUE'!$C390-'CONT. ESTOQUE'!$D390,"")</f>
        <v>0</v>
      </c>
      <c r="F390" s="92" t="str">
        <f>IFERROR(VLOOKUP('CONT. ESTOQUE'!$B390,PROD!$B$6:$G$1095,4,0),"")</f>
        <v/>
      </c>
      <c r="G390" s="92" t="str">
        <f>IF('CONT. ESTOQUE'!$B390&lt;&gt;"",IF('CONT. ESTOQUE'!$E390=0,"Sem Estoque",IF('CONT. ESTOQUE'!$E390&lt;'CONT. ESTOQUE'!$F390,"Estoque Perigoso","Estoque Confortável")),"")</f>
        <v>Sem Estoque</v>
      </c>
      <c r="H390" s="93">
        <f>SUMIF(SAÍDAS!$C$7:$C$289,'CONT. ESTOQUE'!$B390,SAÍDAS!$L$7:$L$289)</f>
        <v>0</v>
      </c>
      <c r="I390" s="93">
        <f>SUMIF(ENTRADAS!$C$8:$C$1002,'CONT. ESTOQUE'!$B390,ENTRADAS!$H$7:$H$1002)</f>
        <v>0</v>
      </c>
      <c r="J390" s="94">
        <f>'CONT. ESTOQUE'!$H390-'CONT. ESTOQUE'!$I390</f>
        <v>0</v>
      </c>
    </row>
    <row r="391" spans="2:10" ht="15.75" customHeight="1">
      <c r="B391" s="91">
        <f>PROD!B391</f>
        <v>0</v>
      </c>
      <c r="C391" s="92">
        <f>IF('CONT. ESTOQUE'!$B391&lt;&gt;"",SUMIF(ENTRADAS!$C$7:$C$1002,'CONT. ESTOQUE'!$B391,ENTRADAS!$E$7:$E$1002),"")</f>
        <v>0</v>
      </c>
      <c r="D391" s="92">
        <f>IF('CONT. ESTOQUE'!$B391&lt;&gt;"",SUMIF(SAÍDAS!$C$7:$C$800,'CONT. ESTOQUE'!$B391,SAÍDAS!$J$7:$J$800),"")</f>
        <v>0</v>
      </c>
      <c r="E391" s="92">
        <f>IFERROR('CONT. ESTOQUE'!$C391-'CONT. ESTOQUE'!$D391,"")</f>
        <v>0</v>
      </c>
      <c r="F391" s="92" t="str">
        <f>IFERROR(VLOOKUP('CONT. ESTOQUE'!$B391,PROD!$B$6:$G$1095,4,0),"")</f>
        <v/>
      </c>
      <c r="G391" s="92" t="str">
        <f>IF('CONT. ESTOQUE'!$B391&lt;&gt;"",IF('CONT. ESTOQUE'!$E391=0,"Sem Estoque",IF('CONT. ESTOQUE'!$E391&lt;'CONT. ESTOQUE'!$F391,"Estoque Perigoso","Estoque Confortável")),"")</f>
        <v>Sem Estoque</v>
      </c>
      <c r="H391" s="93">
        <f>SUMIF(SAÍDAS!$C$7:$C$289,'CONT. ESTOQUE'!$B391,SAÍDAS!$L$7:$L$289)</f>
        <v>0</v>
      </c>
      <c r="I391" s="93">
        <f>SUMIF(ENTRADAS!$C$8:$C$1002,'CONT. ESTOQUE'!$B391,ENTRADAS!$H$7:$H$1002)</f>
        <v>0</v>
      </c>
      <c r="J391" s="94">
        <f>'CONT. ESTOQUE'!$H391-'CONT. ESTOQUE'!$I391</f>
        <v>0</v>
      </c>
    </row>
    <row r="392" spans="2:10" ht="15.75" customHeight="1">
      <c r="B392" s="91">
        <f>PROD!B392</f>
        <v>0</v>
      </c>
      <c r="C392" s="92">
        <f>IF('CONT. ESTOQUE'!$B392&lt;&gt;"",SUMIF(ENTRADAS!$C$7:$C$1002,'CONT. ESTOQUE'!$B392,ENTRADAS!$E$7:$E$1002),"")</f>
        <v>0</v>
      </c>
      <c r="D392" s="92">
        <f>IF('CONT. ESTOQUE'!$B392&lt;&gt;"",SUMIF(SAÍDAS!$C$7:$C$800,'CONT. ESTOQUE'!$B392,SAÍDAS!$J$7:$J$800),"")</f>
        <v>0</v>
      </c>
      <c r="E392" s="92">
        <f>IFERROR('CONT. ESTOQUE'!$C392-'CONT. ESTOQUE'!$D392,"")</f>
        <v>0</v>
      </c>
      <c r="F392" s="92" t="str">
        <f>IFERROR(VLOOKUP('CONT. ESTOQUE'!$B392,PROD!$B$6:$G$1095,4,0),"")</f>
        <v/>
      </c>
      <c r="G392" s="92" t="str">
        <f>IF('CONT. ESTOQUE'!$B392&lt;&gt;"",IF('CONT. ESTOQUE'!$E392=0,"Sem Estoque",IF('CONT. ESTOQUE'!$E392&lt;'CONT. ESTOQUE'!$F392,"Estoque Perigoso","Estoque Confortável")),"")</f>
        <v>Sem Estoque</v>
      </c>
      <c r="H392" s="93">
        <f>SUMIF(SAÍDAS!$C$7:$C$289,'CONT. ESTOQUE'!$B392,SAÍDAS!$L$7:$L$289)</f>
        <v>0</v>
      </c>
      <c r="I392" s="93">
        <f>SUMIF(ENTRADAS!$C$8:$C$1002,'CONT. ESTOQUE'!$B392,ENTRADAS!$H$7:$H$1002)</f>
        <v>0</v>
      </c>
      <c r="J392" s="94">
        <f>'CONT. ESTOQUE'!$H392-'CONT. ESTOQUE'!$I392</f>
        <v>0</v>
      </c>
    </row>
    <row r="393" spans="2:10" ht="15.75" customHeight="1">
      <c r="B393" s="91">
        <f>PROD!B393</f>
        <v>0</v>
      </c>
      <c r="C393" s="92">
        <f>IF('CONT. ESTOQUE'!$B393&lt;&gt;"",SUMIF(ENTRADAS!$C$7:$C$1002,'CONT. ESTOQUE'!$B393,ENTRADAS!$E$7:$E$1002),"")</f>
        <v>0</v>
      </c>
      <c r="D393" s="92">
        <f>IF('CONT. ESTOQUE'!$B393&lt;&gt;"",SUMIF(SAÍDAS!$C$7:$C$800,'CONT. ESTOQUE'!$B393,SAÍDAS!$J$7:$J$800),"")</f>
        <v>0</v>
      </c>
      <c r="E393" s="92">
        <f>IFERROR('CONT. ESTOQUE'!$C393-'CONT. ESTOQUE'!$D393,"")</f>
        <v>0</v>
      </c>
      <c r="F393" s="92" t="str">
        <f>IFERROR(VLOOKUP('CONT. ESTOQUE'!$B393,PROD!$B$6:$G$1095,4,0),"")</f>
        <v/>
      </c>
      <c r="G393" s="92" t="str">
        <f>IF('CONT. ESTOQUE'!$B393&lt;&gt;"",IF('CONT. ESTOQUE'!$E393=0,"Sem Estoque",IF('CONT. ESTOQUE'!$E393&lt;'CONT. ESTOQUE'!$F393,"Estoque Perigoso","Estoque Confortável")),"")</f>
        <v>Sem Estoque</v>
      </c>
      <c r="H393" s="93">
        <f>SUMIF(SAÍDAS!$C$7:$C$289,'CONT. ESTOQUE'!$B393,SAÍDAS!$L$7:$L$289)</f>
        <v>0</v>
      </c>
      <c r="I393" s="93">
        <f>SUMIF(ENTRADAS!$C$8:$C$1002,'CONT. ESTOQUE'!$B393,ENTRADAS!$H$7:$H$1002)</f>
        <v>0</v>
      </c>
      <c r="J393" s="94">
        <f>'CONT. ESTOQUE'!$H393-'CONT. ESTOQUE'!$I393</f>
        <v>0</v>
      </c>
    </row>
    <row r="394" spans="2:10" ht="15.75" customHeight="1">
      <c r="B394" s="91">
        <f>PROD!B394</f>
        <v>0</v>
      </c>
      <c r="C394" s="92">
        <f>IF('CONT. ESTOQUE'!$B394&lt;&gt;"",SUMIF(ENTRADAS!$C$7:$C$1002,'CONT. ESTOQUE'!$B394,ENTRADAS!$E$7:$E$1002),"")</f>
        <v>0</v>
      </c>
      <c r="D394" s="92">
        <f>IF('CONT. ESTOQUE'!$B394&lt;&gt;"",SUMIF(SAÍDAS!$C$7:$C$800,'CONT. ESTOQUE'!$B394,SAÍDAS!$J$7:$J$800),"")</f>
        <v>0</v>
      </c>
      <c r="E394" s="92">
        <f>IFERROR('CONT. ESTOQUE'!$C394-'CONT. ESTOQUE'!$D394,"")</f>
        <v>0</v>
      </c>
      <c r="F394" s="92" t="str">
        <f>IFERROR(VLOOKUP('CONT. ESTOQUE'!$B394,PROD!$B$6:$G$1095,4,0),"")</f>
        <v/>
      </c>
      <c r="G394" s="92" t="str">
        <f>IF('CONT. ESTOQUE'!$B394&lt;&gt;"",IF('CONT. ESTOQUE'!$E394=0,"Sem Estoque",IF('CONT. ESTOQUE'!$E394&lt;'CONT. ESTOQUE'!$F394,"Estoque Perigoso","Estoque Confortável")),"")</f>
        <v>Sem Estoque</v>
      </c>
      <c r="H394" s="93">
        <f>SUMIF(SAÍDAS!$C$7:$C$289,'CONT. ESTOQUE'!$B394,SAÍDAS!$L$7:$L$289)</f>
        <v>0</v>
      </c>
      <c r="I394" s="93">
        <f>SUMIF(ENTRADAS!$C$8:$C$1002,'CONT. ESTOQUE'!$B394,ENTRADAS!$H$7:$H$1002)</f>
        <v>0</v>
      </c>
      <c r="J394" s="94">
        <f>'CONT. ESTOQUE'!$H394-'CONT. ESTOQUE'!$I394</f>
        <v>0</v>
      </c>
    </row>
    <row r="395" spans="2:10" ht="15.75" customHeight="1">
      <c r="B395" s="91">
        <f>PROD!B395</f>
        <v>0</v>
      </c>
      <c r="C395" s="92">
        <f>IF('CONT. ESTOQUE'!$B395&lt;&gt;"",SUMIF(ENTRADAS!$C$7:$C$1002,'CONT. ESTOQUE'!$B395,ENTRADAS!$E$7:$E$1002),"")</f>
        <v>0</v>
      </c>
      <c r="D395" s="92">
        <f>IF('CONT. ESTOQUE'!$B395&lt;&gt;"",SUMIF(SAÍDAS!$C$7:$C$800,'CONT. ESTOQUE'!$B395,SAÍDAS!$J$7:$J$800),"")</f>
        <v>0</v>
      </c>
      <c r="E395" s="92">
        <f>IFERROR('CONT. ESTOQUE'!$C395-'CONT. ESTOQUE'!$D395,"")</f>
        <v>0</v>
      </c>
      <c r="F395" s="92" t="str">
        <f>IFERROR(VLOOKUP('CONT. ESTOQUE'!$B395,PROD!$B$6:$G$1095,4,0),"")</f>
        <v/>
      </c>
      <c r="G395" s="92" t="str">
        <f>IF('CONT. ESTOQUE'!$B395&lt;&gt;"",IF('CONT. ESTOQUE'!$E395=0,"Sem Estoque",IF('CONT. ESTOQUE'!$E395&lt;'CONT. ESTOQUE'!$F395,"Estoque Perigoso","Estoque Confortável")),"")</f>
        <v>Sem Estoque</v>
      </c>
      <c r="H395" s="93">
        <f>SUMIF(SAÍDAS!$C$7:$C$289,'CONT. ESTOQUE'!$B395,SAÍDAS!$L$7:$L$289)</f>
        <v>0</v>
      </c>
      <c r="I395" s="93">
        <f>SUMIF(ENTRADAS!$C$8:$C$1002,'CONT. ESTOQUE'!$B395,ENTRADAS!$H$7:$H$1002)</f>
        <v>0</v>
      </c>
      <c r="J395" s="94">
        <f>'CONT. ESTOQUE'!$H395-'CONT. ESTOQUE'!$I395</f>
        <v>0</v>
      </c>
    </row>
    <row r="396" spans="2:10" ht="15.75" customHeight="1">
      <c r="B396" s="91">
        <f>PROD!B396</f>
        <v>0</v>
      </c>
      <c r="C396" s="92">
        <f>IF('CONT. ESTOQUE'!$B396&lt;&gt;"",SUMIF(ENTRADAS!$C$7:$C$1002,'CONT. ESTOQUE'!$B396,ENTRADAS!$E$7:$E$1002),"")</f>
        <v>0</v>
      </c>
      <c r="D396" s="92">
        <f>IF('CONT. ESTOQUE'!$B396&lt;&gt;"",SUMIF(SAÍDAS!$C$7:$C$800,'CONT. ESTOQUE'!$B396,SAÍDAS!$J$7:$J$800),"")</f>
        <v>0</v>
      </c>
      <c r="E396" s="92">
        <f>IFERROR('CONT. ESTOQUE'!$C396-'CONT. ESTOQUE'!$D396,"")</f>
        <v>0</v>
      </c>
      <c r="F396" s="92" t="str">
        <f>IFERROR(VLOOKUP('CONT. ESTOQUE'!$B396,PROD!$B$6:$G$1095,4,0),"")</f>
        <v/>
      </c>
      <c r="G396" s="92" t="str">
        <f>IF('CONT. ESTOQUE'!$B396&lt;&gt;"",IF('CONT. ESTOQUE'!$E396=0,"Sem Estoque",IF('CONT. ESTOQUE'!$E396&lt;'CONT. ESTOQUE'!$F396,"Estoque Perigoso","Estoque Confortável")),"")</f>
        <v>Sem Estoque</v>
      </c>
      <c r="H396" s="93">
        <f>SUMIF(SAÍDAS!$C$7:$C$289,'CONT. ESTOQUE'!$B396,SAÍDAS!$L$7:$L$289)</f>
        <v>0</v>
      </c>
      <c r="I396" s="93">
        <f>SUMIF(ENTRADAS!$C$8:$C$1002,'CONT. ESTOQUE'!$B396,ENTRADAS!$H$7:$H$1002)</f>
        <v>0</v>
      </c>
      <c r="J396" s="94">
        <f>'CONT. ESTOQUE'!$H396-'CONT. ESTOQUE'!$I396</f>
        <v>0</v>
      </c>
    </row>
    <row r="397" spans="2:10" ht="15.75" customHeight="1">
      <c r="B397" s="91">
        <f>PROD!B397</f>
        <v>0</v>
      </c>
      <c r="C397" s="92">
        <f>IF('CONT. ESTOQUE'!$B397&lt;&gt;"",SUMIF(ENTRADAS!$C$7:$C$1002,'CONT. ESTOQUE'!$B397,ENTRADAS!$E$7:$E$1002),"")</f>
        <v>0</v>
      </c>
      <c r="D397" s="92">
        <f>IF('CONT. ESTOQUE'!$B397&lt;&gt;"",SUMIF(SAÍDAS!$C$7:$C$800,'CONT. ESTOQUE'!$B397,SAÍDAS!$J$7:$J$800),"")</f>
        <v>0</v>
      </c>
      <c r="E397" s="92">
        <f>IFERROR('CONT. ESTOQUE'!$C397-'CONT. ESTOQUE'!$D397,"")</f>
        <v>0</v>
      </c>
      <c r="F397" s="92" t="str">
        <f>IFERROR(VLOOKUP('CONT. ESTOQUE'!$B397,PROD!$B$6:$G$1095,4,0),"")</f>
        <v/>
      </c>
      <c r="G397" s="92" t="str">
        <f>IF('CONT. ESTOQUE'!$B397&lt;&gt;"",IF('CONT. ESTOQUE'!$E397=0,"Sem Estoque",IF('CONT. ESTOQUE'!$E397&lt;'CONT. ESTOQUE'!$F397,"Estoque Perigoso","Estoque Confortável")),"")</f>
        <v>Sem Estoque</v>
      </c>
      <c r="H397" s="93">
        <f>SUMIF(SAÍDAS!$C$7:$C$289,'CONT. ESTOQUE'!$B397,SAÍDAS!$L$7:$L$289)</f>
        <v>0</v>
      </c>
      <c r="I397" s="93">
        <f>SUMIF(ENTRADAS!$C$8:$C$1002,'CONT. ESTOQUE'!$B397,ENTRADAS!$H$7:$H$1002)</f>
        <v>0</v>
      </c>
      <c r="J397" s="94">
        <f>'CONT. ESTOQUE'!$H397-'CONT. ESTOQUE'!$I397</f>
        <v>0</v>
      </c>
    </row>
    <row r="398" spans="2:10" ht="15.75" customHeight="1">
      <c r="B398" s="91">
        <f>PROD!B398</f>
        <v>0</v>
      </c>
      <c r="C398" s="92">
        <f>IF('CONT. ESTOQUE'!$B398&lt;&gt;"",SUMIF(ENTRADAS!$C$7:$C$1002,'CONT. ESTOQUE'!$B398,ENTRADAS!$E$7:$E$1002),"")</f>
        <v>0</v>
      </c>
      <c r="D398" s="92">
        <f>IF('CONT. ESTOQUE'!$B398&lt;&gt;"",SUMIF(SAÍDAS!$C$7:$C$800,'CONT. ESTOQUE'!$B398,SAÍDAS!$J$7:$J$800),"")</f>
        <v>0</v>
      </c>
      <c r="E398" s="92">
        <f>IFERROR('CONT. ESTOQUE'!$C398-'CONT. ESTOQUE'!$D398,"")</f>
        <v>0</v>
      </c>
      <c r="F398" s="92" t="str">
        <f>IFERROR(VLOOKUP('CONT. ESTOQUE'!$B398,PROD!$B$6:$G$1095,4,0),"")</f>
        <v/>
      </c>
      <c r="G398" s="92" t="str">
        <f>IF('CONT. ESTOQUE'!$B398&lt;&gt;"",IF('CONT. ESTOQUE'!$E398=0,"Sem Estoque",IF('CONT. ESTOQUE'!$E398&lt;'CONT. ESTOQUE'!$F398,"Estoque Perigoso","Estoque Confortável")),"")</f>
        <v>Sem Estoque</v>
      </c>
      <c r="H398" s="93">
        <f>SUMIF(SAÍDAS!$C$7:$C$289,'CONT. ESTOQUE'!$B398,SAÍDAS!$L$7:$L$289)</f>
        <v>0</v>
      </c>
      <c r="I398" s="93">
        <f>SUMIF(ENTRADAS!$C$8:$C$1002,'CONT. ESTOQUE'!$B398,ENTRADAS!$H$7:$H$1002)</f>
        <v>0</v>
      </c>
      <c r="J398" s="94">
        <f>'CONT. ESTOQUE'!$H398-'CONT. ESTOQUE'!$I398</f>
        <v>0</v>
      </c>
    </row>
    <row r="399" spans="2:10" ht="15.75" customHeight="1">
      <c r="B399" s="91">
        <f>PROD!B399</f>
        <v>0</v>
      </c>
      <c r="C399" s="92">
        <f>IF('CONT. ESTOQUE'!$B399&lt;&gt;"",SUMIF(ENTRADAS!$C$7:$C$1002,'CONT. ESTOQUE'!$B399,ENTRADAS!$E$7:$E$1002),"")</f>
        <v>0</v>
      </c>
      <c r="D399" s="92">
        <f>IF('CONT. ESTOQUE'!$B399&lt;&gt;"",SUMIF(SAÍDAS!$C$7:$C$800,'CONT. ESTOQUE'!$B399,SAÍDAS!$J$7:$J$800),"")</f>
        <v>0</v>
      </c>
      <c r="E399" s="92">
        <f>IFERROR('CONT. ESTOQUE'!$C399-'CONT. ESTOQUE'!$D399,"")</f>
        <v>0</v>
      </c>
      <c r="F399" s="92" t="str">
        <f>IFERROR(VLOOKUP('CONT. ESTOQUE'!$B399,PROD!$B$6:$G$1095,4,0),"")</f>
        <v/>
      </c>
      <c r="G399" s="92" t="str">
        <f>IF('CONT. ESTOQUE'!$B399&lt;&gt;"",IF('CONT. ESTOQUE'!$E399=0,"Sem Estoque",IF('CONT. ESTOQUE'!$E399&lt;'CONT. ESTOQUE'!$F399,"Estoque Perigoso","Estoque Confortável")),"")</f>
        <v>Sem Estoque</v>
      </c>
      <c r="H399" s="93">
        <f>SUMIF(SAÍDAS!$C$7:$C$289,'CONT. ESTOQUE'!$B399,SAÍDAS!$L$7:$L$289)</f>
        <v>0</v>
      </c>
      <c r="I399" s="93">
        <f>SUMIF(ENTRADAS!$C$8:$C$1002,'CONT. ESTOQUE'!$B399,ENTRADAS!$H$7:$H$1002)</f>
        <v>0</v>
      </c>
      <c r="J399" s="94">
        <f>'CONT. ESTOQUE'!$H399-'CONT. ESTOQUE'!$I399</f>
        <v>0</v>
      </c>
    </row>
    <row r="400" spans="2:10" ht="15.75" customHeight="1">
      <c r="B400" s="91">
        <f>PROD!B400</f>
        <v>0</v>
      </c>
      <c r="C400" s="92">
        <f>IF('CONT. ESTOQUE'!$B400&lt;&gt;"",SUMIF(ENTRADAS!$C$7:$C$1002,'CONT. ESTOQUE'!$B400,ENTRADAS!$E$7:$E$1002),"")</f>
        <v>0</v>
      </c>
      <c r="D400" s="92">
        <f>IF('CONT. ESTOQUE'!$B400&lt;&gt;"",SUMIF(SAÍDAS!$C$7:$C$800,'CONT. ESTOQUE'!$B400,SAÍDAS!$J$7:$J$800),"")</f>
        <v>0</v>
      </c>
      <c r="E400" s="92">
        <f>IFERROR('CONT. ESTOQUE'!$C400-'CONT. ESTOQUE'!$D400,"")</f>
        <v>0</v>
      </c>
      <c r="F400" s="92" t="str">
        <f>IFERROR(VLOOKUP('CONT. ESTOQUE'!$B400,PROD!$B$6:$G$1095,4,0),"")</f>
        <v/>
      </c>
      <c r="G400" s="92" t="str">
        <f>IF('CONT. ESTOQUE'!$B400&lt;&gt;"",IF('CONT. ESTOQUE'!$E400=0,"Sem Estoque",IF('CONT. ESTOQUE'!$E400&lt;'CONT. ESTOQUE'!$F400,"Estoque Perigoso","Estoque Confortável")),"")</f>
        <v>Sem Estoque</v>
      </c>
      <c r="H400" s="93">
        <f>SUMIF(SAÍDAS!$C$7:$C$289,'CONT. ESTOQUE'!$B400,SAÍDAS!$L$7:$L$289)</f>
        <v>0</v>
      </c>
      <c r="I400" s="93">
        <f>SUMIF(ENTRADAS!$C$8:$C$1002,'CONT. ESTOQUE'!$B400,ENTRADAS!$H$7:$H$1002)</f>
        <v>0</v>
      </c>
      <c r="J400" s="94">
        <f>'CONT. ESTOQUE'!$H400-'CONT. ESTOQUE'!$I400</f>
        <v>0</v>
      </c>
    </row>
    <row r="401" spans="2:10" ht="15.75" customHeight="1">
      <c r="B401" s="91">
        <f>PROD!B401</f>
        <v>0</v>
      </c>
      <c r="C401" s="92">
        <f>IF('CONT. ESTOQUE'!$B401&lt;&gt;"",SUMIF(ENTRADAS!$C$7:$C$1002,'CONT. ESTOQUE'!$B401,ENTRADAS!$E$7:$E$1002),"")</f>
        <v>0</v>
      </c>
      <c r="D401" s="92">
        <f>IF('CONT. ESTOQUE'!$B401&lt;&gt;"",SUMIF(SAÍDAS!$C$7:$C$800,'CONT. ESTOQUE'!$B401,SAÍDAS!$J$7:$J$800),"")</f>
        <v>0</v>
      </c>
      <c r="E401" s="92">
        <f>IFERROR('CONT. ESTOQUE'!$C401-'CONT. ESTOQUE'!$D401,"")</f>
        <v>0</v>
      </c>
      <c r="F401" s="92" t="str">
        <f>IFERROR(VLOOKUP('CONT. ESTOQUE'!$B401,PROD!$B$6:$G$1095,4,0),"")</f>
        <v/>
      </c>
      <c r="G401" s="92" t="str">
        <f>IF('CONT. ESTOQUE'!$B401&lt;&gt;"",IF('CONT. ESTOQUE'!$E401=0,"Sem Estoque",IF('CONT. ESTOQUE'!$E401&lt;'CONT. ESTOQUE'!$F401,"Estoque Perigoso","Estoque Confortável")),"")</f>
        <v>Sem Estoque</v>
      </c>
      <c r="H401" s="93">
        <f>SUMIF(SAÍDAS!$C$7:$C$289,'CONT. ESTOQUE'!$B401,SAÍDAS!$L$7:$L$289)</f>
        <v>0</v>
      </c>
      <c r="I401" s="93">
        <f>SUMIF(ENTRADAS!$C$8:$C$1002,'CONT. ESTOQUE'!$B401,ENTRADAS!$H$7:$H$1002)</f>
        <v>0</v>
      </c>
      <c r="J401" s="94">
        <f>'CONT. ESTOQUE'!$H401-'CONT. ESTOQUE'!$I401</f>
        <v>0</v>
      </c>
    </row>
    <row r="402" spans="2:10" ht="15.75" customHeight="1">
      <c r="B402" s="91">
        <f>PROD!B402</f>
        <v>0</v>
      </c>
      <c r="C402" s="92">
        <f>IF('CONT. ESTOQUE'!$B402&lt;&gt;"",SUMIF(ENTRADAS!$C$7:$C$1002,'CONT. ESTOQUE'!$B402,ENTRADAS!$E$7:$E$1002),"")</f>
        <v>0</v>
      </c>
      <c r="D402" s="92">
        <f>IF('CONT. ESTOQUE'!$B402&lt;&gt;"",SUMIF(SAÍDAS!$C$7:$C$800,'CONT. ESTOQUE'!$B402,SAÍDAS!$J$7:$J$800),"")</f>
        <v>0</v>
      </c>
      <c r="E402" s="92">
        <f>IFERROR('CONT. ESTOQUE'!$C402-'CONT. ESTOQUE'!$D402,"")</f>
        <v>0</v>
      </c>
      <c r="F402" s="92" t="str">
        <f>IFERROR(VLOOKUP('CONT. ESTOQUE'!$B402,PROD!$B$6:$G$1095,4,0),"")</f>
        <v/>
      </c>
      <c r="G402" s="92" t="str">
        <f>IF('CONT. ESTOQUE'!$B402&lt;&gt;"",IF('CONT. ESTOQUE'!$E402=0,"Sem Estoque",IF('CONT. ESTOQUE'!$E402&lt;'CONT. ESTOQUE'!$F402,"Estoque Perigoso","Estoque Confortável")),"")</f>
        <v>Sem Estoque</v>
      </c>
      <c r="H402" s="93">
        <f>SUMIF(SAÍDAS!$C$7:$C$289,'CONT. ESTOQUE'!$B402,SAÍDAS!$L$7:$L$289)</f>
        <v>0</v>
      </c>
      <c r="I402" s="93">
        <f>SUMIF(ENTRADAS!$C$8:$C$1002,'CONT. ESTOQUE'!$B402,ENTRADAS!$H$7:$H$1002)</f>
        <v>0</v>
      </c>
      <c r="J402" s="94">
        <f>'CONT. ESTOQUE'!$H402-'CONT. ESTOQUE'!$I402</f>
        <v>0</v>
      </c>
    </row>
    <row r="403" spans="2:10" ht="15.75" customHeight="1">
      <c r="B403" s="91">
        <f>PROD!B403</f>
        <v>0</v>
      </c>
      <c r="C403" s="92">
        <f>IF('CONT. ESTOQUE'!$B403&lt;&gt;"",SUMIF(ENTRADAS!$C$7:$C$1002,'CONT. ESTOQUE'!$B403,ENTRADAS!$E$7:$E$1002),"")</f>
        <v>0</v>
      </c>
      <c r="D403" s="92">
        <f>IF('CONT. ESTOQUE'!$B403&lt;&gt;"",SUMIF(SAÍDAS!$C$7:$C$800,'CONT. ESTOQUE'!$B403,SAÍDAS!$J$7:$J$800),"")</f>
        <v>0</v>
      </c>
      <c r="E403" s="92">
        <f>IFERROR('CONT. ESTOQUE'!$C403-'CONT. ESTOQUE'!$D403,"")</f>
        <v>0</v>
      </c>
      <c r="F403" s="92" t="str">
        <f>IFERROR(VLOOKUP('CONT. ESTOQUE'!$B403,PROD!$B$6:$G$1095,4,0),"")</f>
        <v/>
      </c>
      <c r="G403" s="92" t="str">
        <f>IF('CONT. ESTOQUE'!$B403&lt;&gt;"",IF('CONT. ESTOQUE'!$E403=0,"Sem Estoque",IF('CONT. ESTOQUE'!$E403&lt;'CONT. ESTOQUE'!$F403,"Estoque Perigoso","Estoque Confortável")),"")</f>
        <v>Sem Estoque</v>
      </c>
      <c r="H403" s="93">
        <f>SUMIF(SAÍDAS!$C$7:$C$289,'CONT. ESTOQUE'!$B403,SAÍDAS!$L$7:$L$289)</f>
        <v>0</v>
      </c>
      <c r="I403" s="93">
        <f>SUMIF(ENTRADAS!$C$8:$C$1002,'CONT. ESTOQUE'!$B403,ENTRADAS!$H$7:$H$1002)</f>
        <v>0</v>
      </c>
      <c r="J403" s="94">
        <f>'CONT. ESTOQUE'!$H403-'CONT. ESTOQUE'!$I403</f>
        <v>0</v>
      </c>
    </row>
    <row r="404" spans="2:10" ht="15.75" customHeight="1">
      <c r="B404" s="91">
        <f>PROD!B404</f>
        <v>0</v>
      </c>
      <c r="C404" s="92">
        <f>IF('CONT. ESTOQUE'!$B404&lt;&gt;"",SUMIF(ENTRADAS!$C$7:$C$1002,'CONT. ESTOQUE'!$B404,ENTRADAS!$E$7:$E$1002),"")</f>
        <v>0</v>
      </c>
      <c r="D404" s="92">
        <f>IF('CONT. ESTOQUE'!$B404&lt;&gt;"",SUMIF(SAÍDAS!$C$7:$C$800,'CONT. ESTOQUE'!$B404,SAÍDAS!$J$7:$J$800),"")</f>
        <v>0</v>
      </c>
      <c r="E404" s="92">
        <f>IFERROR('CONT. ESTOQUE'!$C404-'CONT. ESTOQUE'!$D404,"")</f>
        <v>0</v>
      </c>
      <c r="F404" s="92" t="str">
        <f>IFERROR(VLOOKUP('CONT. ESTOQUE'!$B404,PROD!$B$6:$G$1095,4,0),"")</f>
        <v/>
      </c>
      <c r="G404" s="92" t="str">
        <f>IF('CONT. ESTOQUE'!$B404&lt;&gt;"",IF('CONT. ESTOQUE'!$E404=0,"Sem Estoque",IF('CONT. ESTOQUE'!$E404&lt;'CONT. ESTOQUE'!$F404,"Estoque Perigoso","Estoque Confortável")),"")</f>
        <v>Sem Estoque</v>
      </c>
      <c r="H404" s="93">
        <f>SUMIF(SAÍDAS!$C$7:$C$289,'CONT. ESTOQUE'!$B404,SAÍDAS!$L$7:$L$289)</f>
        <v>0</v>
      </c>
      <c r="I404" s="93">
        <f>SUMIF(ENTRADAS!$C$8:$C$1002,'CONT. ESTOQUE'!$B404,ENTRADAS!$H$7:$H$1002)</f>
        <v>0</v>
      </c>
      <c r="J404" s="94">
        <f>'CONT. ESTOQUE'!$H404-'CONT. ESTOQUE'!$I404</f>
        <v>0</v>
      </c>
    </row>
    <row r="405" spans="2:10" ht="15.75" customHeight="1">
      <c r="B405" s="91">
        <f>PROD!B405</f>
        <v>0</v>
      </c>
      <c r="C405" s="92">
        <f>IF('CONT. ESTOQUE'!$B405&lt;&gt;"",SUMIF(ENTRADAS!$C$7:$C$1002,'CONT. ESTOQUE'!$B405,ENTRADAS!$E$7:$E$1002),"")</f>
        <v>0</v>
      </c>
      <c r="D405" s="92">
        <f>IF('CONT. ESTOQUE'!$B405&lt;&gt;"",SUMIF(SAÍDAS!$C$7:$C$800,'CONT. ESTOQUE'!$B405,SAÍDAS!$J$7:$J$800),"")</f>
        <v>0</v>
      </c>
      <c r="E405" s="92">
        <f>IFERROR('CONT. ESTOQUE'!$C405-'CONT. ESTOQUE'!$D405,"")</f>
        <v>0</v>
      </c>
      <c r="F405" s="92" t="str">
        <f>IFERROR(VLOOKUP('CONT. ESTOQUE'!$B405,PROD!$B$6:$G$1095,4,0),"")</f>
        <v/>
      </c>
      <c r="G405" s="92" t="str">
        <f>IF('CONT. ESTOQUE'!$B405&lt;&gt;"",IF('CONT. ESTOQUE'!$E405=0,"Sem Estoque",IF('CONT. ESTOQUE'!$E405&lt;'CONT. ESTOQUE'!$F405,"Estoque Perigoso","Estoque Confortável")),"")</f>
        <v>Sem Estoque</v>
      </c>
      <c r="H405" s="93">
        <f>SUMIF(SAÍDAS!$C$7:$C$289,'CONT. ESTOQUE'!$B405,SAÍDAS!$L$7:$L$289)</f>
        <v>0</v>
      </c>
      <c r="I405" s="93">
        <f>SUMIF(ENTRADAS!$C$8:$C$1002,'CONT. ESTOQUE'!$B405,ENTRADAS!$H$7:$H$1002)</f>
        <v>0</v>
      </c>
      <c r="J405" s="94">
        <f>'CONT. ESTOQUE'!$H405-'CONT. ESTOQUE'!$I405</f>
        <v>0</v>
      </c>
    </row>
    <row r="406" spans="2:10" ht="15.75" customHeight="1">
      <c r="B406" s="91">
        <f>PROD!B406</f>
        <v>0</v>
      </c>
      <c r="C406" s="92">
        <f>IF('CONT. ESTOQUE'!$B406&lt;&gt;"",SUMIF(ENTRADAS!$C$7:$C$1002,'CONT. ESTOQUE'!$B406,ENTRADAS!$E$7:$E$1002),"")</f>
        <v>0</v>
      </c>
      <c r="D406" s="92">
        <f>IF('CONT. ESTOQUE'!$B406&lt;&gt;"",SUMIF(SAÍDAS!$C$7:$C$800,'CONT. ESTOQUE'!$B406,SAÍDAS!$J$7:$J$800),"")</f>
        <v>0</v>
      </c>
      <c r="E406" s="92">
        <f>IFERROR('CONT. ESTOQUE'!$C406-'CONT. ESTOQUE'!$D406,"")</f>
        <v>0</v>
      </c>
      <c r="F406" s="92" t="str">
        <f>IFERROR(VLOOKUP('CONT. ESTOQUE'!$B406,PROD!$B$6:$G$1095,4,0),"")</f>
        <v/>
      </c>
      <c r="G406" s="92" t="str">
        <f>IF('CONT. ESTOQUE'!$B406&lt;&gt;"",IF('CONT. ESTOQUE'!$E406=0,"Sem Estoque",IF('CONT. ESTOQUE'!$E406&lt;'CONT. ESTOQUE'!$F406,"Estoque Perigoso","Estoque Confortável")),"")</f>
        <v>Sem Estoque</v>
      </c>
      <c r="H406" s="93">
        <f>SUMIF(SAÍDAS!$C$7:$C$289,'CONT. ESTOQUE'!$B406,SAÍDAS!$L$7:$L$289)</f>
        <v>0</v>
      </c>
      <c r="I406" s="93">
        <f>SUMIF(ENTRADAS!$C$8:$C$1002,'CONT. ESTOQUE'!$B406,ENTRADAS!$H$7:$H$1002)</f>
        <v>0</v>
      </c>
      <c r="J406" s="94">
        <f>'CONT. ESTOQUE'!$H406-'CONT. ESTOQUE'!$I406</f>
        <v>0</v>
      </c>
    </row>
    <row r="407" spans="2:10" ht="15.75" customHeight="1">
      <c r="B407" s="91">
        <f>PROD!B407</f>
        <v>0</v>
      </c>
      <c r="C407" s="92">
        <f>IF('CONT. ESTOQUE'!$B407&lt;&gt;"",SUMIF(ENTRADAS!$C$7:$C$1002,'CONT. ESTOQUE'!$B407,ENTRADAS!$E$7:$E$1002),"")</f>
        <v>0</v>
      </c>
      <c r="D407" s="92">
        <f>IF('CONT. ESTOQUE'!$B407&lt;&gt;"",SUMIF(SAÍDAS!$C$7:$C$800,'CONT. ESTOQUE'!$B407,SAÍDAS!$J$7:$J$800),"")</f>
        <v>0</v>
      </c>
      <c r="E407" s="92">
        <f>IFERROR('CONT. ESTOQUE'!$C407-'CONT. ESTOQUE'!$D407,"")</f>
        <v>0</v>
      </c>
      <c r="F407" s="92" t="str">
        <f>IFERROR(VLOOKUP('CONT. ESTOQUE'!$B407,PROD!$B$6:$G$1095,4,0),"")</f>
        <v/>
      </c>
      <c r="G407" s="92" t="str">
        <f>IF('CONT. ESTOQUE'!$B407&lt;&gt;"",IF('CONT. ESTOQUE'!$E407=0,"Sem Estoque",IF('CONT. ESTOQUE'!$E407&lt;'CONT. ESTOQUE'!$F407,"Estoque Perigoso","Estoque Confortável")),"")</f>
        <v>Sem Estoque</v>
      </c>
      <c r="H407" s="93">
        <f>SUMIF(SAÍDAS!$C$7:$C$289,'CONT. ESTOQUE'!$B407,SAÍDAS!$L$7:$L$289)</f>
        <v>0</v>
      </c>
      <c r="I407" s="93">
        <f>SUMIF(ENTRADAS!$C$8:$C$1002,'CONT. ESTOQUE'!$B407,ENTRADAS!$H$7:$H$1002)</f>
        <v>0</v>
      </c>
      <c r="J407" s="94">
        <f>'CONT. ESTOQUE'!$H407-'CONT. ESTOQUE'!$I407</f>
        <v>0</v>
      </c>
    </row>
    <row r="408" spans="2:10" ht="15.75" customHeight="1">
      <c r="B408" s="91">
        <f>PROD!B408</f>
        <v>0</v>
      </c>
      <c r="C408" s="92">
        <f>IF('CONT. ESTOQUE'!$B408&lt;&gt;"",SUMIF(ENTRADAS!$C$7:$C$1002,'CONT. ESTOQUE'!$B408,ENTRADAS!$E$7:$E$1002),"")</f>
        <v>0</v>
      </c>
      <c r="D408" s="92">
        <f>IF('CONT. ESTOQUE'!$B408&lt;&gt;"",SUMIF(SAÍDAS!$C$7:$C$800,'CONT. ESTOQUE'!$B408,SAÍDAS!$J$7:$J$800),"")</f>
        <v>0</v>
      </c>
      <c r="E408" s="92">
        <f>IFERROR('CONT. ESTOQUE'!$C408-'CONT. ESTOQUE'!$D408,"")</f>
        <v>0</v>
      </c>
      <c r="F408" s="92" t="str">
        <f>IFERROR(VLOOKUP('CONT. ESTOQUE'!$B408,PROD!$B$6:$G$1095,4,0),"")</f>
        <v/>
      </c>
      <c r="G408" s="92" t="str">
        <f>IF('CONT. ESTOQUE'!$B408&lt;&gt;"",IF('CONT. ESTOQUE'!$E408=0,"Sem Estoque",IF('CONT. ESTOQUE'!$E408&lt;'CONT. ESTOQUE'!$F408,"Estoque Perigoso","Estoque Confortável")),"")</f>
        <v>Sem Estoque</v>
      </c>
      <c r="H408" s="93">
        <f>SUMIF(SAÍDAS!$C$7:$C$289,'CONT. ESTOQUE'!$B408,SAÍDAS!$L$7:$L$289)</f>
        <v>0</v>
      </c>
      <c r="I408" s="93">
        <f>SUMIF(ENTRADAS!$C$8:$C$1002,'CONT. ESTOQUE'!$B408,ENTRADAS!$H$7:$H$1002)</f>
        <v>0</v>
      </c>
      <c r="J408" s="94">
        <f>'CONT. ESTOQUE'!$H408-'CONT. ESTOQUE'!$I408</f>
        <v>0</v>
      </c>
    </row>
    <row r="409" spans="2:10" ht="15.75" customHeight="1">
      <c r="B409" s="91">
        <f>PROD!B409</f>
        <v>0</v>
      </c>
      <c r="C409" s="92">
        <f>IF('CONT. ESTOQUE'!$B409&lt;&gt;"",SUMIF(ENTRADAS!$C$7:$C$1002,'CONT. ESTOQUE'!$B409,ENTRADAS!$E$7:$E$1002),"")</f>
        <v>0</v>
      </c>
      <c r="D409" s="92">
        <f>IF('CONT. ESTOQUE'!$B409&lt;&gt;"",SUMIF(SAÍDAS!$C$7:$C$800,'CONT. ESTOQUE'!$B409,SAÍDAS!$J$7:$J$800),"")</f>
        <v>0</v>
      </c>
      <c r="E409" s="92">
        <f>IFERROR('CONT. ESTOQUE'!$C409-'CONT. ESTOQUE'!$D409,"")</f>
        <v>0</v>
      </c>
      <c r="F409" s="92" t="str">
        <f>IFERROR(VLOOKUP('CONT. ESTOQUE'!$B409,PROD!$B$6:$G$1095,4,0),"")</f>
        <v/>
      </c>
      <c r="G409" s="92" t="str">
        <f>IF('CONT. ESTOQUE'!$B409&lt;&gt;"",IF('CONT. ESTOQUE'!$E409=0,"Sem Estoque",IF('CONT. ESTOQUE'!$E409&lt;'CONT. ESTOQUE'!$F409,"Estoque Perigoso","Estoque Confortável")),"")</f>
        <v>Sem Estoque</v>
      </c>
      <c r="H409" s="93">
        <f>SUMIF(SAÍDAS!$C$7:$C$289,'CONT. ESTOQUE'!$B409,SAÍDAS!$L$7:$L$289)</f>
        <v>0</v>
      </c>
      <c r="I409" s="93">
        <f>SUMIF(ENTRADAS!$C$8:$C$1002,'CONT. ESTOQUE'!$B409,ENTRADAS!$H$7:$H$1002)</f>
        <v>0</v>
      </c>
      <c r="J409" s="94">
        <f>'CONT. ESTOQUE'!$H409-'CONT. ESTOQUE'!$I409</f>
        <v>0</v>
      </c>
    </row>
    <row r="410" spans="2:10" ht="15.75" customHeight="1">
      <c r="B410" s="91">
        <f>PROD!B410</f>
        <v>0</v>
      </c>
      <c r="C410" s="92">
        <f>IF('CONT. ESTOQUE'!$B410&lt;&gt;"",SUMIF(ENTRADAS!$C$7:$C$1002,'CONT. ESTOQUE'!$B410,ENTRADAS!$E$7:$E$1002),"")</f>
        <v>0</v>
      </c>
      <c r="D410" s="92">
        <f>IF('CONT. ESTOQUE'!$B410&lt;&gt;"",SUMIF(SAÍDAS!$C$7:$C$800,'CONT. ESTOQUE'!$B410,SAÍDAS!$J$7:$J$800),"")</f>
        <v>0</v>
      </c>
      <c r="E410" s="92">
        <f>IFERROR('CONT. ESTOQUE'!$C410-'CONT. ESTOQUE'!$D410,"")</f>
        <v>0</v>
      </c>
      <c r="F410" s="92" t="str">
        <f>IFERROR(VLOOKUP('CONT. ESTOQUE'!$B410,PROD!$B$6:$G$1095,4,0),"")</f>
        <v/>
      </c>
      <c r="G410" s="92" t="str">
        <f>IF('CONT. ESTOQUE'!$B410&lt;&gt;"",IF('CONT. ESTOQUE'!$E410=0,"Sem Estoque",IF('CONT. ESTOQUE'!$E410&lt;'CONT. ESTOQUE'!$F410,"Estoque Perigoso","Estoque Confortável")),"")</f>
        <v>Sem Estoque</v>
      </c>
      <c r="H410" s="93">
        <f>SUMIF(SAÍDAS!$C$7:$C$289,'CONT. ESTOQUE'!$B410,SAÍDAS!$L$7:$L$289)</f>
        <v>0</v>
      </c>
      <c r="I410" s="93">
        <f>SUMIF(ENTRADAS!$C$8:$C$1002,'CONT. ESTOQUE'!$B410,ENTRADAS!$H$7:$H$1002)</f>
        <v>0</v>
      </c>
      <c r="J410" s="94">
        <f>'CONT. ESTOQUE'!$H410-'CONT. ESTOQUE'!$I410</f>
        <v>0</v>
      </c>
    </row>
    <row r="411" spans="2:10" ht="15.75" customHeight="1">
      <c r="B411" s="91">
        <f>PROD!B411</f>
        <v>0</v>
      </c>
      <c r="C411" s="92">
        <f>IF('CONT. ESTOQUE'!$B411&lt;&gt;"",SUMIF(ENTRADAS!$C$7:$C$1002,'CONT. ESTOQUE'!$B411,ENTRADAS!$E$7:$E$1002),"")</f>
        <v>0</v>
      </c>
      <c r="D411" s="92">
        <f>IF('CONT. ESTOQUE'!$B411&lt;&gt;"",SUMIF(SAÍDAS!$C$7:$C$800,'CONT. ESTOQUE'!$B411,SAÍDAS!$J$7:$J$800),"")</f>
        <v>0</v>
      </c>
      <c r="E411" s="92">
        <f>IFERROR('CONT. ESTOQUE'!$C411-'CONT. ESTOQUE'!$D411,"")</f>
        <v>0</v>
      </c>
      <c r="F411" s="92" t="str">
        <f>IFERROR(VLOOKUP('CONT. ESTOQUE'!$B411,PROD!$B$6:$G$1095,4,0),"")</f>
        <v/>
      </c>
      <c r="G411" s="92" t="str">
        <f>IF('CONT. ESTOQUE'!$B411&lt;&gt;"",IF('CONT. ESTOQUE'!$E411=0,"Sem Estoque",IF('CONT. ESTOQUE'!$E411&lt;'CONT. ESTOQUE'!$F411,"Estoque Perigoso","Estoque Confortável")),"")</f>
        <v>Sem Estoque</v>
      </c>
      <c r="H411" s="93">
        <f>SUMIF(SAÍDAS!$C$7:$C$289,'CONT. ESTOQUE'!$B411,SAÍDAS!$L$7:$L$289)</f>
        <v>0</v>
      </c>
      <c r="I411" s="93">
        <f>SUMIF(ENTRADAS!$C$8:$C$1002,'CONT. ESTOQUE'!$B411,ENTRADAS!$H$7:$H$1002)</f>
        <v>0</v>
      </c>
      <c r="J411" s="94">
        <f>'CONT. ESTOQUE'!$H411-'CONT. ESTOQUE'!$I411</f>
        <v>0</v>
      </c>
    </row>
    <row r="412" spans="2:10" ht="15.75" customHeight="1">
      <c r="B412" s="91">
        <f>PROD!B412</f>
        <v>0</v>
      </c>
      <c r="C412" s="92">
        <f>IF('CONT. ESTOQUE'!$B412&lt;&gt;"",SUMIF(ENTRADAS!$C$7:$C$1002,'CONT. ESTOQUE'!$B412,ENTRADAS!$E$7:$E$1002),"")</f>
        <v>0</v>
      </c>
      <c r="D412" s="92">
        <f>IF('CONT. ESTOQUE'!$B412&lt;&gt;"",SUMIF(SAÍDAS!$C$7:$C$800,'CONT. ESTOQUE'!$B412,SAÍDAS!$J$7:$J$800),"")</f>
        <v>0</v>
      </c>
      <c r="E412" s="92">
        <f>IFERROR('CONT. ESTOQUE'!$C412-'CONT. ESTOQUE'!$D412,"")</f>
        <v>0</v>
      </c>
      <c r="F412" s="92" t="str">
        <f>IFERROR(VLOOKUP('CONT. ESTOQUE'!$B412,PROD!$B$6:$G$1095,4,0),"")</f>
        <v/>
      </c>
      <c r="G412" s="92" t="str">
        <f>IF('CONT. ESTOQUE'!$B412&lt;&gt;"",IF('CONT. ESTOQUE'!$E412=0,"Sem Estoque",IF('CONT. ESTOQUE'!$E412&lt;'CONT. ESTOQUE'!$F412,"Estoque Perigoso","Estoque Confortável")),"")</f>
        <v>Sem Estoque</v>
      </c>
      <c r="H412" s="93">
        <f>SUMIF(SAÍDAS!$C$7:$C$289,'CONT. ESTOQUE'!$B412,SAÍDAS!$L$7:$L$289)</f>
        <v>0</v>
      </c>
      <c r="I412" s="93">
        <f>SUMIF(ENTRADAS!$C$8:$C$1002,'CONT. ESTOQUE'!$B412,ENTRADAS!$H$7:$H$1002)</f>
        <v>0</v>
      </c>
      <c r="J412" s="94">
        <f>'CONT. ESTOQUE'!$H412-'CONT. ESTOQUE'!$I412</f>
        <v>0</v>
      </c>
    </row>
    <row r="413" spans="2:10" ht="15.75" customHeight="1">
      <c r="B413" s="91">
        <f>PROD!B413</f>
        <v>0</v>
      </c>
      <c r="C413" s="92">
        <f>IF('CONT. ESTOQUE'!$B413&lt;&gt;"",SUMIF(ENTRADAS!$C$7:$C$1002,'CONT. ESTOQUE'!$B413,ENTRADAS!$E$7:$E$1002),"")</f>
        <v>0</v>
      </c>
      <c r="D413" s="92">
        <f>IF('CONT. ESTOQUE'!$B413&lt;&gt;"",SUMIF(SAÍDAS!$C$7:$C$800,'CONT. ESTOQUE'!$B413,SAÍDAS!$J$7:$J$800),"")</f>
        <v>0</v>
      </c>
      <c r="E413" s="92">
        <f>IFERROR('CONT. ESTOQUE'!$C413-'CONT. ESTOQUE'!$D413,"")</f>
        <v>0</v>
      </c>
      <c r="F413" s="92" t="str">
        <f>IFERROR(VLOOKUP('CONT. ESTOQUE'!$B413,PROD!$B$6:$G$1095,4,0),"")</f>
        <v/>
      </c>
      <c r="G413" s="92" t="str">
        <f>IF('CONT. ESTOQUE'!$B413&lt;&gt;"",IF('CONT. ESTOQUE'!$E413=0,"Sem Estoque",IF('CONT. ESTOQUE'!$E413&lt;'CONT. ESTOQUE'!$F413,"Estoque Perigoso","Estoque Confortável")),"")</f>
        <v>Sem Estoque</v>
      </c>
      <c r="H413" s="93">
        <f>SUMIF(SAÍDAS!$C$7:$C$289,'CONT. ESTOQUE'!$B413,SAÍDAS!$L$7:$L$289)</f>
        <v>0</v>
      </c>
      <c r="I413" s="93">
        <f>SUMIF(ENTRADAS!$C$8:$C$1002,'CONT. ESTOQUE'!$B413,ENTRADAS!$H$7:$H$1002)</f>
        <v>0</v>
      </c>
      <c r="J413" s="94">
        <f>'CONT. ESTOQUE'!$H413-'CONT. ESTOQUE'!$I413</f>
        <v>0</v>
      </c>
    </row>
    <row r="414" spans="2:10" ht="15.75" customHeight="1">
      <c r="B414" s="91">
        <f>PROD!B414</f>
        <v>0</v>
      </c>
      <c r="C414" s="92">
        <f>IF('CONT. ESTOQUE'!$B414&lt;&gt;"",SUMIF(ENTRADAS!$C$7:$C$1002,'CONT. ESTOQUE'!$B414,ENTRADAS!$E$7:$E$1002),"")</f>
        <v>0</v>
      </c>
      <c r="D414" s="92">
        <f>IF('CONT. ESTOQUE'!$B414&lt;&gt;"",SUMIF(SAÍDAS!$C$7:$C$800,'CONT. ESTOQUE'!$B414,SAÍDAS!$J$7:$J$800),"")</f>
        <v>0</v>
      </c>
      <c r="E414" s="92">
        <f>IFERROR('CONT. ESTOQUE'!$C414-'CONT. ESTOQUE'!$D414,"")</f>
        <v>0</v>
      </c>
      <c r="F414" s="92" t="str">
        <f>IFERROR(VLOOKUP('CONT. ESTOQUE'!$B414,PROD!$B$6:$G$1095,4,0),"")</f>
        <v/>
      </c>
      <c r="G414" s="92" t="str">
        <f>IF('CONT. ESTOQUE'!$B414&lt;&gt;"",IF('CONT. ESTOQUE'!$E414=0,"Sem Estoque",IF('CONT. ESTOQUE'!$E414&lt;'CONT. ESTOQUE'!$F414,"Estoque Perigoso","Estoque Confortável")),"")</f>
        <v>Sem Estoque</v>
      </c>
      <c r="H414" s="93">
        <f>SUMIF(SAÍDAS!$C$7:$C$289,'CONT. ESTOQUE'!$B414,SAÍDAS!$L$7:$L$289)</f>
        <v>0</v>
      </c>
      <c r="I414" s="93">
        <f>SUMIF(ENTRADAS!$C$8:$C$1002,'CONT. ESTOQUE'!$B414,ENTRADAS!$H$7:$H$1002)</f>
        <v>0</v>
      </c>
      <c r="J414" s="94">
        <f>'CONT. ESTOQUE'!$H414-'CONT. ESTOQUE'!$I414</f>
        <v>0</v>
      </c>
    </row>
    <row r="415" spans="2:10" ht="15.75" customHeight="1">
      <c r="B415" s="91">
        <f>PROD!B415</f>
        <v>0</v>
      </c>
      <c r="C415" s="92">
        <f>IF('CONT. ESTOQUE'!$B415&lt;&gt;"",SUMIF(ENTRADAS!$C$7:$C$1002,'CONT. ESTOQUE'!$B415,ENTRADAS!$E$7:$E$1002),"")</f>
        <v>0</v>
      </c>
      <c r="D415" s="92">
        <f>IF('CONT. ESTOQUE'!$B415&lt;&gt;"",SUMIF(SAÍDAS!$C$7:$C$800,'CONT. ESTOQUE'!$B415,SAÍDAS!$J$7:$J$800),"")</f>
        <v>0</v>
      </c>
      <c r="E415" s="92">
        <f>IFERROR('CONT. ESTOQUE'!$C415-'CONT. ESTOQUE'!$D415,"")</f>
        <v>0</v>
      </c>
      <c r="F415" s="92" t="str">
        <f>IFERROR(VLOOKUP('CONT. ESTOQUE'!$B415,PROD!$B$6:$G$1095,4,0),"")</f>
        <v/>
      </c>
      <c r="G415" s="92" t="str">
        <f>IF('CONT. ESTOQUE'!$B415&lt;&gt;"",IF('CONT. ESTOQUE'!$E415=0,"Sem Estoque",IF('CONT. ESTOQUE'!$E415&lt;'CONT. ESTOQUE'!$F415,"Estoque Perigoso","Estoque Confortável")),"")</f>
        <v>Sem Estoque</v>
      </c>
      <c r="H415" s="93">
        <f>SUMIF(SAÍDAS!$C$7:$C$289,'CONT. ESTOQUE'!$B415,SAÍDAS!$L$7:$L$289)</f>
        <v>0</v>
      </c>
      <c r="I415" s="93">
        <f>SUMIF(ENTRADAS!$C$8:$C$1002,'CONT. ESTOQUE'!$B415,ENTRADAS!$H$7:$H$1002)</f>
        <v>0</v>
      </c>
      <c r="J415" s="94">
        <f>'CONT. ESTOQUE'!$H415-'CONT. ESTOQUE'!$I415</f>
        <v>0</v>
      </c>
    </row>
    <row r="416" spans="2:10" ht="15.75" customHeight="1">
      <c r="B416" s="91">
        <f>PROD!B416</f>
        <v>0</v>
      </c>
      <c r="C416" s="92">
        <f>IF('CONT. ESTOQUE'!$B416&lt;&gt;"",SUMIF(ENTRADAS!$C$7:$C$1002,'CONT. ESTOQUE'!$B416,ENTRADAS!$E$7:$E$1002),"")</f>
        <v>0</v>
      </c>
      <c r="D416" s="92">
        <f>IF('CONT. ESTOQUE'!$B416&lt;&gt;"",SUMIF(SAÍDAS!$C$7:$C$800,'CONT. ESTOQUE'!$B416,SAÍDAS!$J$7:$J$800),"")</f>
        <v>0</v>
      </c>
      <c r="E416" s="92">
        <f>IFERROR('CONT. ESTOQUE'!$C416-'CONT. ESTOQUE'!$D416,"")</f>
        <v>0</v>
      </c>
      <c r="F416" s="92" t="str">
        <f>IFERROR(VLOOKUP('CONT. ESTOQUE'!$B416,PROD!$B$6:$G$1095,4,0),"")</f>
        <v/>
      </c>
      <c r="G416" s="92" t="str">
        <f>IF('CONT. ESTOQUE'!$B416&lt;&gt;"",IF('CONT. ESTOQUE'!$E416=0,"Sem Estoque",IF('CONT. ESTOQUE'!$E416&lt;'CONT. ESTOQUE'!$F416,"Estoque Perigoso","Estoque Confortável")),"")</f>
        <v>Sem Estoque</v>
      </c>
      <c r="H416" s="93">
        <f>SUMIF(SAÍDAS!$C$7:$C$289,'CONT. ESTOQUE'!$B416,SAÍDAS!$L$7:$L$289)</f>
        <v>0</v>
      </c>
      <c r="I416" s="93">
        <f>SUMIF(ENTRADAS!$C$8:$C$1002,'CONT. ESTOQUE'!$B416,ENTRADAS!$H$7:$H$1002)</f>
        <v>0</v>
      </c>
      <c r="J416" s="94">
        <f>'CONT. ESTOQUE'!$H416-'CONT. ESTOQUE'!$I416</f>
        <v>0</v>
      </c>
    </row>
    <row r="417" spans="2:10" ht="15.75" customHeight="1">
      <c r="B417" s="91">
        <f>PROD!B417</f>
        <v>0</v>
      </c>
      <c r="C417" s="92">
        <f>IF('CONT. ESTOQUE'!$B417&lt;&gt;"",SUMIF(ENTRADAS!$C$7:$C$1002,'CONT. ESTOQUE'!$B417,ENTRADAS!$E$7:$E$1002),"")</f>
        <v>0</v>
      </c>
      <c r="D417" s="92">
        <f>IF('CONT. ESTOQUE'!$B417&lt;&gt;"",SUMIF(SAÍDAS!$C$7:$C$800,'CONT. ESTOQUE'!$B417,SAÍDAS!$J$7:$J$800),"")</f>
        <v>0</v>
      </c>
      <c r="E417" s="92">
        <f>IFERROR('CONT. ESTOQUE'!$C417-'CONT. ESTOQUE'!$D417,"")</f>
        <v>0</v>
      </c>
      <c r="F417" s="92" t="str">
        <f>IFERROR(VLOOKUP('CONT. ESTOQUE'!$B417,PROD!$B$6:$G$1095,4,0),"")</f>
        <v/>
      </c>
      <c r="G417" s="92" t="str">
        <f>IF('CONT. ESTOQUE'!$B417&lt;&gt;"",IF('CONT. ESTOQUE'!$E417=0,"Sem Estoque",IF('CONT. ESTOQUE'!$E417&lt;'CONT. ESTOQUE'!$F417,"Estoque Perigoso","Estoque Confortável")),"")</f>
        <v>Sem Estoque</v>
      </c>
      <c r="H417" s="93">
        <f>SUMIF(SAÍDAS!$C$7:$C$289,'CONT. ESTOQUE'!$B417,SAÍDAS!$L$7:$L$289)</f>
        <v>0</v>
      </c>
      <c r="I417" s="93">
        <f>SUMIF(ENTRADAS!$C$8:$C$1002,'CONT. ESTOQUE'!$B417,ENTRADAS!$H$7:$H$1002)</f>
        <v>0</v>
      </c>
      <c r="J417" s="94">
        <f>'CONT. ESTOQUE'!$H417-'CONT. ESTOQUE'!$I417</f>
        <v>0</v>
      </c>
    </row>
    <row r="418" spans="2:10" ht="15.75" customHeight="1">
      <c r="B418" s="91">
        <f>PROD!B418</f>
        <v>0</v>
      </c>
      <c r="C418" s="92">
        <f>IF('CONT. ESTOQUE'!$B418&lt;&gt;"",SUMIF(ENTRADAS!$C$7:$C$1002,'CONT. ESTOQUE'!$B418,ENTRADAS!$E$7:$E$1002),"")</f>
        <v>0</v>
      </c>
      <c r="D418" s="92">
        <f>IF('CONT. ESTOQUE'!$B418&lt;&gt;"",SUMIF(SAÍDAS!$C$7:$C$800,'CONT. ESTOQUE'!$B418,SAÍDAS!$J$7:$J$800),"")</f>
        <v>0</v>
      </c>
      <c r="E418" s="92">
        <f>IFERROR('CONT. ESTOQUE'!$C418-'CONT. ESTOQUE'!$D418,"")</f>
        <v>0</v>
      </c>
      <c r="F418" s="92" t="str">
        <f>IFERROR(VLOOKUP('CONT. ESTOQUE'!$B418,PROD!$B$6:$G$1095,4,0),"")</f>
        <v/>
      </c>
      <c r="G418" s="92" t="str">
        <f>IF('CONT. ESTOQUE'!$B418&lt;&gt;"",IF('CONT. ESTOQUE'!$E418=0,"Sem Estoque",IF('CONT. ESTOQUE'!$E418&lt;'CONT. ESTOQUE'!$F418,"Estoque Perigoso","Estoque Confortável")),"")</f>
        <v>Sem Estoque</v>
      </c>
      <c r="H418" s="93">
        <f>SUMIF(SAÍDAS!$C$7:$C$289,'CONT. ESTOQUE'!$B418,SAÍDAS!$L$7:$L$289)</f>
        <v>0</v>
      </c>
      <c r="I418" s="93">
        <f>SUMIF(ENTRADAS!$C$8:$C$1002,'CONT. ESTOQUE'!$B418,ENTRADAS!$H$7:$H$1002)</f>
        <v>0</v>
      </c>
      <c r="J418" s="94">
        <f>'CONT. ESTOQUE'!$H418-'CONT. ESTOQUE'!$I418</f>
        <v>0</v>
      </c>
    </row>
    <row r="419" spans="2:10" ht="15.75" customHeight="1">
      <c r="B419" s="91">
        <f>PROD!B419</f>
        <v>0</v>
      </c>
      <c r="C419" s="92">
        <f>IF('CONT. ESTOQUE'!$B419&lt;&gt;"",SUMIF(ENTRADAS!$C$7:$C$1002,'CONT. ESTOQUE'!$B419,ENTRADAS!$E$7:$E$1002),"")</f>
        <v>0</v>
      </c>
      <c r="D419" s="92">
        <f>IF('CONT. ESTOQUE'!$B419&lt;&gt;"",SUMIF(SAÍDAS!$C$7:$C$800,'CONT. ESTOQUE'!$B419,SAÍDAS!$J$7:$J$800),"")</f>
        <v>0</v>
      </c>
      <c r="E419" s="92">
        <f>IFERROR('CONT. ESTOQUE'!$C419-'CONT. ESTOQUE'!$D419,"")</f>
        <v>0</v>
      </c>
      <c r="F419" s="92" t="str">
        <f>IFERROR(VLOOKUP('CONT. ESTOQUE'!$B419,PROD!$B$6:$G$1095,4,0),"")</f>
        <v/>
      </c>
      <c r="G419" s="92" t="str">
        <f>IF('CONT. ESTOQUE'!$B419&lt;&gt;"",IF('CONT. ESTOQUE'!$E419=0,"Sem Estoque",IF('CONT. ESTOQUE'!$E419&lt;'CONT. ESTOQUE'!$F419,"Estoque Perigoso","Estoque Confortável")),"")</f>
        <v>Sem Estoque</v>
      </c>
      <c r="H419" s="93">
        <f>SUMIF(SAÍDAS!$C$7:$C$289,'CONT. ESTOQUE'!$B419,SAÍDAS!$L$7:$L$289)</f>
        <v>0</v>
      </c>
      <c r="I419" s="93">
        <f>SUMIF(ENTRADAS!$C$8:$C$1002,'CONT. ESTOQUE'!$B419,ENTRADAS!$H$7:$H$1002)</f>
        <v>0</v>
      </c>
      <c r="J419" s="94">
        <f>'CONT. ESTOQUE'!$H419-'CONT. ESTOQUE'!$I419</f>
        <v>0</v>
      </c>
    </row>
    <row r="420" spans="2:10" ht="15.75" customHeight="1">
      <c r="B420" s="91">
        <f>PROD!B420</f>
        <v>0</v>
      </c>
      <c r="C420" s="92">
        <f>IF('CONT. ESTOQUE'!$B420&lt;&gt;"",SUMIF(ENTRADAS!$C$7:$C$1002,'CONT. ESTOQUE'!$B420,ENTRADAS!$E$7:$E$1002),"")</f>
        <v>0</v>
      </c>
      <c r="D420" s="92">
        <f>IF('CONT. ESTOQUE'!$B420&lt;&gt;"",SUMIF(SAÍDAS!$C$7:$C$800,'CONT. ESTOQUE'!$B420,SAÍDAS!$J$7:$J$800),"")</f>
        <v>0</v>
      </c>
      <c r="E420" s="92">
        <f>IFERROR('CONT. ESTOQUE'!$C420-'CONT. ESTOQUE'!$D420,"")</f>
        <v>0</v>
      </c>
      <c r="F420" s="92" t="str">
        <f>IFERROR(VLOOKUP('CONT. ESTOQUE'!$B420,PROD!$B$6:$G$1095,4,0),"")</f>
        <v/>
      </c>
      <c r="G420" s="92" t="str">
        <f>IF('CONT. ESTOQUE'!$B420&lt;&gt;"",IF('CONT. ESTOQUE'!$E420=0,"Sem Estoque",IF('CONT. ESTOQUE'!$E420&lt;'CONT. ESTOQUE'!$F420,"Estoque Perigoso","Estoque Confortável")),"")</f>
        <v>Sem Estoque</v>
      </c>
      <c r="H420" s="93">
        <f>SUMIF(SAÍDAS!$C$7:$C$289,'CONT. ESTOQUE'!$B420,SAÍDAS!$L$7:$L$289)</f>
        <v>0</v>
      </c>
      <c r="I420" s="93">
        <f>SUMIF(ENTRADAS!$C$8:$C$1002,'CONT. ESTOQUE'!$B420,ENTRADAS!$H$7:$H$1002)</f>
        <v>0</v>
      </c>
      <c r="J420" s="94">
        <f>'CONT. ESTOQUE'!$H420-'CONT. ESTOQUE'!$I420</f>
        <v>0</v>
      </c>
    </row>
    <row r="421" spans="2:10" ht="15.75" customHeight="1">
      <c r="B421" s="91">
        <f>PROD!B421</f>
        <v>0</v>
      </c>
      <c r="C421" s="92">
        <f>IF('CONT. ESTOQUE'!$B421&lt;&gt;"",SUMIF(ENTRADAS!$C$7:$C$1002,'CONT. ESTOQUE'!$B421,ENTRADAS!$E$7:$E$1002),"")</f>
        <v>0</v>
      </c>
      <c r="D421" s="92">
        <f>IF('CONT. ESTOQUE'!$B421&lt;&gt;"",SUMIF(SAÍDAS!$C$7:$C$800,'CONT. ESTOQUE'!$B421,SAÍDAS!$J$7:$J$800),"")</f>
        <v>0</v>
      </c>
      <c r="E421" s="92">
        <f>IFERROR('CONT. ESTOQUE'!$C421-'CONT. ESTOQUE'!$D421,"")</f>
        <v>0</v>
      </c>
      <c r="F421" s="92" t="str">
        <f>IFERROR(VLOOKUP('CONT. ESTOQUE'!$B421,PROD!$B$6:$G$1095,4,0),"")</f>
        <v/>
      </c>
      <c r="G421" s="92" t="str">
        <f>IF('CONT. ESTOQUE'!$B421&lt;&gt;"",IF('CONT. ESTOQUE'!$E421=0,"Sem Estoque",IF('CONT. ESTOQUE'!$E421&lt;'CONT. ESTOQUE'!$F421,"Estoque Perigoso","Estoque Confortável")),"")</f>
        <v>Sem Estoque</v>
      </c>
      <c r="H421" s="93">
        <f>SUMIF(SAÍDAS!$C$7:$C$289,'CONT. ESTOQUE'!$B421,SAÍDAS!$L$7:$L$289)</f>
        <v>0</v>
      </c>
      <c r="I421" s="93">
        <f>SUMIF(ENTRADAS!$C$8:$C$1002,'CONT. ESTOQUE'!$B421,ENTRADAS!$H$7:$H$1002)</f>
        <v>0</v>
      </c>
      <c r="J421" s="94">
        <f>'CONT. ESTOQUE'!$H421-'CONT. ESTOQUE'!$I421</f>
        <v>0</v>
      </c>
    </row>
    <row r="422" spans="2:10" ht="15.75" customHeight="1">
      <c r="B422" s="91">
        <f>PROD!B422</f>
        <v>0</v>
      </c>
      <c r="C422" s="92">
        <f>IF('CONT. ESTOQUE'!$B422&lt;&gt;"",SUMIF(ENTRADAS!$C$7:$C$1002,'CONT. ESTOQUE'!$B422,ENTRADAS!$E$7:$E$1002),"")</f>
        <v>0</v>
      </c>
      <c r="D422" s="92">
        <f>IF('CONT. ESTOQUE'!$B422&lt;&gt;"",SUMIF(SAÍDAS!$C$7:$C$800,'CONT. ESTOQUE'!$B422,SAÍDAS!$J$7:$J$800),"")</f>
        <v>0</v>
      </c>
      <c r="E422" s="92">
        <f>IFERROR('CONT. ESTOQUE'!$C422-'CONT. ESTOQUE'!$D422,"")</f>
        <v>0</v>
      </c>
      <c r="F422" s="92" t="str">
        <f>IFERROR(VLOOKUP('CONT. ESTOQUE'!$B422,PROD!$B$6:$G$1095,4,0),"")</f>
        <v/>
      </c>
      <c r="G422" s="92" t="str">
        <f>IF('CONT. ESTOQUE'!$B422&lt;&gt;"",IF('CONT. ESTOQUE'!$E422=0,"Sem Estoque",IF('CONT. ESTOQUE'!$E422&lt;'CONT. ESTOQUE'!$F422,"Estoque Perigoso","Estoque Confortável")),"")</f>
        <v>Sem Estoque</v>
      </c>
      <c r="H422" s="93">
        <f>SUMIF(SAÍDAS!$C$7:$C$289,'CONT. ESTOQUE'!$B422,SAÍDAS!$L$7:$L$289)</f>
        <v>0</v>
      </c>
      <c r="I422" s="93">
        <f>SUMIF(ENTRADAS!$C$8:$C$1002,'CONT. ESTOQUE'!$B422,ENTRADAS!$H$7:$H$1002)</f>
        <v>0</v>
      </c>
      <c r="J422" s="94">
        <f>'CONT. ESTOQUE'!$H422-'CONT. ESTOQUE'!$I422</f>
        <v>0</v>
      </c>
    </row>
    <row r="423" spans="2:10" ht="15.75" customHeight="1">
      <c r="B423" s="91">
        <f>PROD!B423</f>
        <v>0</v>
      </c>
      <c r="C423" s="92">
        <f>IF('CONT. ESTOQUE'!$B423&lt;&gt;"",SUMIF(ENTRADAS!$C$7:$C$1002,'CONT. ESTOQUE'!$B423,ENTRADAS!$E$7:$E$1002),"")</f>
        <v>0</v>
      </c>
      <c r="D423" s="92">
        <f>IF('CONT. ESTOQUE'!$B423&lt;&gt;"",SUMIF(SAÍDAS!$C$7:$C$800,'CONT. ESTOQUE'!$B423,SAÍDAS!$J$7:$J$800),"")</f>
        <v>0</v>
      </c>
      <c r="E423" s="92">
        <f>IFERROR('CONT. ESTOQUE'!$C423-'CONT. ESTOQUE'!$D423,"")</f>
        <v>0</v>
      </c>
      <c r="F423" s="92" t="str">
        <f>IFERROR(VLOOKUP('CONT. ESTOQUE'!$B423,PROD!$B$6:$G$1095,4,0),"")</f>
        <v/>
      </c>
      <c r="G423" s="92" t="str">
        <f>IF('CONT. ESTOQUE'!$B423&lt;&gt;"",IF('CONT. ESTOQUE'!$E423=0,"Sem Estoque",IF('CONT. ESTOQUE'!$E423&lt;'CONT. ESTOQUE'!$F423,"Estoque Perigoso","Estoque Confortável")),"")</f>
        <v>Sem Estoque</v>
      </c>
      <c r="H423" s="93">
        <f>SUMIF(SAÍDAS!$C$7:$C$289,'CONT. ESTOQUE'!$B423,SAÍDAS!$L$7:$L$289)</f>
        <v>0</v>
      </c>
      <c r="I423" s="93">
        <f>SUMIF(ENTRADAS!$C$8:$C$1002,'CONT. ESTOQUE'!$B423,ENTRADAS!$H$7:$H$1002)</f>
        <v>0</v>
      </c>
      <c r="J423" s="94">
        <f>'CONT. ESTOQUE'!$H423-'CONT. ESTOQUE'!$I423</f>
        <v>0</v>
      </c>
    </row>
    <row r="424" spans="2:10" ht="15.75" customHeight="1">
      <c r="B424" s="91">
        <f>PROD!B424</f>
        <v>0</v>
      </c>
      <c r="C424" s="92">
        <f>IF('CONT. ESTOQUE'!$B424&lt;&gt;"",SUMIF(ENTRADAS!$C$7:$C$1002,'CONT. ESTOQUE'!$B424,ENTRADAS!$E$7:$E$1002),"")</f>
        <v>0</v>
      </c>
      <c r="D424" s="92">
        <f>IF('CONT. ESTOQUE'!$B424&lt;&gt;"",SUMIF(SAÍDAS!$C$7:$C$800,'CONT. ESTOQUE'!$B424,SAÍDAS!$J$7:$J$800),"")</f>
        <v>0</v>
      </c>
      <c r="E424" s="92">
        <f>IFERROR('CONT. ESTOQUE'!$C424-'CONT. ESTOQUE'!$D424,"")</f>
        <v>0</v>
      </c>
      <c r="F424" s="92" t="str">
        <f>IFERROR(VLOOKUP('CONT. ESTOQUE'!$B424,PROD!$B$6:$G$1095,4,0),"")</f>
        <v/>
      </c>
      <c r="G424" s="92" t="str">
        <f>IF('CONT. ESTOQUE'!$B424&lt;&gt;"",IF('CONT. ESTOQUE'!$E424=0,"Sem Estoque",IF('CONT. ESTOQUE'!$E424&lt;'CONT. ESTOQUE'!$F424,"Estoque Perigoso","Estoque Confortável")),"")</f>
        <v>Sem Estoque</v>
      </c>
      <c r="H424" s="93">
        <f>SUMIF(SAÍDAS!$C$7:$C$289,'CONT. ESTOQUE'!$B424,SAÍDAS!$L$7:$L$289)</f>
        <v>0</v>
      </c>
      <c r="I424" s="93">
        <f>SUMIF(ENTRADAS!$C$8:$C$1002,'CONT. ESTOQUE'!$B424,ENTRADAS!$H$7:$H$1002)</f>
        <v>0</v>
      </c>
      <c r="J424" s="94">
        <f>'CONT. ESTOQUE'!$H424-'CONT. ESTOQUE'!$I424</f>
        <v>0</v>
      </c>
    </row>
    <row r="425" spans="2:10" ht="15.75" customHeight="1">
      <c r="B425" s="91">
        <f>PROD!B425</f>
        <v>0</v>
      </c>
      <c r="C425" s="92">
        <f>IF('CONT. ESTOQUE'!$B425&lt;&gt;"",SUMIF(ENTRADAS!$C$7:$C$1002,'CONT. ESTOQUE'!$B425,ENTRADAS!$E$7:$E$1002),"")</f>
        <v>0</v>
      </c>
      <c r="D425" s="92">
        <f>IF('CONT. ESTOQUE'!$B425&lt;&gt;"",SUMIF(SAÍDAS!$C$7:$C$800,'CONT. ESTOQUE'!$B425,SAÍDAS!$J$7:$J$800),"")</f>
        <v>0</v>
      </c>
      <c r="E425" s="92">
        <f>IFERROR('CONT. ESTOQUE'!$C425-'CONT. ESTOQUE'!$D425,"")</f>
        <v>0</v>
      </c>
      <c r="F425" s="92" t="str">
        <f>IFERROR(VLOOKUP('CONT. ESTOQUE'!$B425,PROD!$B$6:$G$1095,4,0),"")</f>
        <v/>
      </c>
      <c r="G425" s="92" t="str">
        <f>IF('CONT. ESTOQUE'!$B425&lt;&gt;"",IF('CONT. ESTOQUE'!$E425=0,"Sem Estoque",IF('CONT. ESTOQUE'!$E425&lt;'CONT. ESTOQUE'!$F425,"Estoque Perigoso","Estoque Confortável")),"")</f>
        <v>Sem Estoque</v>
      </c>
      <c r="H425" s="93">
        <f>SUMIF(SAÍDAS!$C$7:$C$289,'CONT. ESTOQUE'!$B425,SAÍDAS!$L$7:$L$289)</f>
        <v>0</v>
      </c>
      <c r="I425" s="93">
        <f>SUMIF(ENTRADAS!$C$8:$C$1002,'CONT. ESTOQUE'!$B425,ENTRADAS!$H$7:$H$1002)</f>
        <v>0</v>
      </c>
      <c r="J425" s="94">
        <f>'CONT. ESTOQUE'!$H425-'CONT. ESTOQUE'!$I425</f>
        <v>0</v>
      </c>
    </row>
    <row r="426" spans="2:10" ht="15.75" customHeight="1">
      <c r="B426" s="91">
        <f>PROD!B426</f>
        <v>0</v>
      </c>
      <c r="C426" s="92">
        <f>IF('CONT. ESTOQUE'!$B426&lt;&gt;"",SUMIF(ENTRADAS!$C$7:$C$1002,'CONT. ESTOQUE'!$B426,ENTRADAS!$E$7:$E$1002),"")</f>
        <v>0</v>
      </c>
      <c r="D426" s="92">
        <f>IF('CONT. ESTOQUE'!$B426&lt;&gt;"",SUMIF(SAÍDAS!$C$7:$C$800,'CONT. ESTOQUE'!$B426,SAÍDAS!$J$7:$J$800),"")</f>
        <v>0</v>
      </c>
      <c r="E426" s="92">
        <f>IFERROR('CONT. ESTOQUE'!$C426-'CONT. ESTOQUE'!$D426,"")</f>
        <v>0</v>
      </c>
      <c r="F426" s="92" t="str">
        <f>IFERROR(VLOOKUP('CONT. ESTOQUE'!$B426,PROD!$B$6:$G$1095,4,0),"")</f>
        <v/>
      </c>
      <c r="G426" s="92" t="str">
        <f>IF('CONT. ESTOQUE'!$B426&lt;&gt;"",IF('CONT. ESTOQUE'!$E426=0,"Sem Estoque",IF('CONT. ESTOQUE'!$E426&lt;'CONT. ESTOQUE'!$F426,"Estoque Perigoso","Estoque Confortável")),"")</f>
        <v>Sem Estoque</v>
      </c>
      <c r="H426" s="93">
        <f>SUMIF(SAÍDAS!$C$7:$C$289,'CONT. ESTOQUE'!$B426,SAÍDAS!$L$7:$L$289)</f>
        <v>0</v>
      </c>
      <c r="I426" s="93">
        <f>SUMIF(ENTRADAS!$C$8:$C$1002,'CONT. ESTOQUE'!$B426,ENTRADAS!$H$7:$H$1002)</f>
        <v>0</v>
      </c>
      <c r="J426" s="94">
        <f>'CONT. ESTOQUE'!$H426-'CONT. ESTOQUE'!$I426</f>
        <v>0</v>
      </c>
    </row>
    <row r="427" spans="2:10" ht="15.75" customHeight="1">
      <c r="B427" s="91">
        <f>PROD!B427</f>
        <v>0</v>
      </c>
      <c r="C427" s="92">
        <f>IF('CONT. ESTOQUE'!$B427&lt;&gt;"",SUMIF(ENTRADAS!$C$7:$C$1002,'CONT. ESTOQUE'!$B427,ENTRADAS!$E$7:$E$1002),"")</f>
        <v>0</v>
      </c>
      <c r="D427" s="92">
        <f>IF('CONT. ESTOQUE'!$B427&lt;&gt;"",SUMIF(SAÍDAS!$C$7:$C$800,'CONT. ESTOQUE'!$B427,SAÍDAS!$J$7:$J$800),"")</f>
        <v>0</v>
      </c>
      <c r="E427" s="92">
        <f>IFERROR('CONT. ESTOQUE'!$C427-'CONT. ESTOQUE'!$D427,"")</f>
        <v>0</v>
      </c>
      <c r="F427" s="92" t="str">
        <f>IFERROR(VLOOKUP('CONT. ESTOQUE'!$B427,PROD!$B$6:$G$1095,4,0),"")</f>
        <v/>
      </c>
      <c r="G427" s="92" t="str">
        <f>IF('CONT. ESTOQUE'!$B427&lt;&gt;"",IF('CONT. ESTOQUE'!$E427=0,"Sem Estoque",IF('CONT. ESTOQUE'!$E427&lt;'CONT. ESTOQUE'!$F427,"Estoque Perigoso","Estoque Confortável")),"")</f>
        <v>Sem Estoque</v>
      </c>
      <c r="H427" s="93">
        <f>SUMIF(SAÍDAS!$C$7:$C$289,'CONT. ESTOQUE'!$B427,SAÍDAS!$L$7:$L$289)</f>
        <v>0</v>
      </c>
      <c r="I427" s="93">
        <f>SUMIF(ENTRADAS!$C$8:$C$1002,'CONT. ESTOQUE'!$B427,ENTRADAS!$H$7:$H$1002)</f>
        <v>0</v>
      </c>
      <c r="J427" s="94">
        <f>'CONT. ESTOQUE'!$H427-'CONT. ESTOQUE'!$I427</f>
        <v>0</v>
      </c>
    </row>
    <row r="428" spans="2:10" ht="15.75" customHeight="1">
      <c r="B428" s="91">
        <f>PROD!B428</f>
        <v>0</v>
      </c>
      <c r="C428" s="92">
        <f>IF('CONT. ESTOQUE'!$B428&lt;&gt;"",SUMIF(ENTRADAS!$C$7:$C$1002,'CONT. ESTOQUE'!$B428,ENTRADAS!$E$7:$E$1002),"")</f>
        <v>0</v>
      </c>
      <c r="D428" s="92">
        <f>IF('CONT. ESTOQUE'!$B428&lt;&gt;"",SUMIF(SAÍDAS!$C$7:$C$800,'CONT. ESTOQUE'!$B428,SAÍDAS!$J$7:$J$800),"")</f>
        <v>0</v>
      </c>
      <c r="E428" s="92">
        <f>IFERROR('CONT. ESTOQUE'!$C428-'CONT. ESTOQUE'!$D428,"")</f>
        <v>0</v>
      </c>
      <c r="F428" s="92" t="str">
        <f>IFERROR(VLOOKUP('CONT. ESTOQUE'!$B428,PROD!$B$6:$G$1095,4,0),"")</f>
        <v/>
      </c>
      <c r="G428" s="92" t="str">
        <f>IF('CONT. ESTOQUE'!$B428&lt;&gt;"",IF('CONT. ESTOQUE'!$E428=0,"Sem Estoque",IF('CONT. ESTOQUE'!$E428&lt;'CONT. ESTOQUE'!$F428,"Estoque Perigoso","Estoque Confortável")),"")</f>
        <v>Sem Estoque</v>
      </c>
      <c r="H428" s="93">
        <f>SUMIF(SAÍDAS!$C$7:$C$289,'CONT. ESTOQUE'!$B428,SAÍDAS!$L$7:$L$289)</f>
        <v>0</v>
      </c>
      <c r="I428" s="93">
        <f>SUMIF(ENTRADAS!$C$8:$C$1002,'CONT. ESTOQUE'!$B428,ENTRADAS!$H$7:$H$1002)</f>
        <v>0</v>
      </c>
      <c r="J428" s="94">
        <f>'CONT. ESTOQUE'!$H428-'CONT. ESTOQUE'!$I428</f>
        <v>0</v>
      </c>
    </row>
    <row r="429" spans="2:10" ht="15.75" customHeight="1">
      <c r="B429" s="91">
        <f>PROD!B429</f>
        <v>0</v>
      </c>
      <c r="C429" s="92">
        <f>IF('CONT. ESTOQUE'!$B429&lt;&gt;"",SUMIF(ENTRADAS!$C$7:$C$1002,'CONT. ESTOQUE'!$B429,ENTRADAS!$E$7:$E$1002),"")</f>
        <v>0</v>
      </c>
      <c r="D429" s="92">
        <f>IF('CONT. ESTOQUE'!$B429&lt;&gt;"",SUMIF(SAÍDAS!$C$7:$C$800,'CONT. ESTOQUE'!$B429,SAÍDAS!$J$7:$J$800),"")</f>
        <v>0</v>
      </c>
      <c r="E429" s="92">
        <f>IFERROR('CONT. ESTOQUE'!$C429-'CONT. ESTOQUE'!$D429,"")</f>
        <v>0</v>
      </c>
      <c r="F429" s="92" t="str">
        <f>IFERROR(VLOOKUP('CONT. ESTOQUE'!$B429,PROD!$B$6:$G$1095,4,0),"")</f>
        <v/>
      </c>
      <c r="G429" s="92" t="str">
        <f>IF('CONT. ESTOQUE'!$B429&lt;&gt;"",IF('CONT. ESTOQUE'!$E429=0,"Sem Estoque",IF('CONT. ESTOQUE'!$E429&lt;'CONT. ESTOQUE'!$F429,"Estoque Perigoso","Estoque Confortável")),"")</f>
        <v>Sem Estoque</v>
      </c>
      <c r="H429" s="93">
        <f>SUMIF(SAÍDAS!$C$7:$C$289,'CONT. ESTOQUE'!$B429,SAÍDAS!$L$7:$L$289)</f>
        <v>0</v>
      </c>
      <c r="I429" s="93">
        <f>SUMIF(ENTRADAS!$C$8:$C$1002,'CONT. ESTOQUE'!$B429,ENTRADAS!$H$7:$H$1002)</f>
        <v>0</v>
      </c>
      <c r="J429" s="94">
        <f>'CONT. ESTOQUE'!$H429-'CONT. ESTOQUE'!$I429</f>
        <v>0</v>
      </c>
    </row>
    <row r="430" spans="2:10" ht="15.75" customHeight="1">
      <c r="B430" s="91">
        <f>PROD!B430</f>
        <v>0</v>
      </c>
      <c r="C430" s="92">
        <f>IF('CONT. ESTOQUE'!$B430&lt;&gt;"",SUMIF(ENTRADAS!$C$7:$C$1002,'CONT. ESTOQUE'!$B430,ENTRADAS!$E$7:$E$1002),"")</f>
        <v>0</v>
      </c>
      <c r="D430" s="92">
        <f>IF('CONT. ESTOQUE'!$B430&lt;&gt;"",SUMIF(SAÍDAS!$C$7:$C$800,'CONT. ESTOQUE'!$B430,SAÍDAS!$J$7:$J$800),"")</f>
        <v>0</v>
      </c>
      <c r="E430" s="92">
        <f>IFERROR('CONT. ESTOQUE'!$C430-'CONT. ESTOQUE'!$D430,"")</f>
        <v>0</v>
      </c>
      <c r="F430" s="92" t="str">
        <f>IFERROR(VLOOKUP('CONT. ESTOQUE'!$B430,PROD!$B$6:$G$1095,4,0),"")</f>
        <v/>
      </c>
      <c r="G430" s="92" t="str">
        <f>IF('CONT. ESTOQUE'!$B430&lt;&gt;"",IF('CONT. ESTOQUE'!$E430=0,"Sem Estoque",IF('CONT. ESTOQUE'!$E430&lt;'CONT. ESTOQUE'!$F430,"Estoque Perigoso","Estoque Confortável")),"")</f>
        <v>Sem Estoque</v>
      </c>
      <c r="H430" s="93">
        <f>SUMIF(SAÍDAS!$C$7:$C$289,'CONT. ESTOQUE'!$B430,SAÍDAS!$L$7:$L$289)</f>
        <v>0</v>
      </c>
      <c r="I430" s="93">
        <f>SUMIF(ENTRADAS!$C$8:$C$1002,'CONT. ESTOQUE'!$B430,ENTRADAS!$H$7:$H$1002)</f>
        <v>0</v>
      </c>
      <c r="J430" s="94">
        <f>'CONT. ESTOQUE'!$H430-'CONT. ESTOQUE'!$I430</f>
        <v>0</v>
      </c>
    </row>
    <row r="431" spans="2:10" ht="15.75" customHeight="1">
      <c r="B431" s="91">
        <f>PROD!B431</f>
        <v>0</v>
      </c>
      <c r="C431" s="92">
        <f>IF('CONT. ESTOQUE'!$B431&lt;&gt;"",SUMIF(ENTRADAS!$C$7:$C$1002,'CONT. ESTOQUE'!$B431,ENTRADAS!$E$7:$E$1002),"")</f>
        <v>0</v>
      </c>
      <c r="D431" s="92">
        <f>IF('CONT. ESTOQUE'!$B431&lt;&gt;"",SUMIF(SAÍDAS!$C$7:$C$800,'CONT. ESTOQUE'!$B431,SAÍDAS!$J$7:$J$800),"")</f>
        <v>0</v>
      </c>
      <c r="E431" s="92">
        <f>IFERROR('CONT. ESTOQUE'!$C431-'CONT. ESTOQUE'!$D431,"")</f>
        <v>0</v>
      </c>
      <c r="F431" s="92" t="str">
        <f>IFERROR(VLOOKUP('CONT. ESTOQUE'!$B431,PROD!$B$6:$G$1095,4,0),"")</f>
        <v/>
      </c>
      <c r="G431" s="92" t="str">
        <f>IF('CONT. ESTOQUE'!$B431&lt;&gt;"",IF('CONT. ESTOQUE'!$E431=0,"Sem Estoque",IF('CONT. ESTOQUE'!$E431&lt;'CONT. ESTOQUE'!$F431,"Estoque Perigoso","Estoque Confortável")),"")</f>
        <v>Sem Estoque</v>
      </c>
      <c r="H431" s="93">
        <f>SUMIF(SAÍDAS!$C$7:$C$289,'CONT. ESTOQUE'!$B431,SAÍDAS!$L$7:$L$289)</f>
        <v>0</v>
      </c>
      <c r="I431" s="93">
        <f>SUMIF(ENTRADAS!$C$8:$C$1002,'CONT. ESTOQUE'!$B431,ENTRADAS!$H$7:$H$1002)</f>
        <v>0</v>
      </c>
      <c r="J431" s="94">
        <f>'CONT. ESTOQUE'!$H431-'CONT. ESTOQUE'!$I431</f>
        <v>0</v>
      </c>
    </row>
    <row r="432" spans="2:10" ht="15.75" customHeight="1">
      <c r="B432" s="91">
        <f>PROD!B432</f>
        <v>0</v>
      </c>
      <c r="C432" s="92">
        <f>IF('CONT. ESTOQUE'!$B432&lt;&gt;"",SUMIF(ENTRADAS!$C$7:$C$1002,'CONT. ESTOQUE'!$B432,ENTRADAS!$E$7:$E$1002),"")</f>
        <v>0</v>
      </c>
      <c r="D432" s="92">
        <f>IF('CONT. ESTOQUE'!$B432&lt;&gt;"",SUMIF(SAÍDAS!$C$7:$C$800,'CONT. ESTOQUE'!$B432,SAÍDAS!$J$7:$J$800),"")</f>
        <v>0</v>
      </c>
      <c r="E432" s="92">
        <f>IFERROR('CONT. ESTOQUE'!$C432-'CONT. ESTOQUE'!$D432,"")</f>
        <v>0</v>
      </c>
      <c r="F432" s="92" t="str">
        <f>IFERROR(VLOOKUP('CONT. ESTOQUE'!$B432,PROD!$B$6:$G$1095,4,0),"")</f>
        <v/>
      </c>
      <c r="G432" s="92" t="str">
        <f>IF('CONT. ESTOQUE'!$B432&lt;&gt;"",IF('CONT. ESTOQUE'!$E432=0,"Sem Estoque",IF('CONT. ESTOQUE'!$E432&lt;'CONT. ESTOQUE'!$F432,"Estoque Perigoso","Estoque Confortável")),"")</f>
        <v>Sem Estoque</v>
      </c>
      <c r="H432" s="93">
        <f>SUMIF(SAÍDAS!$C$7:$C$289,'CONT. ESTOQUE'!$B432,SAÍDAS!$L$7:$L$289)</f>
        <v>0</v>
      </c>
      <c r="I432" s="93">
        <f>SUMIF(ENTRADAS!$C$8:$C$1002,'CONT. ESTOQUE'!$B432,ENTRADAS!$H$7:$H$1002)</f>
        <v>0</v>
      </c>
      <c r="J432" s="94">
        <f>'CONT. ESTOQUE'!$H432-'CONT. ESTOQUE'!$I432</f>
        <v>0</v>
      </c>
    </row>
    <row r="433" spans="2:10" ht="15.75" customHeight="1">
      <c r="B433" s="91">
        <f>PROD!B433</f>
        <v>0</v>
      </c>
      <c r="C433" s="92">
        <f>IF('CONT. ESTOQUE'!$B433&lt;&gt;"",SUMIF(ENTRADAS!$C$7:$C$1002,'CONT. ESTOQUE'!$B433,ENTRADAS!$E$7:$E$1002),"")</f>
        <v>0</v>
      </c>
      <c r="D433" s="92">
        <f>IF('CONT. ESTOQUE'!$B433&lt;&gt;"",SUMIF(SAÍDAS!$C$7:$C$800,'CONT. ESTOQUE'!$B433,SAÍDAS!$J$7:$J$800),"")</f>
        <v>0</v>
      </c>
      <c r="E433" s="92">
        <f>IFERROR('CONT. ESTOQUE'!$C433-'CONT. ESTOQUE'!$D433,"")</f>
        <v>0</v>
      </c>
      <c r="F433" s="92" t="str">
        <f>IFERROR(VLOOKUP('CONT. ESTOQUE'!$B433,PROD!$B$6:$G$1095,4,0),"")</f>
        <v/>
      </c>
      <c r="G433" s="92" t="str">
        <f>IF('CONT. ESTOQUE'!$B433&lt;&gt;"",IF('CONT. ESTOQUE'!$E433=0,"Sem Estoque",IF('CONT. ESTOQUE'!$E433&lt;'CONT. ESTOQUE'!$F433,"Estoque Perigoso","Estoque Confortável")),"")</f>
        <v>Sem Estoque</v>
      </c>
      <c r="H433" s="93">
        <f>SUMIF(SAÍDAS!$C$7:$C$289,'CONT. ESTOQUE'!$B433,SAÍDAS!$L$7:$L$289)</f>
        <v>0</v>
      </c>
      <c r="I433" s="93">
        <f>SUMIF(ENTRADAS!$C$8:$C$1002,'CONT. ESTOQUE'!$B433,ENTRADAS!$H$7:$H$1002)</f>
        <v>0</v>
      </c>
      <c r="J433" s="94">
        <f>'CONT. ESTOQUE'!$H433-'CONT. ESTOQUE'!$I433</f>
        <v>0</v>
      </c>
    </row>
    <row r="434" spans="2:10" ht="15.75" customHeight="1">
      <c r="B434" s="91">
        <f>PROD!B434</f>
        <v>0</v>
      </c>
      <c r="C434" s="92">
        <f>IF('CONT. ESTOQUE'!$B434&lt;&gt;"",SUMIF(ENTRADAS!$C$7:$C$1002,'CONT. ESTOQUE'!$B434,ENTRADAS!$E$7:$E$1002),"")</f>
        <v>0</v>
      </c>
      <c r="D434" s="92">
        <f>IF('CONT. ESTOQUE'!$B434&lt;&gt;"",SUMIF(SAÍDAS!$C$7:$C$800,'CONT. ESTOQUE'!$B434,SAÍDAS!$J$7:$J$800),"")</f>
        <v>0</v>
      </c>
      <c r="E434" s="92">
        <f>IFERROR('CONT. ESTOQUE'!$C434-'CONT. ESTOQUE'!$D434,"")</f>
        <v>0</v>
      </c>
      <c r="F434" s="92" t="str">
        <f>IFERROR(VLOOKUP('CONT. ESTOQUE'!$B434,PROD!$B$6:$G$1095,4,0),"")</f>
        <v/>
      </c>
      <c r="G434" s="92" t="str">
        <f>IF('CONT. ESTOQUE'!$B434&lt;&gt;"",IF('CONT. ESTOQUE'!$E434=0,"Sem Estoque",IF('CONT. ESTOQUE'!$E434&lt;'CONT. ESTOQUE'!$F434,"Estoque Perigoso","Estoque Confortável")),"")</f>
        <v>Sem Estoque</v>
      </c>
      <c r="H434" s="93">
        <f>SUMIF(SAÍDAS!$C$7:$C$289,'CONT. ESTOQUE'!$B434,SAÍDAS!$L$7:$L$289)</f>
        <v>0</v>
      </c>
      <c r="I434" s="93">
        <f>SUMIF(ENTRADAS!$C$8:$C$1002,'CONT. ESTOQUE'!$B434,ENTRADAS!$H$7:$H$1002)</f>
        <v>0</v>
      </c>
      <c r="J434" s="94">
        <f>'CONT. ESTOQUE'!$H434-'CONT. ESTOQUE'!$I434</f>
        <v>0</v>
      </c>
    </row>
    <row r="435" spans="2:10" ht="15.75" customHeight="1">
      <c r="B435" s="91">
        <f>PROD!B435</f>
        <v>0</v>
      </c>
      <c r="C435" s="92">
        <f>IF('CONT. ESTOQUE'!$B435&lt;&gt;"",SUMIF(ENTRADAS!$C$7:$C$1002,'CONT. ESTOQUE'!$B435,ENTRADAS!$E$7:$E$1002),"")</f>
        <v>0</v>
      </c>
      <c r="D435" s="92">
        <f>IF('CONT. ESTOQUE'!$B435&lt;&gt;"",SUMIF(SAÍDAS!$C$7:$C$800,'CONT. ESTOQUE'!$B435,SAÍDAS!$J$7:$J$800),"")</f>
        <v>0</v>
      </c>
      <c r="E435" s="92">
        <f>IFERROR('CONT. ESTOQUE'!$C435-'CONT. ESTOQUE'!$D435,"")</f>
        <v>0</v>
      </c>
      <c r="F435" s="92" t="str">
        <f>IFERROR(VLOOKUP('CONT. ESTOQUE'!$B435,PROD!$B$6:$G$1095,4,0),"")</f>
        <v/>
      </c>
      <c r="G435" s="92" t="str">
        <f>IF('CONT. ESTOQUE'!$B435&lt;&gt;"",IF('CONT. ESTOQUE'!$E435=0,"Sem Estoque",IF('CONT. ESTOQUE'!$E435&lt;'CONT. ESTOQUE'!$F435,"Estoque Perigoso","Estoque Confortável")),"")</f>
        <v>Sem Estoque</v>
      </c>
      <c r="H435" s="93">
        <f>SUMIF(SAÍDAS!$C$7:$C$289,'CONT. ESTOQUE'!$B435,SAÍDAS!$L$7:$L$289)</f>
        <v>0</v>
      </c>
      <c r="I435" s="93">
        <f>SUMIF(ENTRADAS!$C$8:$C$1002,'CONT. ESTOQUE'!$B435,ENTRADAS!$H$7:$H$1002)</f>
        <v>0</v>
      </c>
      <c r="J435" s="94">
        <f>'CONT. ESTOQUE'!$H435-'CONT. ESTOQUE'!$I435</f>
        <v>0</v>
      </c>
    </row>
    <row r="436" spans="2:10" ht="15.75" customHeight="1">
      <c r="B436" s="91">
        <f>PROD!B436</f>
        <v>0</v>
      </c>
      <c r="C436" s="92">
        <f>IF('CONT. ESTOQUE'!$B436&lt;&gt;"",SUMIF(ENTRADAS!$C$7:$C$1002,'CONT. ESTOQUE'!$B436,ENTRADAS!$E$7:$E$1002),"")</f>
        <v>0</v>
      </c>
      <c r="D436" s="92">
        <f>IF('CONT. ESTOQUE'!$B436&lt;&gt;"",SUMIF(SAÍDAS!$C$7:$C$800,'CONT. ESTOQUE'!$B436,SAÍDAS!$J$7:$J$800),"")</f>
        <v>0</v>
      </c>
      <c r="E436" s="92">
        <f>IFERROR('CONT. ESTOQUE'!$C436-'CONT. ESTOQUE'!$D436,"")</f>
        <v>0</v>
      </c>
      <c r="F436" s="92" t="str">
        <f>IFERROR(VLOOKUP('CONT. ESTOQUE'!$B436,PROD!$B$6:$G$1095,4,0),"")</f>
        <v/>
      </c>
      <c r="G436" s="92" t="str">
        <f>IF('CONT. ESTOQUE'!$B436&lt;&gt;"",IF('CONT. ESTOQUE'!$E436=0,"Sem Estoque",IF('CONT. ESTOQUE'!$E436&lt;'CONT. ESTOQUE'!$F436,"Estoque Perigoso","Estoque Confortável")),"")</f>
        <v>Sem Estoque</v>
      </c>
      <c r="H436" s="93">
        <f>SUMIF(SAÍDAS!$C$7:$C$289,'CONT. ESTOQUE'!$B436,SAÍDAS!$L$7:$L$289)</f>
        <v>0</v>
      </c>
      <c r="I436" s="93">
        <f>SUMIF(ENTRADAS!$C$8:$C$1002,'CONT. ESTOQUE'!$B436,ENTRADAS!$H$7:$H$1002)</f>
        <v>0</v>
      </c>
      <c r="J436" s="94">
        <f>'CONT. ESTOQUE'!$H436-'CONT. ESTOQUE'!$I436</f>
        <v>0</v>
      </c>
    </row>
    <row r="437" spans="2:10" ht="15.75" customHeight="1">
      <c r="B437" s="91">
        <f>PROD!B437</f>
        <v>0</v>
      </c>
      <c r="C437" s="92">
        <f>IF('CONT. ESTOQUE'!$B437&lt;&gt;"",SUMIF(ENTRADAS!$C$7:$C$1002,'CONT. ESTOQUE'!$B437,ENTRADAS!$E$7:$E$1002),"")</f>
        <v>0</v>
      </c>
      <c r="D437" s="92">
        <f>IF('CONT. ESTOQUE'!$B437&lt;&gt;"",SUMIF(SAÍDAS!$C$7:$C$800,'CONT. ESTOQUE'!$B437,SAÍDAS!$J$7:$J$800),"")</f>
        <v>0</v>
      </c>
      <c r="E437" s="92">
        <f>IFERROR('CONT. ESTOQUE'!$C437-'CONT. ESTOQUE'!$D437,"")</f>
        <v>0</v>
      </c>
      <c r="F437" s="92" t="str">
        <f>IFERROR(VLOOKUP('CONT. ESTOQUE'!$B437,PROD!$B$6:$G$1095,4,0),"")</f>
        <v/>
      </c>
      <c r="G437" s="92" t="str">
        <f>IF('CONT. ESTOQUE'!$B437&lt;&gt;"",IF('CONT. ESTOQUE'!$E437=0,"Sem Estoque",IF('CONT. ESTOQUE'!$E437&lt;'CONT. ESTOQUE'!$F437,"Estoque Perigoso","Estoque Confortável")),"")</f>
        <v>Sem Estoque</v>
      </c>
      <c r="H437" s="93">
        <f>SUMIF(SAÍDAS!$C$7:$C$289,'CONT. ESTOQUE'!$B437,SAÍDAS!$L$7:$L$289)</f>
        <v>0</v>
      </c>
      <c r="I437" s="93">
        <f>SUMIF(ENTRADAS!$C$8:$C$1002,'CONT. ESTOQUE'!$B437,ENTRADAS!$H$7:$H$1002)</f>
        <v>0</v>
      </c>
      <c r="J437" s="94">
        <f>'CONT. ESTOQUE'!$H437-'CONT. ESTOQUE'!$I437</f>
        <v>0</v>
      </c>
    </row>
    <row r="438" spans="2:10" ht="15.75" customHeight="1">
      <c r="B438" s="91">
        <f>PROD!B438</f>
        <v>0</v>
      </c>
      <c r="C438" s="92">
        <f>IF('CONT. ESTOQUE'!$B438&lt;&gt;"",SUMIF(ENTRADAS!$C$7:$C$1002,'CONT. ESTOQUE'!$B438,ENTRADAS!$E$7:$E$1002),"")</f>
        <v>0</v>
      </c>
      <c r="D438" s="92">
        <f>IF('CONT. ESTOQUE'!$B438&lt;&gt;"",SUMIF(SAÍDAS!$C$7:$C$800,'CONT. ESTOQUE'!$B438,SAÍDAS!$J$7:$J$800),"")</f>
        <v>0</v>
      </c>
      <c r="E438" s="92">
        <f>IFERROR('CONT. ESTOQUE'!$C438-'CONT. ESTOQUE'!$D438,"")</f>
        <v>0</v>
      </c>
      <c r="F438" s="92" t="str">
        <f>IFERROR(VLOOKUP('CONT. ESTOQUE'!$B438,PROD!$B$6:$G$1095,4,0),"")</f>
        <v/>
      </c>
      <c r="G438" s="92" t="str">
        <f>IF('CONT. ESTOQUE'!$B438&lt;&gt;"",IF('CONT. ESTOQUE'!$E438=0,"Sem Estoque",IF('CONT. ESTOQUE'!$E438&lt;'CONT. ESTOQUE'!$F438,"Estoque Perigoso","Estoque Confortável")),"")</f>
        <v>Sem Estoque</v>
      </c>
      <c r="H438" s="93">
        <f>SUMIF(SAÍDAS!$C$7:$C$289,'CONT. ESTOQUE'!$B438,SAÍDAS!$L$7:$L$289)</f>
        <v>0</v>
      </c>
      <c r="I438" s="93">
        <f>SUMIF(ENTRADAS!$C$8:$C$1002,'CONT. ESTOQUE'!$B438,ENTRADAS!$H$7:$H$1002)</f>
        <v>0</v>
      </c>
      <c r="J438" s="94">
        <f>'CONT. ESTOQUE'!$H438-'CONT. ESTOQUE'!$I438</f>
        <v>0</v>
      </c>
    </row>
    <row r="439" spans="2:10" ht="15.75" customHeight="1">
      <c r="B439" s="91">
        <f>PROD!B439</f>
        <v>0</v>
      </c>
      <c r="C439" s="92">
        <f>IF('CONT. ESTOQUE'!$B439&lt;&gt;"",SUMIF(ENTRADAS!$C$7:$C$1002,'CONT. ESTOQUE'!$B439,ENTRADAS!$E$7:$E$1002),"")</f>
        <v>0</v>
      </c>
      <c r="D439" s="92">
        <f>IF('CONT. ESTOQUE'!$B439&lt;&gt;"",SUMIF(SAÍDAS!$C$7:$C$800,'CONT. ESTOQUE'!$B439,SAÍDAS!$J$7:$J$800),"")</f>
        <v>0</v>
      </c>
      <c r="E439" s="92">
        <f>IFERROR('CONT. ESTOQUE'!$C439-'CONT. ESTOQUE'!$D439,"")</f>
        <v>0</v>
      </c>
      <c r="F439" s="92" t="str">
        <f>IFERROR(VLOOKUP('CONT. ESTOQUE'!$B439,PROD!$B$6:$G$1095,4,0),"")</f>
        <v/>
      </c>
      <c r="G439" s="92" t="str">
        <f>IF('CONT. ESTOQUE'!$B439&lt;&gt;"",IF('CONT. ESTOQUE'!$E439=0,"Sem Estoque",IF('CONT. ESTOQUE'!$E439&lt;'CONT. ESTOQUE'!$F439,"Estoque Perigoso","Estoque Confortável")),"")</f>
        <v>Sem Estoque</v>
      </c>
      <c r="H439" s="93">
        <f>SUMIF(SAÍDAS!$C$7:$C$289,'CONT. ESTOQUE'!$B439,SAÍDAS!$L$7:$L$289)</f>
        <v>0</v>
      </c>
      <c r="I439" s="93">
        <f>SUMIF(ENTRADAS!$C$8:$C$1002,'CONT. ESTOQUE'!$B439,ENTRADAS!$H$7:$H$1002)</f>
        <v>0</v>
      </c>
      <c r="J439" s="94">
        <f>'CONT. ESTOQUE'!$H439-'CONT. ESTOQUE'!$I439</f>
        <v>0</v>
      </c>
    </row>
    <row r="440" spans="2:10" ht="15.75" customHeight="1">
      <c r="B440" s="91">
        <f>PROD!B440</f>
        <v>0</v>
      </c>
      <c r="C440" s="92">
        <f>IF('CONT. ESTOQUE'!$B440&lt;&gt;"",SUMIF(ENTRADAS!$C$7:$C$1002,'CONT. ESTOQUE'!$B440,ENTRADAS!$E$7:$E$1002),"")</f>
        <v>0</v>
      </c>
      <c r="D440" s="92">
        <f>IF('CONT. ESTOQUE'!$B440&lt;&gt;"",SUMIF(SAÍDAS!$C$7:$C$800,'CONT. ESTOQUE'!$B440,SAÍDAS!$J$7:$J$800),"")</f>
        <v>0</v>
      </c>
      <c r="E440" s="92">
        <f>IFERROR('CONT. ESTOQUE'!$C440-'CONT. ESTOQUE'!$D440,"")</f>
        <v>0</v>
      </c>
      <c r="F440" s="92" t="str">
        <f>IFERROR(VLOOKUP('CONT. ESTOQUE'!$B440,PROD!$B$6:$G$1095,4,0),"")</f>
        <v/>
      </c>
      <c r="G440" s="92" t="str">
        <f>IF('CONT. ESTOQUE'!$B440&lt;&gt;"",IF('CONT. ESTOQUE'!$E440=0,"Sem Estoque",IF('CONT. ESTOQUE'!$E440&lt;'CONT. ESTOQUE'!$F440,"Estoque Perigoso","Estoque Confortável")),"")</f>
        <v>Sem Estoque</v>
      </c>
      <c r="H440" s="93">
        <f>SUMIF(SAÍDAS!$C$7:$C$289,'CONT. ESTOQUE'!$B440,SAÍDAS!$L$7:$L$289)</f>
        <v>0</v>
      </c>
      <c r="I440" s="93">
        <f>SUMIF(ENTRADAS!$C$8:$C$1002,'CONT. ESTOQUE'!$B440,ENTRADAS!$H$7:$H$1002)</f>
        <v>0</v>
      </c>
      <c r="J440" s="94">
        <f>'CONT. ESTOQUE'!$H440-'CONT. ESTOQUE'!$I440</f>
        <v>0</v>
      </c>
    </row>
    <row r="441" spans="2:10" ht="15.75" customHeight="1">
      <c r="B441" s="91">
        <f>PROD!B441</f>
        <v>0</v>
      </c>
      <c r="C441" s="92">
        <f>IF('CONT. ESTOQUE'!$B441&lt;&gt;"",SUMIF(ENTRADAS!$C$7:$C$1002,'CONT. ESTOQUE'!$B441,ENTRADAS!$E$7:$E$1002),"")</f>
        <v>0</v>
      </c>
      <c r="D441" s="92">
        <f>IF('CONT. ESTOQUE'!$B441&lt;&gt;"",SUMIF(SAÍDAS!$C$7:$C$800,'CONT. ESTOQUE'!$B441,SAÍDAS!$J$7:$J$800),"")</f>
        <v>0</v>
      </c>
      <c r="E441" s="92">
        <f>IFERROR('CONT. ESTOQUE'!$C441-'CONT. ESTOQUE'!$D441,"")</f>
        <v>0</v>
      </c>
      <c r="F441" s="92" t="str">
        <f>IFERROR(VLOOKUP('CONT. ESTOQUE'!$B441,PROD!$B$6:$G$1095,4,0),"")</f>
        <v/>
      </c>
      <c r="G441" s="92" t="str">
        <f>IF('CONT. ESTOQUE'!$B441&lt;&gt;"",IF('CONT. ESTOQUE'!$E441=0,"Sem Estoque",IF('CONT. ESTOQUE'!$E441&lt;'CONT. ESTOQUE'!$F441,"Estoque Perigoso","Estoque Confortável")),"")</f>
        <v>Sem Estoque</v>
      </c>
      <c r="H441" s="93">
        <f>SUMIF(SAÍDAS!$C$7:$C$289,'CONT. ESTOQUE'!$B441,SAÍDAS!$L$7:$L$289)</f>
        <v>0</v>
      </c>
      <c r="I441" s="93">
        <f>SUMIF(ENTRADAS!$C$8:$C$1002,'CONT. ESTOQUE'!$B441,ENTRADAS!$H$7:$H$1002)</f>
        <v>0</v>
      </c>
      <c r="J441" s="94">
        <f>'CONT. ESTOQUE'!$H441-'CONT. ESTOQUE'!$I441</f>
        <v>0</v>
      </c>
    </row>
    <row r="442" spans="2:10" ht="15.75" customHeight="1">
      <c r="B442" s="91">
        <f>PROD!B442</f>
        <v>0</v>
      </c>
      <c r="C442" s="92">
        <f>IF('CONT. ESTOQUE'!$B442&lt;&gt;"",SUMIF(ENTRADAS!$C$7:$C$1002,'CONT. ESTOQUE'!$B442,ENTRADAS!$E$7:$E$1002),"")</f>
        <v>0</v>
      </c>
      <c r="D442" s="92">
        <f>IF('CONT. ESTOQUE'!$B442&lt;&gt;"",SUMIF(SAÍDAS!$C$7:$C$800,'CONT. ESTOQUE'!$B442,SAÍDAS!$J$7:$J$800),"")</f>
        <v>0</v>
      </c>
      <c r="E442" s="92">
        <f>IFERROR('CONT. ESTOQUE'!$C442-'CONT. ESTOQUE'!$D442,"")</f>
        <v>0</v>
      </c>
      <c r="F442" s="92" t="str">
        <f>IFERROR(VLOOKUP('CONT. ESTOQUE'!$B442,PROD!$B$6:$G$1095,4,0),"")</f>
        <v/>
      </c>
      <c r="G442" s="92" t="str">
        <f>IF('CONT. ESTOQUE'!$B442&lt;&gt;"",IF('CONT. ESTOQUE'!$E442=0,"Sem Estoque",IF('CONT. ESTOQUE'!$E442&lt;'CONT. ESTOQUE'!$F442,"Estoque Perigoso","Estoque Confortável")),"")</f>
        <v>Sem Estoque</v>
      </c>
      <c r="H442" s="93">
        <f>SUMIF(SAÍDAS!$C$7:$C$289,'CONT. ESTOQUE'!$B442,SAÍDAS!$L$7:$L$289)</f>
        <v>0</v>
      </c>
      <c r="I442" s="93">
        <f>SUMIF(ENTRADAS!$C$8:$C$1002,'CONT. ESTOQUE'!$B442,ENTRADAS!$H$7:$H$1002)</f>
        <v>0</v>
      </c>
      <c r="J442" s="94">
        <f>'CONT. ESTOQUE'!$H442-'CONT. ESTOQUE'!$I442</f>
        <v>0</v>
      </c>
    </row>
    <row r="443" spans="2:10" ht="15.75" customHeight="1">
      <c r="B443" s="91">
        <f>PROD!B443</f>
        <v>0</v>
      </c>
      <c r="C443" s="92">
        <f>IF('CONT. ESTOQUE'!$B443&lt;&gt;"",SUMIF(ENTRADAS!$C$7:$C$1002,'CONT. ESTOQUE'!$B443,ENTRADAS!$E$7:$E$1002),"")</f>
        <v>0</v>
      </c>
      <c r="D443" s="92">
        <f>IF('CONT. ESTOQUE'!$B443&lt;&gt;"",SUMIF(SAÍDAS!$C$7:$C$800,'CONT. ESTOQUE'!$B443,SAÍDAS!$J$7:$J$800),"")</f>
        <v>0</v>
      </c>
      <c r="E443" s="92">
        <f>IFERROR('CONT. ESTOQUE'!$C443-'CONT. ESTOQUE'!$D443,"")</f>
        <v>0</v>
      </c>
      <c r="F443" s="92" t="str">
        <f>IFERROR(VLOOKUP('CONT. ESTOQUE'!$B443,PROD!$B$6:$G$1095,4,0),"")</f>
        <v/>
      </c>
      <c r="G443" s="92" t="str">
        <f>IF('CONT. ESTOQUE'!$B443&lt;&gt;"",IF('CONT. ESTOQUE'!$E443=0,"Sem Estoque",IF('CONT. ESTOQUE'!$E443&lt;'CONT. ESTOQUE'!$F443,"Estoque Perigoso","Estoque Confortável")),"")</f>
        <v>Sem Estoque</v>
      </c>
      <c r="H443" s="93">
        <f>SUMIF(SAÍDAS!$C$7:$C$289,'CONT. ESTOQUE'!$B443,SAÍDAS!$L$7:$L$289)</f>
        <v>0</v>
      </c>
      <c r="I443" s="93">
        <f>SUMIF(ENTRADAS!$C$8:$C$1002,'CONT. ESTOQUE'!$B443,ENTRADAS!$H$7:$H$1002)</f>
        <v>0</v>
      </c>
      <c r="J443" s="94">
        <f>'CONT. ESTOQUE'!$H443-'CONT. ESTOQUE'!$I443</f>
        <v>0</v>
      </c>
    </row>
    <row r="444" spans="2:10" ht="15.75" customHeight="1">
      <c r="B444" s="91">
        <f>PROD!B444</f>
        <v>0</v>
      </c>
      <c r="C444" s="92">
        <f>IF('CONT. ESTOQUE'!$B444&lt;&gt;"",SUMIF(ENTRADAS!$C$7:$C$1002,'CONT. ESTOQUE'!$B444,ENTRADAS!$E$7:$E$1002),"")</f>
        <v>0</v>
      </c>
      <c r="D444" s="92">
        <f>IF('CONT. ESTOQUE'!$B444&lt;&gt;"",SUMIF(SAÍDAS!$C$7:$C$800,'CONT. ESTOQUE'!$B444,SAÍDAS!$J$7:$J$800),"")</f>
        <v>0</v>
      </c>
      <c r="E444" s="92">
        <f>IFERROR('CONT. ESTOQUE'!$C444-'CONT. ESTOQUE'!$D444,"")</f>
        <v>0</v>
      </c>
      <c r="F444" s="92" t="str">
        <f>IFERROR(VLOOKUP('CONT. ESTOQUE'!$B444,PROD!$B$6:$G$1095,4,0),"")</f>
        <v/>
      </c>
      <c r="G444" s="92" t="str">
        <f>IF('CONT. ESTOQUE'!$B444&lt;&gt;"",IF('CONT. ESTOQUE'!$E444=0,"Sem Estoque",IF('CONT. ESTOQUE'!$E444&lt;'CONT. ESTOQUE'!$F444,"Estoque Perigoso","Estoque Confortável")),"")</f>
        <v>Sem Estoque</v>
      </c>
      <c r="H444" s="93">
        <f>SUMIF(SAÍDAS!$C$7:$C$289,'CONT. ESTOQUE'!$B444,SAÍDAS!$L$7:$L$289)</f>
        <v>0</v>
      </c>
      <c r="I444" s="93">
        <f>SUMIF(ENTRADAS!$C$8:$C$1002,'CONT. ESTOQUE'!$B444,ENTRADAS!$H$7:$H$1002)</f>
        <v>0</v>
      </c>
      <c r="J444" s="94">
        <f>'CONT. ESTOQUE'!$H444-'CONT. ESTOQUE'!$I444</f>
        <v>0</v>
      </c>
    </row>
    <row r="445" spans="2:10" ht="15.75" customHeight="1">
      <c r="B445" s="91">
        <f>PROD!B445</f>
        <v>0</v>
      </c>
      <c r="C445" s="92">
        <f>IF('CONT. ESTOQUE'!$B445&lt;&gt;"",SUMIF(ENTRADAS!$C$7:$C$1002,'CONT. ESTOQUE'!$B445,ENTRADAS!$E$7:$E$1002),"")</f>
        <v>0</v>
      </c>
      <c r="D445" s="92">
        <f>IF('CONT. ESTOQUE'!$B445&lt;&gt;"",SUMIF(SAÍDAS!$C$7:$C$800,'CONT. ESTOQUE'!$B445,SAÍDAS!$J$7:$J$800),"")</f>
        <v>0</v>
      </c>
      <c r="E445" s="92">
        <f>IFERROR('CONT. ESTOQUE'!$C445-'CONT. ESTOQUE'!$D445,"")</f>
        <v>0</v>
      </c>
      <c r="F445" s="92" t="str">
        <f>IFERROR(VLOOKUP('CONT. ESTOQUE'!$B445,PROD!$B$6:$G$1095,4,0),"")</f>
        <v/>
      </c>
      <c r="G445" s="92" t="str">
        <f>IF('CONT. ESTOQUE'!$B445&lt;&gt;"",IF('CONT. ESTOQUE'!$E445=0,"Sem Estoque",IF('CONT. ESTOQUE'!$E445&lt;'CONT. ESTOQUE'!$F445,"Estoque Perigoso","Estoque Confortável")),"")</f>
        <v>Sem Estoque</v>
      </c>
      <c r="H445" s="93">
        <f>SUMIF(SAÍDAS!$C$7:$C$289,'CONT. ESTOQUE'!$B445,SAÍDAS!$L$7:$L$289)</f>
        <v>0</v>
      </c>
      <c r="I445" s="93">
        <f>SUMIF(ENTRADAS!$C$8:$C$1002,'CONT. ESTOQUE'!$B445,ENTRADAS!$H$7:$H$1002)</f>
        <v>0</v>
      </c>
      <c r="J445" s="94">
        <f>'CONT. ESTOQUE'!$H445-'CONT. ESTOQUE'!$I445</f>
        <v>0</v>
      </c>
    </row>
    <row r="446" spans="2:10" ht="15.75" customHeight="1">
      <c r="B446" s="91">
        <f>PROD!B446</f>
        <v>0</v>
      </c>
      <c r="C446" s="92">
        <f>IF('CONT. ESTOQUE'!$B446&lt;&gt;"",SUMIF(ENTRADAS!$C$7:$C$1002,'CONT. ESTOQUE'!$B446,ENTRADAS!$E$7:$E$1002),"")</f>
        <v>0</v>
      </c>
      <c r="D446" s="92">
        <f>IF('CONT. ESTOQUE'!$B446&lt;&gt;"",SUMIF(SAÍDAS!$C$7:$C$800,'CONT. ESTOQUE'!$B446,SAÍDAS!$J$7:$J$800),"")</f>
        <v>0</v>
      </c>
      <c r="E446" s="92">
        <f>IFERROR('CONT. ESTOQUE'!$C446-'CONT. ESTOQUE'!$D446,"")</f>
        <v>0</v>
      </c>
      <c r="F446" s="92" t="str">
        <f>IFERROR(VLOOKUP('CONT. ESTOQUE'!$B446,PROD!$B$6:$G$1095,4,0),"")</f>
        <v/>
      </c>
      <c r="G446" s="92" t="str">
        <f>IF('CONT. ESTOQUE'!$B446&lt;&gt;"",IF('CONT. ESTOQUE'!$E446=0,"Sem Estoque",IF('CONT. ESTOQUE'!$E446&lt;'CONT. ESTOQUE'!$F446,"Estoque Perigoso","Estoque Confortável")),"")</f>
        <v>Sem Estoque</v>
      </c>
      <c r="H446" s="93">
        <f>SUMIF(SAÍDAS!$C$7:$C$289,'CONT. ESTOQUE'!$B446,SAÍDAS!$L$7:$L$289)</f>
        <v>0</v>
      </c>
      <c r="I446" s="93">
        <f>SUMIF(ENTRADAS!$C$8:$C$1002,'CONT. ESTOQUE'!$B446,ENTRADAS!$H$7:$H$1002)</f>
        <v>0</v>
      </c>
      <c r="J446" s="94">
        <f>'CONT. ESTOQUE'!$H446-'CONT. ESTOQUE'!$I446</f>
        <v>0</v>
      </c>
    </row>
    <row r="447" spans="2:10" ht="15.75" customHeight="1">
      <c r="B447" s="91">
        <f>PROD!B447</f>
        <v>0</v>
      </c>
      <c r="C447" s="92">
        <f>IF('CONT. ESTOQUE'!$B447&lt;&gt;"",SUMIF(ENTRADAS!$C$7:$C$1002,'CONT. ESTOQUE'!$B447,ENTRADAS!$E$7:$E$1002),"")</f>
        <v>0</v>
      </c>
      <c r="D447" s="92">
        <f>IF('CONT. ESTOQUE'!$B447&lt;&gt;"",SUMIF(SAÍDAS!$C$7:$C$800,'CONT. ESTOQUE'!$B447,SAÍDAS!$J$7:$J$800),"")</f>
        <v>0</v>
      </c>
      <c r="E447" s="92">
        <f>IFERROR('CONT. ESTOQUE'!$C447-'CONT. ESTOQUE'!$D447,"")</f>
        <v>0</v>
      </c>
      <c r="F447" s="92" t="str">
        <f>IFERROR(VLOOKUP('CONT. ESTOQUE'!$B447,PROD!$B$6:$G$1095,4,0),"")</f>
        <v/>
      </c>
      <c r="G447" s="92" t="str">
        <f>IF('CONT. ESTOQUE'!$B447&lt;&gt;"",IF('CONT. ESTOQUE'!$E447=0,"Sem Estoque",IF('CONT. ESTOQUE'!$E447&lt;'CONT. ESTOQUE'!$F447,"Estoque Perigoso","Estoque Confortável")),"")</f>
        <v>Sem Estoque</v>
      </c>
      <c r="H447" s="93">
        <f>SUMIF(SAÍDAS!$C$7:$C$289,'CONT. ESTOQUE'!$B447,SAÍDAS!$L$7:$L$289)</f>
        <v>0</v>
      </c>
      <c r="I447" s="93">
        <f>SUMIF(ENTRADAS!$C$8:$C$1002,'CONT. ESTOQUE'!$B447,ENTRADAS!$H$7:$H$1002)</f>
        <v>0</v>
      </c>
      <c r="J447" s="94">
        <f>'CONT. ESTOQUE'!$H447-'CONT. ESTOQUE'!$I447</f>
        <v>0</v>
      </c>
    </row>
    <row r="448" spans="2:10" ht="15.75" customHeight="1">
      <c r="B448" s="91">
        <f>PROD!B448</f>
        <v>0</v>
      </c>
      <c r="C448" s="92">
        <f>IF('CONT. ESTOQUE'!$B448&lt;&gt;"",SUMIF(ENTRADAS!$C$7:$C$1002,'CONT. ESTOQUE'!$B448,ENTRADAS!$E$7:$E$1002),"")</f>
        <v>0</v>
      </c>
      <c r="D448" s="92">
        <f>IF('CONT. ESTOQUE'!$B448&lt;&gt;"",SUMIF(SAÍDAS!$C$7:$C$800,'CONT. ESTOQUE'!$B448,SAÍDAS!$J$7:$J$800),"")</f>
        <v>0</v>
      </c>
      <c r="E448" s="92">
        <f>IFERROR('CONT. ESTOQUE'!$C448-'CONT. ESTOQUE'!$D448,"")</f>
        <v>0</v>
      </c>
      <c r="F448" s="92" t="str">
        <f>IFERROR(VLOOKUP('CONT. ESTOQUE'!$B448,PROD!$B$6:$G$1095,4,0),"")</f>
        <v/>
      </c>
      <c r="G448" s="92" t="str">
        <f>IF('CONT. ESTOQUE'!$B448&lt;&gt;"",IF('CONT. ESTOQUE'!$E448=0,"Sem Estoque",IF('CONT. ESTOQUE'!$E448&lt;'CONT. ESTOQUE'!$F448,"Estoque Perigoso","Estoque Confortável")),"")</f>
        <v>Sem Estoque</v>
      </c>
      <c r="H448" s="93">
        <f>SUMIF(SAÍDAS!$C$7:$C$289,'CONT. ESTOQUE'!$B448,SAÍDAS!$L$7:$L$289)</f>
        <v>0</v>
      </c>
      <c r="I448" s="93">
        <f>SUMIF(ENTRADAS!$C$8:$C$1002,'CONT. ESTOQUE'!$B448,ENTRADAS!$H$7:$H$1002)</f>
        <v>0</v>
      </c>
      <c r="J448" s="94">
        <f>'CONT. ESTOQUE'!$H448-'CONT. ESTOQUE'!$I448</f>
        <v>0</v>
      </c>
    </row>
    <row r="449" spans="2:10" ht="15.75" customHeight="1">
      <c r="B449" s="91">
        <f>PROD!B449</f>
        <v>0</v>
      </c>
      <c r="C449" s="92">
        <f>IF('CONT. ESTOQUE'!$B449&lt;&gt;"",SUMIF(ENTRADAS!$C$7:$C$1002,'CONT. ESTOQUE'!$B449,ENTRADAS!$E$7:$E$1002),"")</f>
        <v>0</v>
      </c>
      <c r="D449" s="92">
        <f>IF('CONT. ESTOQUE'!$B449&lt;&gt;"",SUMIF(SAÍDAS!$C$7:$C$800,'CONT. ESTOQUE'!$B449,SAÍDAS!$J$7:$J$800),"")</f>
        <v>0</v>
      </c>
      <c r="E449" s="92">
        <f>IFERROR('CONT. ESTOQUE'!$C449-'CONT. ESTOQUE'!$D449,"")</f>
        <v>0</v>
      </c>
      <c r="F449" s="92" t="str">
        <f>IFERROR(VLOOKUP('CONT. ESTOQUE'!$B449,PROD!$B$6:$G$1095,4,0),"")</f>
        <v/>
      </c>
      <c r="G449" s="92" t="str">
        <f>IF('CONT. ESTOQUE'!$B449&lt;&gt;"",IF('CONT. ESTOQUE'!$E449=0,"Sem Estoque",IF('CONT. ESTOQUE'!$E449&lt;'CONT. ESTOQUE'!$F449,"Estoque Perigoso","Estoque Confortável")),"")</f>
        <v>Sem Estoque</v>
      </c>
      <c r="H449" s="93">
        <f>SUMIF(SAÍDAS!$C$7:$C$289,'CONT. ESTOQUE'!$B449,SAÍDAS!$L$7:$L$289)</f>
        <v>0</v>
      </c>
      <c r="I449" s="93">
        <f>SUMIF(ENTRADAS!$C$8:$C$1002,'CONT. ESTOQUE'!$B449,ENTRADAS!$H$7:$H$1002)</f>
        <v>0</v>
      </c>
      <c r="J449" s="94">
        <f>'CONT. ESTOQUE'!$H449-'CONT. ESTOQUE'!$I449</f>
        <v>0</v>
      </c>
    </row>
    <row r="450" spans="2:10" ht="15.75" customHeight="1">
      <c r="B450" s="91">
        <f>PROD!B450</f>
        <v>0</v>
      </c>
      <c r="C450" s="92">
        <f>IF('CONT. ESTOQUE'!$B450&lt;&gt;"",SUMIF(ENTRADAS!$C$7:$C$1002,'CONT. ESTOQUE'!$B450,ENTRADAS!$E$7:$E$1002),"")</f>
        <v>0</v>
      </c>
      <c r="D450" s="92">
        <f>IF('CONT. ESTOQUE'!$B450&lt;&gt;"",SUMIF(SAÍDAS!$C$7:$C$800,'CONT. ESTOQUE'!$B450,SAÍDAS!$J$7:$J$800),"")</f>
        <v>0</v>
      </c>
      <c r="E450" s="92">
        <f>IFERROR('CONT. ESTOQUE'!$C450-'CONT. ESTOQUE'!$D450,"")</f>
        <v>0</v>
      </c>
      <c r="F450" s="92" t="str">
        <f>IFERROR(VLOOKUP('CONT. ESTOQUE'!$B450,PROD!$B$6:$G$1095,4,0),"")</f>
        <v/>
      </c>
      <c r="G450" s="92" t="str">
        <f>IF('CONT. ESTOQUE'!$B450&lt;&gt;"",IF('CONT. ESTOQUE'!$E450=0,"Sem Estoque",IF('CONT. ESTOQUE'!$E450&lt;'CONT. ESTOQUE'!$F450,"Estoque Perigoso","Estoque Confortável")),"")</f>
        <v>Sem Estoque</v>
      </c>
      <c r="H450" s="93">
        <f>SUMIF(SAÍDAS!$C$7:$C$289,'CONT. ESTOQUE'!$B450,SAÍDAS!$L$7:$L$289)</f>
        <v>0</v>
      </c>
      <c r="I450" s="93">
        <f>SUMIF(ENTRADAS!$C$8:$C$1002,'CONT. ESTOQUE'!$B450,ENTRADAS!$H$7:$H$1002)</f>
        <v>0</v>
      </c>
      <c r="J450" s="94">
        <f>'CONT. ESTOQUE'!$H450-'CONT. ESTOQUE'!$I450</f>
        <v>0</v>
      </c>
    </row>
    <row r="451" spans="2:10" ht="15.75" customHeight="1">
      <c r="B451" s="91">
        <f>PROD!B451</f>
        <v>0</v>
      </c>
      <c r="C451" s="92">
        <f>IF('CONT. ESTOQUE'!$B451&lt;&gt;"",SUMIF(ENTRADAS!$C$7:$C$1002,'CONT. ESTOQUE'!$B451,ENTRADAS!$E$7:$E$1002),"")</f>
        <v>0</v>
      </c>
      <c r="D451" s="92">
        <f>IF('CONT. ESTOQUE'!$B451&lt;&gt;"",SUMIF(SAÍDAS!$C$7:$C$800,'CONT. ESTOQUE'!$B451,SAÍDAS!$J$7:$J$800),"")</f>
        <v>0</v>
      </c>
      <c r="E451" s="92">
        <f>IFERROR('CONT. ESTOQUE'!$C451-'CONT. ESTOQUE'!$D451,"")</f>
        <v>0</v>
      </c>
      <c r="F451" s="92" t="str">
        <f>IFERROR(VLOOKUP('CONT. ESTOQUE'!$B451,PROD!$B$6:$G$1095,4,0),"")</f>
        <v/>
      </c>
      <c r="G451" s="92" t="str">
        <f>IF('CONT. ESTOQUE'!$B451&lt;&gt;"",IF('CONT. ESTOQUE'!$E451=0,"Sem Estoque",IF('CONT. ESTOQUE'!$E451&lt;'CONT. ESTOQUE'!$F451,"Estoque Perigoso","Estoque Confortável")),"")</f>
        <v>Sem Estoque</v>
      </c>
      <c r="H451" s="93">
        <f>SUMIF(SAÍDAS!$C$7:$C$289,'CONT. ESTOQUE'!$B451,SAÍDAS!$L$7:$L$289)</f>
        <v>0</v>
      </c>
      <c r="I451" s="93">
        <f>SUMIF(ENTRADAS!$C$8:$C$1002,'CONT. ESTOQUE'!$B451,ENTRADAS!$H$7:$H$1002)</f>
        <v>0</v>
      </c>
      <c r="J451" s="94">
        <f>'CONT. ESTOQUE'!$H451-'CONT. ESTOQUE'!$I451</f>
        <v>0</v>
      </c>
    </row>
    <row r="452" spans="2:10" ht="15.75" customHeight="1">
      <c r="B452" s="91">
        <f>PROD!B452</f>
        <v>0</v>
      </c>
      <c r="C452" s="92">
        <f>IF('CONT. ESTOQUE'!$B452&lt;&gt;"",SUMIF(ENTRADAS!$C$7:$C$1002,'CONT. ESTOQUE'!$B452,ENTRADAS!$E$7:$E$1002),"")</f>
        <v>0</v>
      </c>
      <c r="D452" s="92">
        <f>IF('CONT. ESTOQUE'!$B452&lt;&gt;"",SUMIF(SAÍDAS!$C$7:$C$800,'CONT. ESTOQUE'!$B452,SAÍDAS!$J$7:$J$800),"")</f>
        <v>0</v>
      </c>
      <c r="E452" s="92">
        <f>IFERROR('CONT. ESTOQUE'!$C452-'CONT. ESTOQUE'!$D452,"")</f>
        <v>0</v>
      </c>
      <c r="F452" s="92" t="str">
        <f>IFERROR(VLOOKUP('CONT. ESTOQUE'!$B452,PROD!$B$6:$G$1095,4,0),"")</f>
        <v/>
      </c>
      <c r="G452" s="92" t="str">
        <f>IF('CONT. ESTOQUE'!$B452&lt;&gt;"",IF('CONT. ESTOQUE'!$E452=0,"Sem Estoque",IF('CONT. ESTOQUE'!$E452&lt;'CONT. ESTOQUE'!$F452,"Estoque Perigoso","Estoque Confortável")),"")</f>
        <v>Sem Estoque</v>
      </c>
      <c r="H452" s="93">
        <f>SUMIF(SAÍDAS!$C$7:$C$289,'CONT. ESTOQUE'!$B452,SAÍDAS!$L$7:$L$289)</f>
        <v>0</v>
      </c>
      <c r="I452" s="93">
        <f>SUMIF(ENTRADAS!$C$8:$C$1002,'CONT. ESTOQUE'!$B452,ENTRADAS!$H$7:$H$1002)</f>
        <v>0</v>
      </c>
      <c r="J452" s="94">
        <f>'CONT. ESTOQUE'!$H452-'CONT. ESTOQUE'!$I452</f>
        <v>0</v>
      </c>
    </row>
    <row r="453" spans="2:10" ht="15.75" customHeight="1">
      <c r="B453" s="91">
        <f>PROD!B453</f>
        <v>0</v>
      </c>
      <c r="C453" s="92">
        <f>IF('CONT. ESTOQUE'!$B453&lt;&gt;"",SUMIF(ENTRADAS!$C$7:$C$1002,'CONT. ESTOQUE'!$B453,ENTRADAS!$E$7:$E$1002),"")</f>
        <v>0</v>
      </c>
      <c r="D453" s="92">
        <f>IF('CONT. ESTOQUE'!$B453&lt;&gt;"",SUMIF(SAÍDAS!$C$7:$C$800,'CONT. ESTOQUE'!$B453,SAÍDAS!$J$7:$J$800),"")</f>
        <v>0</v>
      </c>
      <c r="E453" s="92">
        <f>IFERROR('CONT. ESTOQUE'!$C453-'CONT. ESTOQUE'!$D453,"")</f>
        <v>0</v>
      </c>
      <c r="F453" s="92" t="str">
        <f>IFERROR(VLOOKUP('CONT. ESTOQUE'!$B453,PROD!$B$6:$G$1095,4,0),"")</f>
        <v/>
      </c>
      <c r="G453" s="92" t="str">
        <f>IF('CONT. ESTOQUE'!$B453&lt;&gt;"",IF('CONT. ESTOQUE'!$E453=0,"Sem Estoque",IF('CONT. ESTOQUE'!$E453&lt;'CONT. ESTOQUE'!$F453,"Estoque Perigoso","Estoque Confortável")),"")</f>
        <v>Sem Estoque</v>
      </c>
      <c r="H453" s="93">
        <f>SUMIF(SAÍDAS!$C$7:$C$289,'CONT. ESTOQUE'!$B453,SAÍDAS!$L$7:$L$289)</f>
        <v>0</v>
      </c>
      <c r="I453" s="93">
        <f>SUMIF(ENTRADAS!$C$8:$C$1002,'CONT. ESTOQUE'!$B453,ENTRADAS!$H$7:$H$1002)</f>
        <v>0</v>
      </c>
      <c r="J453" s="94">
        <f>'CONT. ESTOQUE'!$H453-'CONT. ESTOQUE'!$I453</f>
        <v>0</v>
      </c>
    </row>
    <row r="454" spans="2:10" ht="15.75" customHeight="1">
      <c r="B454" s="91">
        <f>PROD!B454</f>
        <v>0</v>
      </c>
      <c r="C454" s="92">
        <f>IF('CONT. ESTOQUE'!$B454&lt;&gt;"",SUMIF(ENTRADAS!$C$7:$C$1002,'CONT. ESTOQUE'!$B454,ENTRADAS!$E$7:$E$1002),"")</f>
        <v>0</v>
      </c>
      <c r="D454" s="92">
        <f>IF('CONT. ESTOQUE'!$B454&lt;&gt;"",SUMIF(SAÍDAS!$C$7:$C$800,'CONT. ESTOQUE'!$B454,SAÍDAS!$J$7:$J$800),"")</f>
        <v>0</v>
      </c>
      <c r="E454" s="92">
        <f>IFERROR('CONT. ESTOQUE'!$C454-'CONT. ESTOQUE'!$D454,"")</f>
        <v>0</v>
      </c>
      <c r="F454" s="92" t="str">
        <f>IFERROR(VLOOKUP('CONT. ESTOQUE'!$B454,PROD!$B$6:$G$1095,4,0),"")</f>
        <v/>
      </c>
      <c r="G454" s="92" t="str">
        <f>IF('CONT. ESTOQUE'!$B454&lt;&gt;"",IF('CONT. ESTOQUE'!$E454=0,"Sem Estoque",IF('CONT. ESTOQUE'!$E454&lt;'CONT. ESTOQUE'!$F454,"Estoque Perigoso","Estoque Confortável")),"")</f>
        <v>Sem Estoque</v>
      </c>
      <c r="H454" s="93">
        <f>SUMIF(SAÍDAS!$C$7:$C$289,'CONT. ESTOQUE'!$B454,SAÍDAS!$L$7:$L$289)</f>
        <v>0</v>
      </c>
      <c r="I454" s="93">
        <f>SUMIF(ENTRADAS!$C$8:$C$1002,'CONT. ESTOQUE'!$B454,ENTRADAS!$H$7:$H$1002)</f>
        <v>0</v>
      </c>
      <c r="J454" s="94">
        <f>'CONT. ESTOQUE'!$H454-'CONT. ESTOQUE'!$I454</f>
        <v>0</v>
      </c>
    </row>
    <row r="455" spans="2:10" ht="15.75" customHeight="1">
      <c r="B455" s="91">
        <f>PROD!B455</f>
        <v>0</v>
      </c>
      <c r="C455" s="92">
        <f>IF('CONT. ESTOQUE'!$B455&lt;&gt;"",SUMIF(ENTRADAS!$C$7:$C$1002,'CONT. ESTOQUE'!$B455,ENTRADAS!$E$7:$E$1002),"")</f>
        <v>0</v>
      </c>
      <c r="D455" s="92">
        <f>IF('CONT. ESTOQUE'!$B455&lt;&gt;"",SUMIF(SAÍDAS!$C$7:$C$800,'CONT. ESTOQUE'!$B455,SAÍDAS!$J$7:$J$800),"")</f>
        <v>0</v>
      </c>
      <c r="E455" s="92">
        <f>IFERROR('CONT. ESTOQUE'!$C455-'CONT. ESTOQUE'!$D455,"")</f>
        <v>0</v>
      </c>
      <c r="F455" s="92" t="str">
        <f>IFERROR(VLOOKUP('CONT. ESTOQUE'!$B455,PROD!$B$6:$G$1095,4,0),"")</f>
        <v/>
      </c>
      <c r="G455" s="92" t="str">
        <f>IF('CONT. ESTOQUE'!$B455&lt;&gt;"",IF('CONT. ESTOQUE'!$E455=0,"Sem Estoque",IF('CONT. ESTOQUE'!$E455&lt;'CONT. ESTOQUE'!$F455,"Estoque Perigoso","Estoque Confortável")),"")</f>
        <v>Sem Estoque</v>
      </c>
      <c r="H455" s="93">
        <f>SUMIF(SAÍDAS!$C$7:$C$289,'CONT. ESTOQUE'!$B455,SAÍDAS!$L$7:$L$289)</f>
        <v>0</v>
      </c>
      <c r="I455" s="93">
        <f>SUMIF(ENTRADAS!$C$8:$C$1002,'CONT. ESTOQUE'!$B455,ENTRADAS!$H$7:$H$1002)</f>
        <v>0</v>
      </c>
      <c r="J455" s="94">
        <f>'CONT. ESTOQUE'!$H455-'CONT. ESTOQUE'!$I455</f>
        <v>0</v>
      </c>
    </row>
    <row r="456" spans="2:10" ht="15.75" customHeight="1">
      <c r="B456" s="91">
        <f>PROD!B456</f>
        <v>0</v>
      </c>
      <c r="C456" s="92">
        <f>IF('CONT. ESTOQUE'!$B456&lt;&gt;"",SUMIF(ENTRADAS!$C$7:$C$1002,'CONT. ESTOQUE'!$B456,ENTRADAS!$E$7:$E$1002),"")</f>
        <v>0</v>
      </c>
      <c r="D456" s="92">
        <f>IF('CONT. ESTOQUE'!$B456&lt;&gt;"",SUMIF(SAÍDAS!$C$7:$C$800,'CONT. ESTOQUE'!$B456,SAÍDAS!$J$7:$J$800),"")</f>
        <v>0</v>
      </c>
      <c r="E456" s="92">
        <f>IFERROR('CONT. ESTOQUE'!$C456-'CONT. ESTOQUE'!$D456,"")</f>
        <v>0</v>
      </c>
      <c r="F456" s="92" t="str">
        <f>IFERROR(VLOOKUP('CONT. ESTOQUE'!$B456,PROD!$B$6:$G$1095,4,0),"")</f>
        <v/>
      </c>
      <c r="G456" s="92" t="str">
        <f>IF('CONT. ESTOQUE'!$B456&lt;&gt;"",IF('CONT. ESTOQUE'!$E456=0,"Sem Estoque",IF('CONT. ESTOQUE'!$E456&lt;'CONT. ESTOQUE'!$F456,"Estoque Perigoso","Estoque Confortável")),"")</f>
        <v>Sem Estoque</v>
      </c>
      <c r="H456" s="93">
        <f>SUMIF(SAÍDAS!$C$7:$C$289,'CONT. ESTOQUE'!$B456,SAÍDAS!$L$7:$L$289)</f>
        <v>0</v>
      </c>
      <c r="I456" s="93">
        <f>SUMIF(ENTRADAS!$C$8:$C$1002,'CONT. ESTOQUE'!$B456,ENTRADAS!$H$7:$H$1002)</f>
        <v>0</v>
      </c>
      <c r="J456" s="94">
        <f>'CONT. ESTOQUE'!$H456-'CONT. ESTOQUE'!$I456</f>
        <v>0</v>
      </c>
    </row>
    <row r="457" spans="2:10" ht="15.75" customHeight="1">
      <c r="B457" s="91">
        <f>PROD!B457</f>
        <v>0</v>
      </c>
      <c r="C457" s="92">
        <f>IF('CONT. ESTOQUE'!$B457&lt;&gt;"",SUMIF(ENTRADAS!$C$7:$C$1002,'CONT. ESTOQUE'!$B457,ENTRADAS!$E$7:$E$1002),"")</f>
        <v>0</v>
      </c>
      <c r="D457" s="92">
        <f>IF('CONT. ESTOQUE'!$B457&lt;&gt;"",SUMIF(SAÍDAS!$C$7:$C$800,'CONT. ESTOQUE'!$B457,SAÍDAS!$J$7:$J$800),"")</f>
        <v>0</v>
      </c>
      <c r="E457" s="92">
        <f>IFERROR('CONT. ESTOQUE'!$C457-'CONT. ESTOQUE'!$D457,"")</f>
        <v>0</v>
      </c>
      <c r="F457" s="92" t="str">
        <f>IFERROR(VLOOKUP('CONT. ESTOQUE'!$B457,PROD!$B$6:$G$1095,4,0),"")</f>
        <v/>
      </c>
      <c r="G457" s="92" t="str">
        <f>IF('CONT. ESTOQUE'!$B457&lt;&gt;"",IF('CONT. ESTOQUE'!$E457=0,"Sem Estoque",IF('CONT. ESTOQUE'!$E457&lt;'CONT. ESTOQUE'!$F457,"Estoque Perigoso","Estoque Confortável")),"")</f>
        <v>Sem Estoque</v>
      </c>
      <c r="H457" s="93">
        <f>SUMIF(SAÍDAS!$C$7:$C$289,'CONT. ESTOQUE'!$B457,SAÍDAS!$L$7:$L$289)</f>
        <v>0</v>
      </c>
      <c r="I457" s="93">
        <f>SUMIF(ENTRADAS!$C$8:$C$1002,'CONT. ESTOQUE'!$B457,ENTRADAS!$H$7:$H$1002)</f>
        <v>0</v>
      </c>
      <c r="J457" s="94">
        <f>'CONT. ESTOQUE'!$H457-'CONT. ESTOQUE'!$I457</f>
        <v>0</v>
      </c>
    </row>
    <row r="458" spans="2:10" ht="15.75" customHeight="1">
      <c r="B458" s="91">
        <f>PROD!B458</f>
        <v>0</v>
      </c>
      <c r="C458" s="92">
        <f>IF('CONT. ESTOQUE'!$B458&lt;&gt;"",SUMIF(ENTRADAS!$C$7:$C$1002,'CONT. ESTOQUE'!$B458,ENTRADAS!$E$7:$E$1002),"")</f>
        <v>0</v>
      </c>
      <c r="D458" s="92">
        <f>IF('CONT. ESTOQUE'!$B458&lt;&gt;"",SUMIF(SAÍDAS!$C$7:$C$800,'CONT. ESTOQUE'!$B458,SAÍDAS!$J$7:$J$800),"")</f>
        <v>0</v>
      </c>
      <c r="E458" s="92">
        <f>IFERROR('CONT. ESTOQUE'!$C458-'CONT. ESTOQUE'!$D458,"")</f>
        <v>0</v>
      </c>
      <c r="F458" s="92" t="str">
        <f>IFERROR(VLOOKUP('CONT. ESTOQUE'!$B458,PROD!$B$6:$G$1095,4,0),"")</f>
        <v/>
      </c>
      <c r="G458" s="92" t="str">
        <f>IF('CONT. ESTOQUE'!$B458&lt;&gt;"",IF('CONT. ESTOQUE'!$E458=0,"Sem Estoque",IF('CONT. ESTOQUE'!$E458&lt;'CONT. ESTOQUE'!$F458,"Estoque Perigoso","Estoque Confortável")),"")</f>
        <v>Sem Estoque</v>
      </c>
      <c r="H458" s="93">
        <f>SUMIF(SAÍDAS!$C$7:$C$289,'CONT. ESTOQUE'!$B458,SAÍDAS!$L$7:$L$289)</f>
        <v>0</v>
      </c>
      <c r="I458" s="93">
        <f>SUMIF(ENTRADAS!$C$8:$C$1002,'CONT. ESTOQUE'!$B458,ENTRADAS!$H$7:$H$1002)</f>
        <v>0</v>
      </c>
      <c r="J458" s="94">
        <f>'CONT. ESTOQUE'!$H458-'CONT. ESTOQUE'!$I458</f>
        <v>0</v>
      </c>
    </row>
    <row r="459" spans="2:10" ht="15.75" customHeight="1">
      <c r="B459" s="91">
        <f>PROD!B459</f>
        <v>0</v>
      </c>
      <c r="C459" s="92">
        <f>IF('CONT. ESTOQUE'!$B459&lt;&gt;"",SUMIF(ENTRADAS!$C$7:$C$1002,'CONT. ESTOQUE'!$B459,ENTRADAS!$E$7:$E$1002),"")</f>
        <v>0</v>
      </c>
      <c r="D459" s="92">
        <f>IF('CONT. ESTOQUE'!$B459&lt;&gt;"",SUMIF(SAÍDAS!$C$7:$C$800,'CONT. ESTOQUE'!$B459,SAÍDAS!$J$7:$J$800),"")</f>
        <v>0</v>
      </c>
      <c r="E459" s="92">
        <f>IFERROR('CONT. ESTOQUE'!$C459-'CONT. ESTOQUE'!$D459,"")</f>
        <v>0</v>
      </c>
      <c r="F459" s="92" t="str">
        <f>IFERROR(VLOOKUP('CONT. ESTOQUE'!$B459,PROD!$B$6:$G$1095,4,0),"")</f>
        <v/>
      </c>
      <c r="G459" s="92" t="str">
        <f>IF('CONT. ESTOQUE'!$B459&lt;&gt;"",IF('CONT. ESTOQUE'!$E459=0,"Sem Estoque",IF('CONT. ESTOQUE'!$E459&lt;'CONT. ESTOQUE'!$F459,"Estoque Perigoso","Estoque Confortável")),"")</f>
        <v>Sem Estoque</v>
      </c>
      <c r="H459" s="93">
        <f>SUMIF(SAÍDAS!$C$7:$C$289,'CONT. ESTOQUE'!$B459,SAÍDAS!$L$7:$L$289)</f>
        <v>0</v>
      </c>
      <c r="I459" s="93">
        <f>SUMIF(ENTRADAS!$C$8:$C$1002,'CONT. ESTOQUE'!$B459,ENTRADAS!$H$7:$H$1002)</f>
        <v>0</v>
      </c>
      <c r="J459" s="94">
        <f>'CONT. ESTOQUE'!$H459-'CONT. ESTOQUE'!$I459</f>
        <v>0</v>
      </c>
    </row>
    <row r="460" spans="2:10" ht="15.75" customHeight="1">
      <c r="B460" s="91">
        <f>PROD!B460</f>
        <v>0</v>
      </c>
      <c r="C460" s="92">
        <f>IF('CONT. ESTOQUE'!$B460&lt;&gt;"",SUMIF(ENTRADAS!$C$7:$C$1002,'CONT. ESTOQUE'!$B460,ENTRADAS!$E$7:$E$1002),"")</f>
        <v>0</v>
      </c>
      <c r="D460" s="92">
        <f>IF('CONT. ESTOQUE'!$B460&lt;&gt;"",SUMIF(SAÍDAS!$C$7:$C$800,'CONT. ESTOQUE'!$B460,SAÍDAS!$J$7:$J$800),"")</f>
        <v>0</v>
      </c>
      <c r="E460" s="92">
        <f>IFERROR('CONT. ESTOQUE'!$C460-'CONT. ESTOQUE'!$D460,"")</f>
        <v>0</v>
      </c>
      <c r="F460" s="92" t="str">
        <f>IFERROR(VLOOKUP('CONT. ESTOQUE'!$B460,PROD!$B$6:$G$1095,4,0),"")</f>
        <v/>
      </c>
      <c r="G460" s="92" t="str">
        <f>IF('CONT. ESTOQUE'!$B460&lt;&gt;"",IF('CONT. ESTOQUE'!$E460=0,"Sem Estoque",IF('CONT. ESTOQUE'!$E460&lt;'CONT. ESTOQUE'!$F460,"Estoque Perigoso","Estoque Confortável")),"")</f>
        <v>Sem Estoque</v>
      </c>
      <c r="H460" s="93">
        <f>SUMIF(SAÍDAS!$C$7:$C$289,'CONT. ESTOQUE'!$B460,SAÍDAS!$L$7:$L$289)</f>
        <v>0</v>
      </c>
      <c r="I460" s="93">
        <f>SUMIF(ENTRADAS!$C$8:$C$1002,'CONT. ESTOQUE'!$B460,ENTRADAS!$H$7:$H$1002)</f>
        <v>0</v>
      </c>
      <c r="J460" s="94">
        <f>'CONT. ESTOQUE'!$H460-'CONT. ESTOQUE'!$I460</f>
        <v>0</v>
      </c>
    </row>
    <row r="461" spans="2:10" ht="15.75" customHeight="1">
      <c r="B461" s="91">
        <f>PROD!B461</f>
        <v>0</v>
      </c>
      <c r="C461" s="92">
        <f>IF('CONT. ESTOQUE'!$B461&lt;&gt;"",SUMIF(ENTRADAS!$C$7:$C$1002,'CONT. ESTOQUE'!$B461,ENTRADAS!$E$7:$E$1002),"")</f>
        <v>0</v>
      </c>
      <c r="D461" s="92">
        <f>IF('CONT. ESTOQUE'!$B461&lt;&gt;"",SUMIF(SAÍDAS!$C$7:$C$800,'CONT. ESTOQUE'!$B461,SAÍDAS!$J$7:$J$800),"")</f>
        <v>0</v>
      </c>
      <c r="E461" s="92">
        <f>IFERROR('CONT. ESTOQUE'!$C461-'CONT. ESTOQUE'!$D461,"")</f>
        <v>0</v>
      </c>
      <c r="F461" s="92" t="str">
        <f>IFERROR(VLOOKUP('CONT. ESTOQUE'!$B461,PROD!$B$6:$G$1095,4,0),"")</f>
        <v/>
      </c>
      <c r="G461" s="92" t="str">
        <f>IF('CONT. ESTOQUE'!$B461&lt;&gt;"",IF('CONT. ESTOQUE'!$E461=0,"Sem Estoque",IF('CONT. ESTOQUE'!$E461&lt;'CONT. ESTOQUE'!$F461,"Estoque Perigoso","Estoque Confortável")),"")</f>
        <v>Sem Estoque</v>
      </c>
      <c r="H461" s="93">
        <f>SUMIF(SAÍDAS!$C$7:$C$289,'CONT. ESTOQUE'!$B461,SAÍDAS!$L$7:$L$289)</f>
        <v>0</v>
      </c>
      <c r="I461" s="93">
        <f>SUMIF(ENTRADAS!$C$8:$C$1002,'CONT. ESTOQUE'!$B461,ENTRADAS!$H$7:$H$1002)</f>
        <v>0</v>
      </c>
      <c r="J461" s="94">
        <f>'CONT. ESTOQUE'!$H461-'CONT. ESTOQUE'!$I461</f>
        <v>0</v>
      </c>
    </row>
    <row r="462" spans="2:10" ht="15.75" customHeight="1">
      <c r="B462" s="91">
        <f>PROD!B462</f>
        <v>0</v>
      </c>
      <c r="C462" s="92">
        <f>IF('CONT. ESTOQUE'!$B462&lt;&gt;"",SUMIF(ENTRADAS!$C$7:$C$1002,'CONT. ESTOQUE'!$B462,ENTRADAS!$E$7:$E$1002),"")</f>
        <v>0</v>
      </c>
      <c r="D462" s="92">
        <f>IF('CONT. ESTOQUE'!$B462&lt;&gt;"",SUMIF(SAÍDAS!$C$7:$C$800,'CONT. ESTOQUE'!$B462,SAÍDAS!$J$7:$J$800),"")</f>
        <v>0</v>
      </c>
      <c r="E462" s="92">
        <f>IFERROR('CONT. ESTOQUE'!$C462-'CONT. ESTOQUE'!$D462,"")</f>
        <v>0</v>
      </c>
      <c r="F462" s="92" t="str">
        <f>IFERROR(VLOOKUP('CONT. ESTOQUE'!$B462,PROD!$B$6:$G$1095,4,0),"")</f>
        <v/>
      </c>
      <c r="G462" s="92" t="str">
        <f>IF('CONT. ESTOQUE'!$B462&lt;&gt;"",IF('CONT. ESTOQUE'!$E462=0,"Sem Estoque",IF('CONT. ESTOQUE'!$E462&lt;'CONT. ESTOQUE'!$F462,"Estoque Perigoso","Estoque Confortável")),"")</f>
        <v>Sem Estoque</v>
      </c>
      <c r="H462" s="93">
        <f>SUMIF(SAÍDAS!$C$7:$C$289,'CONT. ESTOQUE'!$B462,SAÍDAS!$L$7:$L$289)</f>
        <v>0</v>
      </c>
      <c r="I462" s="93">
        <f>SUMIF(ENTRADAS!$C$8:$C$1002,'CONT. ESTOQUE'!$B462,ENTRADAS!$H$7:$H$1002)</f>
        <v>0</v>
      </c>
      <c r="J462" s="94">
        <f>'CONT. ESTOQUE'!$H462-'CONT. ESTOQUE'!$I462</f>
        <v>0</v>
      </c>
    </row>
    <row r="463" spans="2:10" ht="15.75" customHeight="1">
      <c r="B463" s="91">
        <f>PROD!B463</f>
        <v>0</v>
      </c>
      <c r="C463" s="92">
        <f>IF('CONT. ESTOQUE'!$B463&lt;&gt;"",SUMIF(ENTRADAS!$C$7:$C$1002,'CONT. ESTOQUE'!$B463,ENTRADAS!$E$7:$E$1002),"")</f>
        <v>0</v>
      </c>
      <c r="D463" s="92">
        <f>IF('CONT. ESTOQUE'!$B463&lt;&gt;"",SUMIF(SAÍDAS!$C$7:$C$800,'CONT. ESTOQUE'!$B463,SAÍDAS!$J$7:$J$800),"")</f>
        <v>0</v>
      </c>
      <c r="E463" s="92">
        <f>IFERROR('CONT. ESTOQUE'!$C463-'CONT. ESTOQUE'!$D463,"")</f>
        <v>0</v>
      </c>
      <c r="F463" s="92" t="str">
        <f>IFERROR(VLOOKUP('CONT. ESTOQUE'!$B463,PROD!$B$6:$G$1095,4,0),"")</f>
        <v/>
      </c>
      <c r="G463" s="92" t="str">
        <f>IF('CONT. ESTOQUE'!$B463&lt;&gt;"",IF('CONT. ESTOQUE'!$E463=0,"Sem Estoque",IF('CONT. ESTOQUE'!$E463&lt;'CONT. ESTOQUE'!$F463,"Estoque Perigoso","Estoque Confortável")),"")</f>
        <v>Sem Estoque</v>
      </c>
      <c r="H463" s="93">
        <f>SUMIF(SAÍDAS!$C$7:$C$289,'CONT. ESTOQUE'!$B463,SAÍDAS!$L$7:$L$289)</f>
        <v>0</v>
      </c>
      <c r="I463" s="93">
        <f>SUMIF(ENTRADAS!$C$8:$C$1002,'CONT. ESTOQUE'!$B463,ENTRADAS!$H$7:$H$1002)</f>
        <v>0</v>
      </c>
      <c r="J463" s="94">
        <f>'CONT. ESTOQUE'!$H463-'CONT. ESTOQUE'!$I463</f>
        <v>0</v>
      </c>
    </row>
    <row r="464" spans="2:10" ht="15.75" customHeight="1">
      <c r="B464" s="91">
        <f>PROD!B464</f>
        <v>0</v>
      </c>
      <c r="C464" s="92">
        <f>IF('CONT. ESTOQUE'!$B464&lt;&gt;"",SUMIF(ENTRADAS!$C$7:$C$1002,'CONT. ESTOQUE'!$B464,ENTRADAS!$E$7:$E$1002),"")</f>
        <v>0</v>
      </c>
      <c r="D464" s="92">
        <f>IF('CONT. ESTOQUE'!$B464&lt;&gt;"",SUMIF(SAÍDAS!$C$7:$C$800,'CONT. ESTOQUE'!$B464,SAÍDAS!$J$7:$J$800),"")</f>
        <v>0</v>
      </c>
      <c r="E464" s="92">
        <f>IFERROR('CONT. ESTOQUE'!$C464-'CONT. ESTOQUE'!$D464,"")</f>
        <v>0</v>
      </c>
      <c r="F464" s="92" t="str">
        <f>IFERROR(VLOOKUP('CONT. ESTOQUE'!$B464,PROD!$B$6:$G$1095,4,0),"")</f>
        <v/>
      </c>
      <c r="G464" s="92" t="str">
        <f>IF('CONT. ESTOQUE'!$B464&lt;&gt;"",IF('CONT. ESTOQUE'!$E464=0,"Sem Estoque",IF('CONT. ESTOQUE'!$E464&lt;'CONT. ESTOQUE'!$F464,"Estoque Perigoso","Estoque Confortável")),"")</f>
        <v>Sem Estoque</v>
      </c>
      <c r="H464" s="93">
        <f>SUMIF(SAÍDAS!$C$7:$C$289,'CONT. ESTOQUE'!$B464,SAÍDAS!$L$7:$L$289)</f>
        <v>0</v>
      </c>
      <c r="I464" s="93">
        <f>SUMIF(ENTRADAS!$C$8:$C$1002,'CONT. ESTOQUE'!$B464,ENTRADAS!$H$7:$H$1002)</f>
        <v>0</v>
      </c>
      <c r="J464" s="94">
        <f>'CONT. ESTOQUE'!$H464-'CONT. ESTOQUE'!$I464</f>
        <v>0</v>
      </c>
    </row>
    <row r="465" spans="2:10" ht="15.75" customHeight="1">
      <c r="B465" s="91">
        <f>PROD!B465</f>
        <v>0</v>
      </c>
      <c r="C465" s="92">
        <f>IF('CONT. ESTOQUE'!$B465&lt;&gt;"",SUMIF(ENTRADAS!$C$7:$C$1002,'CONT. ESTOQUE'!$B465,ENTRADAS!$E$7:$E$1002),"")</f>
        <v>0</v>
      </c>
      <c r="D465" s="92">
        <f>IF('CONT. ESTOQUE'!$B465&lt;&gt;"",SUMIF(SAÍDAS!$C$7:$C$800,'CONT. ESTOQUE'!$B465,SAÍDAS!$J$7:$J$800),"")</f>
        <v>0</v>
      </c>
      <c r="E465" s="92">
        <f>IFERROR('CONT. ESTOQUE'!$C465-'CONT. ESTOQUE'!$D465,"")</f>
        <v>0</v>
      </c>
      <c r="F465" s="92" t="str">
        <f>IFERROR(VLOOKUP('CONT. ESTOQUE'!$B465,PROD!$B$6:$G$1095,4,0),"")</f>
        <v/>
      </c>
      <c r="G465" s="92" t="str">
        <f>IF('CONT. ESTOQUE'!$B465&lt;&gt;"",IF('CONT. ESTOQUE'!$E465=0,"Sem Estoque",IF('CONT. ESTOQUE'!$E465&lt;'CONT. ESTOQUE'!$F465,"Estoque Perigoso","Estoque Confortável")),"")</f>
        <v>Sem Estoque</v>
      </c>
      <c r="H465" s="93">
        <f>SUMIF(SAÍDAS!$C$7:$C$289,'CONT. ESTOQUE'!$B465,SAÍDAS!$L$7:$L$289)</f>
        <v>0</v>
      </c>
      <c r="I465" s="93">
        <f>SUMIF(ENTRADAS!$C$8:$C$1002,'CONT. ESTOQUE'!$B465,ENTRADAS!$H$7:$H$1002)</f>
        <v>0</v>
      </c>
      <c r="J465" s="94">
        <f>'CONT. ESTOQUE'!$H465-'CONT. ESTOQUE'!$I465</f>
        <v>0</v>
      </c>
    </row>
    <row r="466" spans="2:10" ht="15.75" customHeight="1">
      <c r="B466" s="91">
        <f>PROD!B466</f>
        <v>0</v>
      </c>
      <c r="C466" s="92">
        <f>IF('CONT. ESTOQUE'!$B466&lt;&gt;"",SUMIF(ENTRADAS!$C$7:$C$1002,'CONT. ESTOQUE'!$B466,ENTRADAS!$E$7:$E$1002),"")</f>
        <v>0</v>
      </c>
      <c r="D466" s="92">
        <f>IF('CONT. ESTOQUE'!$B466&lt;&gt;"",SUMIF(SAÍDAS!$C$7:$C$800,'CONT. ESTOQUE'!$B466,SAÍDAS!$J$7:$J$800),"")</f>
        <v>0</v>
      </c>
      <c r="E466" s="92">
        <f>IFERROR('CONT. ESTOQUE'!$C466-'CONT. ESTOQUE'!$D466,"")</f>
        <v>0</v>
      </c>
      <c r="F466" s="92" t="str">
        <f>IFERROR(VLOOKUP('CONT. ESTOQUE'!$B466,PROD!$B$6:$G$1095,4,0),"")</f>
        <v/>
      </c>
      <c r="G466" s="92" t="str">
        <f>IF('CONT. ESTOQUE'!$B466&lt;&gt;"",IF('CONT. ESTOQUE'!$E466=0,"Sem Estoque",IF('CONT. ESTOQUE'!$E466&lt;'CONT. ESTOQUE'!$F466,"Estoque Perigoso","Estoque Confortável")),"")</f>
        <v>Sem Estoque</v>
      </c>
      <c r="H466" s="93">
        <f>SUMIF(SAÍDAS!$C$7:$C$289,'CONT. ESTOQUE'!$B466,SAÍDAS!$L$7:$L$289)</f>
        <v>0</v>
      </c>
      <c r="I466" s="93">
        <f>SUMIF(ENTRADAS!$C$8:$C$1002,'CONT. ESTOQUE'!$B466,ENTRADAS!$H$7:$H$1002)</f>
        <v>0</v>
      </c>
      <c r="J466" s="94">
        <f>'CONT. ESTOQUE'!$H466-'CONT. ESTOQUE'!$I466</f>
        <v>0</v>
      </c>
    </row>
    <row r="467" spans="2:10" ht="15.75" customHeight="1">
      <c r="B467" s="91">
        <f>PROD!B467</f>
        <v>0</v>
      </c>
      <c r="C467" s="92">
        <f>IF('CONT. ESTOQUE'!$B467&lt;&gt;"",SUMIF(ENTRADAS!$C$7:$C$1002,'CONT. ESTOQUE'!$B467,ENTRADAS!$E$7:$E$1002),"")</f>
        <v>0</v>
      </c>
      <c r="D467" s="92">
        <f>IF('CONT. ESTOQUE'!$B467&lt;&gt;"",SUMIF(SAÍDAS!$C$7:$C$800,'CONT. ESTOQUE'!$B467,SAÍDAS!$J$7:$J$800),"")</f>
        <v>0</v>
      </c>
      <c r="E467" s="92">
        <f>IFERROR('CONT. ESTOQUE'!$C467-'CONT. ESTOQUE'!$D467,"")</f>
        <v>0</v>
      </c>
      <c r="F467" s="92" t="str">
        <f>IFERROR(VLOOKUP('CONT. ESTOQUE'!$B467,PROD!$B$6:$G$1095,4,0),"")</f>
        <v/>
      </c>
      <c r="G467" s="92" t="str">
        <f>IF('CONT. ESTOQUE'!$B467&lt;&gt;"",IF('CONT. ESTOQUE'!$E467=0,"Sem Estoque",IF('CONT. ESTOQUE'!$E467&lt;'CONT. ESTOQUE'!$F467,"Estoque Perigoso","Estoque Confortável")),"")</f>
        <v>Sem Estoque</v>
      </c>
      <c r="H467" s="93">
        <f>SUMIF(SAÍDAS!$C$7:$C$289,'CONT. ESTOQUE'!$B467,SAÍDAS!$L$7:$L$289)</f>
        <v>0</v>
      </c>
      <c r="I467" s="93">
        <f>SUMIF(ENTRADAS!$C$8:$C$1002,'CONT. ESTOQUE'!$B467,ENTRADAS!$H$7:$H$1002)</f>
        <v>0</v>
      </c>
      <c r="J467" s="94">
        <f>'CONT. ESTOQUE'!$H467-'CONT. ESTOQUE'!$I467</f>
        <v>0</v>
      </c>
    </row>
    <row r="468" spans="2:10" ht="15.75" customHeight="1">
      <c r="B468" s="91">
        <f>PROD!B468</f>
        <v>0</v>
      </c>
      <c r="C468" s="92">
        <f>IF('CONT. ESTOQUE'!$B468&lt;&gt;"",SUMIF(ENTRADAS!$C$7:$C$1002,'CONT. ESTOQUE'!$B468,ENTRADAS!$E$7:$E$1002),"")</f>
        <v>0</v>
      </c>
      <c r="D468" s="92">
        <f>IF('CONT. ESTOQUE'!$B468&lt;&gt;"",SUMIF(SAÍDAS!$C$7:$C$800,'CONT. ESTOQUE'!$B468,SAÍDAS!$J$7:$J$800),"")</f>
        <v>0</v>
      </c>
      <c r="E468" s="92">
        <f>IFERROR('CONT. ESTOQUE'!$C468-'CONT. ESTOQUE'!$D468,"")</f>
        <v>0</v>
      </c>
      <c r="F468" s="92" t="str">
        <f>IFERROR(VLOOKUP('CONT. ESTOQUE'!$B468,PROD!$B$6:$G$1095,4,0),"")</f>
        <v/>
      </c>
      <c r="G468" s="92" t="str">
        <f>IF('CONT. ESTOQUE'!$B468&lt;&gt;"",IF('CONT. ESTOQUE'!$E468=0,"Sem Estoque",IF('CONT. ESTOQUE'!$E468&lt;'CONT. ESTOQUE'!$F468,"Estoque Perigoso","Estoque Confortável")),"")</f>
        <v>Sem Estoque</v>
      </c>
      <c r="H468" s="93">
        <f>SUMIF(SAÍDAS!$C$7:$C$289,'CONT. ESTOQUE'!$B468,SAÍDAS!$L$7:$L$289)</f>
        <v>0</v>
      </c>
      <c r="I468" s="93">
        <f>SUMIF(ENTRADAS!$C$8:$C$1002,'CONT. ESTOQUE'!$B468,ENTRADAS!$H$7:$H$1002)</f>
        <v>0</v>
      </c>
      <c r="J468" s="94">
        <f>'CONT. ESTOQUE'!$H468-'CONT. ESTOQUE'!$I468</f>
        <v>0</v>
      </c>
    </row>
    <row r="469" spans="2:10" ht="15.75" customHeight="1">
      <c r="B469" s="91">
        <f>PROD!B469</f>
        <v>0</v>
      </c>
      <c r="C469" s="92">
        <f>IF('CONT. ESTOQUE'!$B469&lt;&gt;"",SUMIF(ENTRADAS!$C$7:$C$1002,'CONT. ESTOQUE'!$B469,ENTRADAS!$E$7:$E$1002),"")</f>
        <v>0</v>
      </c>
      <c r="D469" s="92">
        <f>IF('CONT. ESTOQUE'!$B469&lt;&gt;"",SUMIF(SAÍDAS!$C$7:$C$800,'CONT. ESTOQUE'!$B469,SAÍDAS!$J$7:$J$800),"")</f>
        <v>0</v>
      </c>
      <c r="E469" s="92">
        <f>IFERROR('CONT. ESTOQUE'!$C469-'CONT. ESTOQUE'!$D469,"")</f>
        <v>0</v>
      </c>
      <c r="F469" s="92" t="str">
        <f>IFERROR(VLOOKUP('CONT. ESTOQUE'!$B469,PROD!$B$6:$G$1095,4,0),"")</f>
        <v/>
      </c>
      <c r="G469" s="92" t="str">
        <f>IF('CONT. ESTOQUE'!$B469&lt;&gt;"",IF('CONT. ESTOQUE'!$E469=0,"Sem Estoque",IF('CONT. ESTOQUE'!$E469&lt;'CONT. ESTOQUE'!$F469,"Estoque Perigoso","Estoque Confortável")),"")</f>
        <v>Sem Estoque</v>
      </c>
      <c r="H469" s="93">
        <f>SUMIF(SAÍDAS!$C$7:$C$289,'CONT. ESTOQUE'!$B469,SAÍDAS!$L$7:$L$289)</f>
        <v>0</v>
      </c>
      <c r="I469" s="93">
        <f>SUMIF(ENTRADAS!$C$8:$C$1002,'CONT. ESTOQUE'!$B469,ENTRADAS!$H$7:$H$1002)</f>
        <v>0</v>
      </c>
      <c r="J469" s="94">
        <f>'CONT. ESTOQUE'!$H469-'CONT. ESTOQUE'!$I469</f>
        <v>0</v>
      </c>
    </row>
    <row r="470" spans="2:10" ht="15.75" customHeight="1">
      <c r="B470" s="91">
        <f>PROD!B470</f>
        <v>0</v>
      </c>
      <c r="C470" s="92">
        <f>IF('CONT. ESTOQUE'!$B470&lt;&gt;"",SUMIF(ENTRADAS!$C$7:$C$1002,'CONT. ESTOQUE'!$B470,ENTRADAS!$E$7:$E$1002),"")</f>
        <v>0</v>
      </c>
      <c r="D470" s="92">
        <f>IF('CONT. ESTOQUE'!$B470&lt;&gt;"",SUMIF(SAÍDAS!$C$7:$C$800,'CONT. ESTOQUE'!$B470,SAÍDAS!$J$7:$J$800),"")</f>
        <v>0</v>
      </c>
      <c r="E470" s="92">
        <f>IFERROR('CONT. ESTOQUE'!$C470-'CONT. ESTOQUE'!$D470,"")</f>
        <v>0</v>
      </c>
      <c r="F470" s="92" t="str">
        <f>IFERROR(VLOOKUP('CONT. ESTOQUE'!$B470,PROD!$B$6:$G$1095,4,0),"")</f>
        <v/>
      </c>
      <c r="G470" s="92" t="str">
        <f>IF('CONT. ESTOQUE'!$B470&lt;&gt;"",IF('CONT. ESTOQUE'!$E470=0,"Sem Estoque",IF('CONT. ESTOQUE'!$E470&lt;'CONT. ESTOQUE'!$F470,"Estoque Perigoso","Estoque Confortável")),"")</f>
        <v>Sem Estoque</v>
      </c>
      <c r="H470" s="93">
        <f>SUMIF(SAÍDAS!$C$7:$C$289,'CONT. ESTOQUE'!$B470,SAÍDAS!$L$7:$L$289)</f>
        <v>0</v>
      </c>
      <c r="I470" s="93">
        <f>SUMIF(ENTRADAS!$C$8:$C$1002,'CONT. ESTOQUE'!$B470,ENTRADAS!$H$7:$H$1002)</f>
        <v>0</v>
      </c>
      <c r="J470" s="94">
        <f>'CONT. ESTOQUE'!$H470-'CONT. ESTOQUE'!$I470</f>
        <v>0</v>
      </c>
    </row>
    <row r="471" spans="2:10" ht="15.75" customHeight="1">
      <c r="B471" s="91">
        <f>PROD!B471</f>
        <v>0</v>
      </c>
      <c r="C471" s="92">
        <f>IF('CONT. ESTOQUE'!$B471&lt;&gt;"",SUMIF(ENTRADAS!$C$7:$C$1002,'CONT. ESTOQUE'!$B471,ENTRADAS!$E$7:$E$1002),"")</f>
        <v>0</v>
      </c>
      <c r="D471" s="92">
        <f>IF('CONT. ESTOQUE'!$B471&lt;&gt;"",SUMIF(SAÍDAS!$C$7:$C$800,'CONT. ESTOQUE'!$B471,SAÍDAS!$J$7:$J$800),"")</f>
        <v>0</v>
      </c>
      <c r="E471" s="92">
        <f>IFERROR('CONT. ESTOQUE'!$C471-'CONT. ESTOQUE'!$D471,"")</f>
        <v>0</v>
      </c>
      <c r="F471" s="92" t="str">
        <f>IFERROR(VLOOKUP('CONT. ESTOQUE'!$B471,PROD!$B$6:$G$1095,4,0),"")</f>
        <v/>
      </c>
      <c r="G471" s="92" t="str">
        <f>IF('CONT. ESTOQUE'!$B471&lt;&gt;"",IF('CONT. ESTOQUE'!$E471=0,"Sem Estoque",IF('CONT. ESTOQUE'!$E471&lt;'CONT. ESTOQUE'!$F471,"Estoque Perigoso","Estoque Confortável")),"")</f>
        <v>Sem Estoque</v>
      </c>
      <c r="H471" s="93">
        <f>SUMIF(SAÍDAS!$C$7:$C$289,'CONT. ESTOQUE'!$B471,SAÍDAS!$L$7:$L$289)</f>
        <v>0</v>
      </c>
      <c r="I471" s="93">
        <f>SUMIF(ENTRADAS!$C$8:$C$1002,'CONT. ESTOQUE'!$B471,ENTRADAS!$H$7:$H$1002)</f>
        <v>0</v>
      </c>
      <c r="J471" s="94">
        <f>'CONT. ESTOQUE'!$H471-'CONT. ESTOQUE'!$I471</f>
        <v>0</v>
      </c>
    </row>
    <row r="472" spans="2:10" ht="15.75" customHeight="1">
      <c r="B472" s="91">
        <f>PROD!B472</f>
        <v>0</v>
      </c>
      <c r="C472" s="92">
        <f>IF('CONT. ESTOQUE'!$B472&lt;&gt;"",SUMIF(ENTRADAS!$C$7:$C$1002,'CONT. ESTOQUE'!$B472,ENTRADAS!$E$7:$E$1002),"")</f>
        <v>0</v>
      </c>
      <c r="D472" s="92">
        <f>IF('CONT. ESTOQUE'!$B472&lt;&gt;"",SUMIF(SAÍDAS!$C$7:$C$800,'CONT. ESTOQUE'!$B472,SAÍDAS!$J$7:$J$800),"")</f>
        <v>0</v>
      </c>
      <c r="E472" s="92">
        <f>IFERROR('CONT. ESTOQUE'!$C472-'CONT. ESTOQUE'!$D472,"")</f>
        <v>0</v>
      </c>
      <c r="F472" s="92" t="str">
        <f>IFERROR(VLOOKUP('CONT. ESTOQUE'!$B472,PROD!$B$6:$G$1095,4,0),"")</f>
        <v/>
      </c>
      <c r="G472" s="92" t="str">
        <f>IF('CONT. ESTOQUE'!$B472&lt;&gt;"",IF('CONT. ESTOQUE'!$E472=0,"Sem Estoque",IF('CONT. ESTOQUE'!$E472&lt;'CONT. ESTOQUE'!$F472,"Estoque Perigoso","Estoque Confortável")),"")</f>
        <v>Sem Estoque</v>
      </c>
      <c r="H472" s="93">
        <f>SUMIF(SAÍDAS!$C$7:$C$289,'CONT. ESTOQUE'!$B472,SAÍDAS!$L$7:$L$289)</f>
        <v>0</v>
      </c>
      <c r="I472" s="93">
        <f>SUMIF(ENTRADAS!$C$8:$C$1002,'CONT. ESTOQUE'!$B472,ENTRADAS!$H$7:$H$1002)</f>
        <v>0</v>
      </c>
      <c r="J472" s="94">
        <f>'CONT. ESTOQUE'!$H472-'CONT. ESTOQUE'!$I472</f>
        <v>0</v>
      </c>
    </row>
    <row r="473" spans="2:10" ht="15.75" customHeight="1">
      <c r="B473" s="91">
        <f>PROD!B473</f>
        <v>0</v>
      </c>
      <c r="C473" s="92">
        <f>IF('CONT. ESTOQUE'!$B473&lt;&gt;"",SUMIF(ENTRADAS!$C$7:$C$1002,'CONT. ESTOQUE'!$B473,ENTRADAS!$E$7:$E$1002),"")</f>
        <v>0</v>
      </c>
      <c r="D473" s="92">
        <f>IF('CONT. ESTOQUE'!$B473&lt;&gt;"",SUMIF(SAÍDAS!$C$7:$C$800,'CONT. ESTOQUE'!$B473,SAÍDAS!$J$7:$J$800),"")</f>
        <v>0</v>
      </c>
      <c r="E473" s="92">
        <f>IFERROR('CONT. ESTOQUE'!$C473-'CONT. ESTOQUE'!$D473,"")</f>
        <v>0</v>
      </c>
      <c r="F473" s="92" t="str">
        <f>IFERROR(VLOOKUP('CONT. ESTOQUE'!$B473,PROD!$B$6:$G$1095,4,0),"")</f>
        <v/>
      </c>
      <c r="G473" s="92" t="str">
        <f>IF('CONT. ESTOQUE'!$B473&lt;&gt;"",IF('CONT. ESTOQUE'!$E473=0,"Sem Estoque",IF('CONT. ESTOQUE'!$E473&lt;'CONT. ESTOQUE'!$F473,"Estoque Perigoso","Estoque Confortável")),"")</f>
        <v>Sem Estoque</v>
      </c>
      <c r="H473" s="93">
        <f>SUMIF(SAÍDAS!$C$7:$C$289,'CONT. ESTOQUE'!$B473,SAÍDAS!$L$7:$L$289)</f>
        <v>0</v>
      </c>
      <c r="I473" s="93">
        <f>SUMIF(ENTRADAS!$C$8:$C$1002,'CONT. ESTOQUE'!$B473,ENTRADAS!$H$7:$H$1002)</f>
        <v>0</v>
      </c>
      <c r="J473" s="94">
        <f>'CONT. ESTOQUE'!$H473-'CONT. ESTOQUE'!$I473</f>
        <v>0</v>
      </c>
    </row>
    <row r="474" spans="2:10" ht="15.75" customHeight="1">
      <c r="B474" s="91">
        <f>PROD!B474</f>
        <v>0</v>
      </c>
      <c r="C474" s="92">
        <f>IF('CONT. ESTOQUE'!$B474&lt;&gt;"",SUMIF(ENTRADAS!$C$7:$C$1002,'CONT. ESTOQUE'!$B474,ENTRADAS!$E$7:$E$1002),"")</f>
        <v>0</v>
      </c>
      <c r="D474" s="92">
        <f>IF('CONT. ESTOQUE'!$B474&lt;&gt;"",SUMIF(SAÍDAS!$C$7:$C$800,'CONT. ESTOQUE'!$B474,SAÍDAS!$J$7:$J$800),"")</f>
        <v>0</v>
      </c>
      <c r="E474" s="92">
        <f>IFERROR('CONT. ESTOQUE'!$C474-'CONT. ESTOQUE'!$D474,"")</f>
        <v>0</v>
      </c>
      <c r="F474" s="92" t="str">
        <f>IFERROR(VLOOKUP('CONT. ESTOQUE'!$B474,PROD!$B$6:$G$1095,4,0),"")</f>
        <v/>
      </c>
      <c r="G474" s="92" t="str">
        <f>IF('CONT. ESTOQUE'!$B474&lt;&gt;"",IF('CONT. ESTOQUE'!$E474=0,"Sem Estoque",IF('CONT. ESTOQUE'!$E474&lt;'CONT. ESTOQUE'!$F474,"Estoque Perigoso","Estoque Confortável")),"")</f>
        <v>Sem Estoque</v>
      </c>
      <c r="H474" s="93">
        <f>SUMIF(SAÍDAS!$C$7:$C$289,'CONT. ESTOQUE'!$B474,SAÍDAS!$L$7:$L$289)</f>
        <v>0</v>
      </c>
      <c r="I474" s="93">
        <f>SUMIF(ENTRADAS!$C$8:$C$1002,'CONT. ESTOQUE'!$B474,ENTRADAS!$H$7:$H$1002)</f>
        <v>0</v>
      </c>
      <c r="J474" s="94">
        <f>'CONT. ESTOQUE'!$H474-'CONT. ESTOQUE'!$I474</f>
        <v>0</v>
      </c>
    </row>
    <row r="475" spans="2:10" ht="15.75" customHeight="1">
      <c r="B475" s="91">
        <f>PROD!B475</f>
        <v>0</v>
      </c>
      <c r="C475" s="92">
        <f>IF('CONT. ESTOQUE'!$B475&lt;&gt;"",SUMIF(ENTRADAS!$C$7:$C$1002,'CONT. ESTOQUE'!$B475,ENTRADAS!$E$7:$E$1002),"")</f>
        <v>0</v>
      </c>
      <c r="D475" s="92">
        <f>IF('CONT. ESTOQUE'!$B475&lt;&gt;"",SUMIF(SAÍDAS!$C$7:$C$800,'CONT. ESTOQUE'!$B475,SAÍDAS!$J$7:$J$800),"")</f>
        <v>0</v>
      </c>
      <c r="E475" s="92">
        <f>IFERROR('CONT. ESTOQUE'!$C475-'CONT. ESTOQUE'!$D475,"")</f>
        <v>0</v>
      </c>
      <c r="F475" s="92" t="str">
        <f>IFERROR(VLOOKUP('CONT. ESTOQUE'!$B475,PROD!$B$6:$G$1095,4,0),"")</f>
        <v/>
      </c>
      <c r="G475" s="92" t="str">
        <f>IF('CONT. ESTOQUE'!$B475&lt;&gt;"",IF('CONT. ESTOQUE'!$E475=0,"Sem Estoque",IF('CONT. ESTOQUE'!$E475&lt;'CONT. ESTOQUE'!$F475,"Estoque Perigoso","Estoque Confortável")),"")</f>
        <v>Sem Estoque</v>
      </c>
      <c r="H475" s="93">
        <f>SUMIF(SAÍDAS!$C$7:$C$289,'CONT. ESTOQUE'!$B475,SAÍDAS!$L$7:$L$289)</f>
        <v>0</v>
      </c>
      <c r="I475" s="93">
        <f>SUMIF(ENTRADAS!$C$8:$C$1002,'CONT. ESTOQUE'!$B475,ENTRADAS!$H$7:$H$1002)</f>
        <v>0</v>
      </c>
      <c r="J475" s="94">
        <f>'CONT. ESTOQUE'!$H475-'CONT. ESTOQUE'!$I475</f>
        <v>0</v>
      </c>
    </row>
    <row r="476" spans="2:10" ht="15.75" customHeight="1">
      <c r="B476" s="91">
        <f>PROD!B476</f>
        <v>0</v>
      </c>
      <c r="C476" s="92">
        <f>IF('CONT. ESTOQUE'!$B476&lt;&gt;"",SUMIF(ENTRADAS!$C$7:$C$1002,'CONT. ESTOQUE'!$B476,ENTRADAS!$E$7:$E$1002),"")</f>
        <v>0</v>
      </c>
      <c r="D476" s="92">
        <f>IF('CONT. ESTOQUE'!$B476&lt;&gt;"",SUMIF(SAÍDAS!$C$7:$C$800,'CONT. ESTOQUE'!$B476,SAÍDAS!$J$7:$J$800),"")</f>
        <v>0</v>
      </c>
      <c r="E476" s="92">
        <f>IFERROR('CONT. ESTOQUE'!$C476-'CONT. ESTOQUE'!$D476,"")</f>
        <v>0</v>
      </c>
      <c r="F476" s="92" t="str">
        <f>IFERROR(VLOOKUP('CONT. ESTOQUE'!$B476,PROD!$B$6:$G$1095,4,0),"")</f>
        <v/>
      </c>
      <c r="G476" s="92" t="str">
        <f>IF('CONT. ESTOQUE'!$B476&lt;&gt;"",IF('CONT. ESTOQUE'!$E476=0,"Sem Estoque",IF('CONT. ESTOQUE'!$E476&lt;'CONT. ESTOQUE'!$F476,"Estoque Perigoso","Estoque Confortável")),"")</f>
        <v>Sem Estoque</v>
      </c>
      <c r="H476" s="93">
        <f>SUMIF(SAÍDAS!$C$7:$C$289,'CONT. ESTOQUE'!$B476,SAÍDAS!$L$7:$L$289)</f>
        <v>0</v>
      </c>
      <c r="I476" s="93">
        <f>SUMIF(ENTRADAS!$C$8:$C$1002,'CONT. ESTOQUE'!$B476,ENTRADAS!$H$7:$H$1002)</f>
        <v>0</v>
      </c>
      <c r="J476" s="94">
        <f>'CONT. ESTOQUE'!$H476-'CONT. ESTOQUE'!$I476</f>
        <v>0</v>
      </c>
    </row>
    <row r="477" spans="2:10" ht="15.75" customHeight="1">
      <c r="B477" s="91">
        <f>PROD!B477</f>
        <v>0</v>
      </c>
      <c r="C477" s="92">
        <f>IF('CONT. ESTOQUE'!$B477&lt;&gt;"",SUMIF(ENTRADAS!$C$7:$C$1002,'CONT. ESTOQUE'!$B477,ENTRADAS!$E$7:$E$1002),"")</f>
        <v>0</v>
      </c>
      <c r="D477" s="92">
        <f>IF('CONT. ESTOQUE'!$B477&lt;&gt;"",SUMIF(SAÍDAS!$C$7:$C$800,'CONT. ESTOQUE'!$B477,SAÍDAS!$J$7:$J$800),"")</f>
        <v>0</v>
      </c>
      <c r="E477" s="92">
        <f>IFERROR('CONT. ESTOQUE'!$C477-'CONT. ESTOQUE'!$D477,"")</f>
        <v>0</v>
      </c>
      <c r="F477" s="92" t="str">
        <f>IFERROR(VLOOKUP('CONT. ESTOQUE'!$B477,PROD!$B$6:$G$1095,4,0),"")</f>
        <v/>
      </c>
      <c r="G477" s="92" t="str">
        <f>IF('CONT. ESTOQUE'!$B477&lt;&gt;"",IF('CONT. ESTOQUE'!$E477=0,"Sem Estoque",IF('CONT. ESTOQUE'!$E477&lt;'CONT. ESTOQUE'!$F477,"Estoque Perigoso","Estoque Confortável")),"")</f>
        <v>Sem Estoque</v>
      </c>
      <c r="H477" s="93">
        <f>SUMIF(SAÍDAS!$C$7:$C$289,'CONT. ESTOQUE'!$B477,SAÍDAS!$L$7:$L$289)</f>
        <v>0</v>
      </c>
      <c r="I477" s="93">
        <f>SUMIF(ENTRADAS!$C$8:$C$1002,'CONT. ESTOQUE'!$B477,ENTRADAS!$H$7:$H$1002)</f>
        <v>0</v>
      </c>
      <c r="J477" s="94">
        <f>'CONT. ESTOQUE'!$H477-'CONT. ESTOQUE'!$I477</f>
        <v>0</v>
      </c>
    </row>
    <row r="478" spans="2:10" ht="15.75" customHeight="1">
      <c r="B478" s="91">
        <f>PROD!B478</f>
        <v>0</v>
      </c>
      <c r="C478" s="92">
        <f>IF('CONT. ESTOQUE'!$B478&lt;&gt;"",SUMIF(ENTRADAS!$C$7:$C$1002,'CONT. ESTOQUE'!$B478,ENTRADAS!$E$7:$E$1002),"")</f>
        <v>0</v>
      </c>
      <c r="D478" s="92">
        <f>IF('CONT. ESTOQUE'!$B478&lt;&gt;"",SUMIF(SAÍDAS!$C$7:$C$800,'CONT. ESTOQUE'!$B478,SAÍDAS!$J$7:$J$800),"")</f>
        <v>0</v>
      </c>
      <c r="E478" s="92">
        <f>IFERROR('CONT. ESTOQUE'!$C478-'CONT. ESTOQUE'!$D478,"")</f>
        <v>0</v>
      </c>
      <c r="F478" s="92" t="str">
        <f>IFERROR(VLOOKUP('CONT. ESTOQUE'!$B478,PROD!$B$6:$G$1095,4,0),"")</f>
        <v/>
      </c>
      <c r="G478" s="92" t="str">
        <f>IF('CONT. ESTOQUE'!$B478&lt;&gt;"",IF('CONT. ESTOQUE'!$E478=0,"Sem Estoque",IF('CONT. ESTOQUE'!$E478&lt;'CONT. ESTOQUE'!$F478,"Estoque Perigoso","Estoque Confortável")),"")</f>
        <v>Sem Estoque</v>
      </c>
      <c r="H478" s="93">
        <f>SUMIF(SAÍDAS!$C$7:$C$289,'CONT. ESTOQUE'!$B478,SAÍDAS!$L$7:$L$289)</f>
        <v>0</v>
      </c>
      <c r="I478" s="93">
        <f>SUMIF(ENTRADAS!$C$8:$C$1002,'CONT. ESTOQUE'!$B478,ENTRADAS!$H$7:$H$1002)</f>
        <v>0</v>
      </c>
      <c r="J478" s="94">
        <f>'CONT. ESTOQUE'!$H478-'CONT. ESTOQUE'!$I478</f>
        <v>0</v>
      </c>
    </row>
    <row r="479" spans="2:10" ht="15.75" customHeight="1">
      <c r="B479" s="91">
        <f>PROD!B479</f>
        <v>0</v>
      </c>
      <c r="C479" s="92">
        <f>IF('CONT. ESTOQUE'!$B479&lt;&gt;"",SUMIF(ENTRADAS!$C$7:$C$1002,'CONT. ESTOQUE'!$B479,ENTRADAS!$E$7:$E$1002),"")</f>
        <v>0</v>
      </c>
      <c r="D479" s="92">
        <f>IF('CONT. ESTOQUE'!$B479&lt;&gt;"",SUMIF(SAÍDAS!$C$7:$C$800,'CONT. ESTOQUE'!$B479,SAÍDAS!$J$7:$J$800),"")</f>
        <v>0</v>
      </c>
      <c r="E479" s="92">
        <f>IFERROR('CONT. ESTOQUE'!$C479-'CONT. ESTOQUE'!$D479,"")</f>
        <v>0</v>
      </c>
      <c r="F479" s="92" t="str">
        <f>IFERROR(VLOOKUP('CONT. ESTOQUE'!$B479,PROD!$B$6:$G$1095,4,0),"")</f>
        <v/>
      </c>
      <c r="G479" s="92" t="str">
        <f>IF('CONT. ESTOQUE'!$B479&lt;&gt;"",IF('CONT. ESTOQUE'!$E479=0,"Sem Estoque",IF('CONT. ESTOQUE'!$E479&lt;'CONT. ESTOQUE'!$F479,"Estoque Perigoso","Estoque Confortável")),"")</f>
        <v>Sem Estoque</v>
      </c>
      <c r="H479" s="93">
        <f>SUMIF(SAÍDAS!$C$7:$C$289,'CONT. ESTOQUE'!$B479,SAÍDAS!$L$7:$L$289)</f>
        <v>0</v>
      </c>
      <c r="I479" s="93">
        <f>SUMIF(ENTRADAS!$C$8:$C$1002,'CONT. ESTOQUE'!$B479,ENTRADAS!$H$7:$H$1002)</f>
        <v>0</v>
      </c>
      <c r="J479" s="94">
        <f>'CONT. ESTOQUE'!$H479-'CONT. ESTOQUE'!$I479</f>
        <v>0</v>
      </c>
    </row>
    <row r="480" spans="2:10" ht="15.75" customHeight="1">
      <c r="B480" s="91">
        <f>PROD!B480</f>
        <v>0</v>
      </c>
      <c r="C480" s="92">
        <f>IF('CONT. ESTOQUE'!$B480&lt;&gt;"",SUMIF(ENTRADAS!$C$7:$C$1002,'CONT. ESTOQUE'!$B480,ENTRADAS!$E$7:$E$1002),"")</f>
        <v>0</v>
      </c>
      <c r="D480" s="92">
        <f>IF('CONT. ESTOQUE'!$B480&lt;&gt;"",SUMIF(SAÍDAS!$C$7:$C$800,'CONT. ESTOQUE'!$B480,SAÍDAS!$J$7:$J$800),"")</f>
        <v>0</v>
      </c>
      <c r="E480" s="92">
        <f>IFERROR('CONT. ESTOQUE'!$C480-'CONT. ESTOQUE'!$D480,"")</f>
        <v>0</v>
      </c>
      <c r="F480" s="92" t="str">
        <f>IFERROR(VLOOKUP('CONT. ESTOQUE'!$B480,PROD!$B$6:$G$1095,4,0),"")</f>
        <v/>
      </c>
      <c r="G480" s="92" t="str">
        <f>IF('CONT. ESTOQUE'!$B480&lt;&gt;"",IF('CONT. ESTOQUE'!$E480=0,"Sem Estoque",IF('CONT. ESTOQUE'!$E480&lt;'CONT. ESTOQUE'!$F480,"Estoque Perigoso","Estoque Confortável")),"")</f>
        <v>Sem Estoque</v>
      </c>
      <c r="H480" s="93">
        <f>SUMIF(SAÍDAS!$C$7:$C$289,'CONT. ESTOQUE'!$B480,SAÍDAS!$L$7:$L$289)</f>
        <v>0</v>
      </c>
      <c r="I480" s="93">
        <f>SUMIF(ENTRADAS!$C$8:$C$1002,'CONT. ESTOQUE'!$B480,ENTRADAS!$H$7:$H$1002)</f>
        <v>0</v>
      </c>
      <c r="J480" s="94">
        <f>'CONT. ESTOQUE'!$H480-'CONT. ESTOQUE'!$I480</f>
        <v>0</v>
      </c>
    </row>
    <row r="481" spans="2:10" ht="15.75" customHeight="1">
      <c r="B481" s="91">
        <f>PROD!B481</f>
        <v>0</v>
      </c>
      <c r="C481" s="92">
        <f>IF('CONT. ESTOQUE'!$B481&lt;&gt;"",SUMIF(ENTRADAS!$C$7:$C$1002,'CONT. ESTOQUE'!$B481,ENTRADAS!$E$7:$E$1002),"")</f>
        <v>0</v>
      </c>
      <c r="D481" s="92">
        <f>IF('CONT. ESTOQUE'!$B481&lt;&gt;"",SUMIF(SAÍDAS!$C$7:$C$800,'CONT. ESTOQUE'!$B481,SAÍDAS!$J$7:$J$800),"")</f>
        <v>0</v>
      </c>
      <c r="E481" s="92">
        <f>IFERROR('CONT. ESTOQUE'!$C481-'CONT. ESTOQUE'!$D481,"")</f>
        <v>0</v>
      </c>
      <c r="F481" s="92" t="str">
        <f>IFERROR(VLOOKUP('CONT. ESTOQUE'!$B481,PROD!$B$6:$G$1095,4,0),"")</f>
        <v/>
      </c>
      <c r="G481" s="92" t="str">
        <f>IF('CONT. ESTOQUE'!$B481&lt;&gt;"",IF('CONT. ESTOQUE'!$E481=0,"Sem Estoque",IF('CONT. ESTOQUE'!$E481&lt;'CONT. ESTOQUE'!$F481,"Estoque Perigoso","Estoque Confortável")),"")</f>
        <v>Sem Estoque</v>
      </c>
      <c r="H481" s="93">
        <f>SUMIF(SAÍDAS!$C$7:$C$289,'CONT. ESTOQUE'!$B481,SAÍDAS!$L$7:$L$289)</f>
        <v>0</v>
      </c>
      <c r="I481" s="93">
        <f>SUMIF(ENTRADAS!$C$8:$C$1002,'CONT. ESTOQUE'!$B481,ENTRADAS!$H$7:$H$1002)</f>
        <v>0</v>
      </c>
      <c r="J481" s="94">
        <f>'CONT. ESTOQUE'!$H481-'CONT. ESTOQUE'!$I481</f>
        <v>0</v>
      </c>
    </row>
    <row r="482" spans="2:10" ht="15.75" customHeight="1">
      <c r="B482" s="91">
        <f>PROD!B482</f>
        <v>0</v>
      </c>
      <c r="C482" s="92">
        <f>IF('CONT. ESTOQUE'!$B482&lt;&gt;"",SUMIF(ENTRADAS!$C$7:$C$1002,'CONT. ESTOQUE'!$B482,ENTRADAS!$E$7:$E$1002),"")</f>
        <v>0</v>
      </c>
      <c r="D482" s="92">
        <f>IF('CONT. ESTOQUE'!$B482&lt;&gt;"",SUMIF(SAÍDAS!$C$7:$C$800,'CONT. ESTOQUE'!$B482,SAÍDAS!$J$7:$J$800),"")</f>
        <v>0</v>
      </c>
      <c r="E482" s="92">
        <f>IFERROR('CONT. ESTOQUE'!$C482-'CONT. ESTOQUE'!$D482,"")</f>
        <v>0</v>
      </c>
      <c r="F482" s="92" t="str">
        <f>IFERROR(VLOOKUP('CONT. ESTOQUE'!$B482,PROD!$B$6:$G$1095,4,0),"")</f>
        <v/>
      </c>
      <c r="G482" s="92" t="str">
        <f>IF('CONT. ESTOQUE'!$B482&lt;&gt;"",IF('CONT. ESTOQUE'!$E482=0,"Sem Estoque",IF('CONT. ESTOQUE'!$E482&lt;'CONT. ESTOQUE'!$F482,"Estoque Perigoso","Estoque Confortável")),"")</f>
        <v>Sem Estoque</v>
      </c>
      <c r="H482" s="93">
        <f>SUMIF(SAÍDAS!$C$7:$C$289,'CONT. ESTOQUE'!$B482,SAÍDAS!$L$7:$L$289)</f>
        <v>0</v>
      </c>
      <c r="I482" s="93">
        <f>SUMIF(ENTRADAS!$C$8:$C$1002,'CONT. ESTOQUE'!$B482,ENTRADAS!$H$7:$H$1002)</f>
        <v>0</v>
      </c>
      <c r="J482" s="94">
        <f>'CONT. ESTOQUE'!$H482-'CONT. ESTOQUE'!$I482</f>
        <v>0</v>
      </c>
    </row>
    <row r="483" spans="2:10" ht="15.75" customHeight="1">
      <c r="B483" s="91">
        <f>PROD!B483</f>
        <v>0</v>
      </c>
      <c r="C483" s="92">
        <f>IF('CONT. ESTOQUE'!$B483&lt;&gt;"",SUMIF(ENTRADAS!$C$7:$C$1002,'CONT. ESTOQUE'!$B483,ENTRADAS!$E$7:$E$1002),"")</f>
        <v>0</v>
      </c>
      <c r="D483" s="92">
        <f>IF('CONT. ESTOQUE'!$B483&lt;&gt;"",SUMIF(SAÍDAS!$C$7:$C$800,'CONT. ESTOQUE'!$B483,SAÍDAS!$J$7:$J$800),"")</f>
        <v>0</v>
      </c>
      <c r="E483" s="92">
        <f>IFERROR('CONT. ESTOQUE'!$C483-'CONT. ESTOQUE'!$D483,"")</f>
        <v>0</v>
      </c>
      <c r="F483" s="92" t="str">
        <f>IFERROR(VLOOKUP('CONT. ESTOQUE'!$B483,PROD!$B$6:$G$1095,4,0),"")</f>
        <v/>
      </c>
      <c r="G483" s="92" t="str">
        <f>IF('CONT. ESTOQUE'!$B483&lt;&gt;"",IF('CONT. ESTOQUE'!$E483=0,"Sem Estoque",IF('CONT. ESTOQUE'!$E483&lt;'CONT. ESTOQUE'!$F483,"Estoque Perigoso","Estoque Confortável")),"")</f>
        <v>Sem Estoque</v>
      </c>
      <c r="H483" s="93">
        <f>SUMIF(SAÍDAS!$C$7:$C$289,'CONT. ESTOQUE'!$B483,SAÍDAS!$L$7:$L$289)</f>
        <v>0</v>
      </c>
      <c r="I483" s="93">
        <f>SUMIF(ENTRADAS!$C$8:$C$1002,'CONT. ESTOQUE'!$B483,ENTRADAS!$H$7:$H$1002)</f>
        <v>0</v>
      </c>
      <c r="J483" s="94">
        <f>'CONT. ESTOQUE'!$H483-'CONT. ESTOQUE'!$I483</f>
        <v>0</v>
      </c>
    </row>
    <row r="484" spans="2:10" ht="15.75" customHeight="1">
      <c r="B484" s="91">
        <f>PROD!B484</f>
        <v>0</v>
      </c>
      <c r="C484" s="92">
        <f>IF('CONT. ESTOQUE'!$B484&lt;&gt;"",SUMIF(ENTRADAS!$C$7:$C$1002,'CONT. ESTOQUE'!$B484,ENTRADAS!$E$7:$E$1002),"")</f>
        <v>0</v>
      </c>
      <c r="D484" s="92">
        <f>IF('CONT. ESTOQUE'!$B484&lt;&gt;"",SUMIF(SAÍDAS!$C$7:$C$800,'CONT. ESTOQUE'!$B484,SAÍDAS!$J$7:$J$800),"")</f>
        <v>0</v>
      </c>
      <c r="E484" s="92">
        <f>IFERROR('CONT. ESTOQUE'!$C484-'CONT. ESTOQUE'!$D484,"")</f>
        <v>0</v>
      </c>
      <c r="F484" s="92" t="str">
        <f>IFERROR(VLOOKUP('CONT. ESTOQUE'!$B484,PROD!$B$6:$G$1095,4,0),"")</f>
        <v/>
      </c>
      <c r="G484" s="92" t="str">
        <f>IF('CONT. ESTOQUE'!$B484&lt;&gt;"",IF('CONT. ESTOQUE'!$E484=0,"Sem Estoque",IF('CONT. ESTOQUE'!$E484&lt;'CONT. ESTOQUE'!$F484,"Estoque Perigoso","Estoque Confortável")),"")</f>
        <v>Sem Estoque</v>
      </c>
      <c r="H484" s="93">
        <f>SUMIF(SAÍDAS!$C$7:$C$289,'CONT. ESTOQUE'!$B484,SAÍDAS!$L$7:$L$289)</f>
        <v>0</v>
      </c>
      <c r="I484" s="93">
        <f>SUMIF(ENTRADAS!$C$8:$C$1002,'CONT. ESTOQUE'!$B484,ENTRADAS!$H$7:$H$1002)</f>
        <v>0</v>
      </c>
      <c r="J484" s="94">
        <f>'CONT. ESTOQUE'!$H484-'CONT. ESTOQUE'!$I484</f>
        <v>0</v>
      </c>
    </row>
    <row r="485" spans="2:10" ht="15.75" customHeight="1">
      <c r="B485" s="91">
        <f>PROD!B485</f>
        <v>0</v>
      </c>
      <c r="C485" s="92">
        <f>IF('CONT. ESTOQUE'!$B485&lt;&gt;"",SUMIF(ENTRADAS!$C$7:$C$1002,'CONT. ESTOQUE'!$B485,ENTRADAS!$E$7:$E$1002),"")</f>
        <v>0</v>
      </c>
      <c r="D485" s="92">
        <f>IF('CONT. ESTOQUE'!$B485&lt;&gt;"",SUMIF(SAÍDAS!$C$7:$C$800,'CONT. ESTOQUE'!$B485,SAÍDAS!$J$7:$J$800),"")</f>
        <v>0</v>
      </c>
      <c r="E485" s="92">
        <f>IFERROR('CONT. ESTOQUE'!$C485-'CONT. ESTOQUE'!$D485,"")</f>
        <v>0</v>
      </c>
      <c r="F485" s="92" t="str">
        <f>IFERROR(VLOOKUP('CONT. ESTOQUE'!$B485,PROD!$B$6:$G$1095,4,0),"")</f>
        <v/>
      </c>
      <c r="G485" s="92" t="str">
        <f>IF('CONT. ESTOQUE'!$B485&lt;&gt;"",IF('CONT. ESTOQUE'!$E485=0,"Sem Estoque",IF('CONT. ESTOQUE'!$E485&lt;'CONT. ESTOQUE'!$F485,"Estoque Perigoso","Estoque Confortável")),"")</f>
        <v>Sem Estoque</v>
      </c>
      <c r="H485" s="93">
        <f>SUMIF(SAÍDAS!$C$7:$C$289,'CONT. ESTOQUE'!$B485,SAÍDAS!$L$7:$L$289)</f>
        <v>0</v>
      </c>
      <c r="I485" s="93">
        <f>SUMIF(ENTRADAS!$C$8:$C$1002,'CONT. ESTOQUE'!$B485,ENTRADAS!$H$7:$H$1002)</f>
        <v>0</v>
      </c>
      <c r="J485" s="94">
        <f>'CONT. ESTOQUE'!$H485-'CONT. ESTOQUE'!$I485</f>
        <v>0</v>
      </c>
    </row>
    <row r="486" spans="2:10" ht="15.75" customHeight="1">
      <c r="B486" s="91">
        <f>PROD!B486</f>
        <v>0</v>
      </c>
      <c r="C486" s="92">
        <f>IF('CONT. ESTOQUE'!$B486&lt;&gt;"",SUMIF(ENTRADAS!$C$7:$C$1002,'CONT. ESTOQUE'!$B486,ENTRADAS!$E$7:$E$1002),"")</f>
        <v>0</v>
      </c>
      <c r="D486" s="92">
        <f>IF('CONT. ESTOQUE'!$B486&lt;&gt;"",SUMIF(SAÍDAS!$C$7:$C$800,'CONT. ESTOQUE'!$B486,SAÍDAS!$J$7:$J$800),"")</f>
        <v>0</v>
      </c>
      <c r="E486" s="92">
        <f>IFERROR('CONT. ESTOQUE'!$C486-'CONT. ESTOQUE'!$D486,"")</f>
        <v>0</v>
      </c>
      <c r="F486" s="92" t="str">
        <f>IFERROR(VLOOKUP('CONT. ESTOQUE'!$B486,PROD!$B$6:$G$1095,4,0),"")</f>
        <v/>
      </c>
      <c r="G486" s="92" t="str">
        <f>IF('CONT. ESTOQUE'!$B486&lt;&gt;"",IF('CONT. ESTOQUE'!$E486=0,"Sem Estoque",IF('CONT. ESTOQUE'!$E486&lt;'CONT. ESTOQUE'!$F486,"Estoque Perigoso","Estoque Confortável")),"")</f>
        <v>Sem Estoque</v>
      </c>
      <c r="H486" s="93">
        <f>SUMIF(SAÍDAS!$C$7:$C$289,'CONT. ESTOQUE'!$B486,SAÍDAS!$L$7:$L$289)</f>
        <v>0</v>
      </c>
      <c r="I486" s="93">
        <f>SUMIF(ENTRADAS!$C$8:$C$1002,'CONT. ESTOQUE'!$B486,ENTRADAS!$H$7:$H$1002)</f>
        <v>0</v>
      </c>
      <c r="J486" s="94">
        <f>'CONT. ESTOQUE'!$H486-'CONT. ESTOQUE'!$I486</f>
        <v>0</v>
      </c>
    </row>
    <row r="487" spans="2:10" ht="15.75" customHeight="1">
      <c r="B487" s="91">
        <f>PROD!B487</f>
        <v>0</v>
      </c>
      <c r="C487" s="92">
        <f>IF('CONT. ESTOQUE'!$B487&lt;&gt;"",SUMIF(ENTRADAS!$C$7:$C$1002,'CONT. ESTOQUE'!$B487,ENTRADAS!$E$7:$E$1002),"")</f>
        <v>0</v>
      </c>
      <c r="D487" s="92">
        <f>IF('CONT. ESTOQUE'!$B487&lt;&gt;"",SUMIF(SAÍDAS!$C$7:$C$800,'CONT. ESTOQUE'!$B487,SAÍDAS!$J$7:$J$800),"")</f>
        <v>0</v>
      </c>
      <c r="E487" s="92">
        <f>IFERROR('CONT. ESTOQUE'!$C487-'CONT. ESTOQUE'!$D487,"")</f>
        <v>0</v>
      </c>
      <c r="F487" s="92" t="str">
        <f>IFERROR(VLOOKUP('CONT. ESTOQUE'!$B487,PROD!$B$6:$G$1095,4,0),"")</f>
        <v/>
      </c>
      <c r="G487" s="92" t="str">
        <f>IF('CONT. ESTOQUE'!$B487&lt;&gt;"",IF('CONT. ESTOQUE'!$E487=0,"Sem Estoque",IF('CONT. ESTOQUE'!$E487&lt;'CONT. ESTOQUE'!$F487,"Estoque Perigoso","Estoque Confortável")),"")</f>
        <v>Sem Estoque</v>
      </c>
      <c r="H487" s="93">
        <f>SUMIF(SAÍDAS!$C$7:$C$289,'CONT. ESTOQUE'!$B487,SAÍDAS!$L$7:$L$289)</f>
        <v>0</v>
      </c>
      <c r="I487" s="93">
        <f>SUMIF(ENTRADAS!$C$8:$C$1002,'CONT. ESTOQUE'!$B487,ENTRADAS!$H$7:$H$1002)</f>
        <v>0</v>
      </c>
      <c r="J487" s="94">
        <f>'CONT. ESTOQUE'!$H487-'CONT. ESTOQUE'!$I487</f>
        <v>0</v>
      </c>
    </row>
    <row r="488" spans="2:10" ht="15.75" customHeight="1">
      <c r="B488" s="91">
        <f>PROD!B488</f>
        <v>0</v>
      </c>
      <c r="C488" s="92">
        <f>IF('CONT. ESTOQUE'!$B488&lt;&gt;"",SUMIF(ENTRADAS!$C$7:$C$1002,'CONT. ESTOQUE'!$B488,ENTRADAS!$E$7:$E$1002),"")</f>
        <v>0</v>
      </c>
      <c r="D488" s="92">
        <f>IF('CONT. ESTOQUE'!$B488&lt;&gt;"",SUMIF(SAÍDAS!$C$7:$C$800,'CONT. ESTOQUE'!$B488,SAÍDAS!$J$7:$J$800),"")</f>
        <v>0</v>
      </c>
      <c r="E488" s="92">
        <f>IFERROR('CONT. ESTOQUE'!$C488-'CONT. ESTOQUE'!$D488,"")</f>
        <v>0</v>
      </c>
      <c r="F488" s="92" t="str">
        <f>IFERROR(VLOOKUP('CONT. ESTOQUE'!$B488,PROD!$B$6:$G$1095,4,0),"")</f>
        <v/>
      </c>
      <c r="G488" s="92" t="str">
        <f>IF('CONT. ESTOQUE'!$B488&lt;&gt;"",IF('CONT. ESTOQUE'!$E488=0,"Sem Estoque",IF('CONT. ESTOQUE'!$E488&lt;'CONT. ESTOQUE'!$F488,"Estoque Perigoso","Estoque Confortável")),"")</f>
        <v>Sem Estoque</v>
      </c>
      <c r="H488" s="93">
        <f>SUMIF(SAÍDAS!$C$7:$C$289,'CONT. ESTOQUE'!$B488,SAÍDAS!$L$7:$L$289)</f>
        <v>0</v>
      </c>
      <c r="I488" s="93">
        <f>SUMIF(ENTRADAS!$C$8:$C$1002,'CONT. ESTOQUE'!$B488,ENTRADAS!$H$7:$H$1002)</f>
        <v>0</v>
      </c>
      <c r="J488" s="94">
        <f>'CONT. ESTOQUE'!$H488-'CONT. ESTOQUE'!$I488</f>
        <v>0</v>
      </c>
    </row>
    <row r="489" spans="2:10" ht="15.75" customHeight="1">
      <c r="B489" s="91">
        <f>PROD!B489</f>
        <v>0</v>
      </c>
      <c r="C489" s="92">
        <f>IF('CONT. ESTOQUE'!$B489&lt;&gt;"",SUMIF(ENTRADAS!$C$7:$C$1002,'CONT. ESTOQUE'!$B489,ENTRADAS!$E$7:$E$1002),"")</f>
        <v>0</v>
      </c>
      <c r="D489" s="92">
        <f>IF('CONT. ESTOQUE'!$B489&lt;&gt;"",SUMIF(SAÍDAS!$C$7:$C$800,'CONT. ESTOQUE'!$B489,SAÍDAS!$J$7:$J$800),"")</f>
        <v>0</v>
      </c>
      <c r="E489" s="92">
        <f>IFERROR('CONT. ESTOQUE'!$C489-'CONT. ESTOQUE'!$D489,"")</f>
        <v>0</v>
      </c>
      <c r="F489" s="92" t="str">
        <f>IFERROR(VLOOKUP('CONT. ESTOQUE'!$B489,PROD!$B$6:$G$1095,4,0),"")</f>
        <v/>
      </c>
      <c r="G489" s="92" t="str">
        <f>IF('CONT. ESTOQUE'!$B489&lt;&gt;"",IF('CONT. ESTOQUE'!$E489=0,"Sem Estoque",IF('CONT. ESTOQUE'!$E489&lt;'CONT. ESTOQUE'!$F489,"Estoque Perigoso","Estoque Confortável")),"")</f>
        <v>Sem Estoque</v>
      </c>
      <c r="H489" s="93">
        <f>SUMIF(SAÍDAS!$C$7:$C$289,'CONT. ESTOQUE'!$B489,SAÍDAS!$L$7:$L$289)</f>
        <v>0</v>
      </c>
      <c r="I489" s="93">
        <f>SUMIF(ENTRADAS!$C$8:$C$1002,'CONT. ESTOQUE'!$B489,ENTRADAS!$H$7:$H$1002)</f>
        <v>0</v>
      </c>
      <c r="J489" s="94">
        <f>'CONT. ESTOQUE'!$H489-'CONT. ESTOQUE'!$I489</f>
        <v>0</v>
      </c>
    </row>
    <row r="490" spans="2:10" ht="15.75" customHeight="1">
      <c r="B490" s="91">
        <f>PROD!B490</f>
        <v>0</v>
      </c>
      <c r="C490" s="92">
        <f>IF('CONT. ESTOQUE'!$B490&lt;&gt;"",SUMIF(ENTRADAS!$C$7:$C$1002,'CONT. ESTOQUE'!$B490,ENTRADAS!$E$7:$E$1002),"")</f>
        <v>0</v>
      </c>
      <c r="D490" s="92">
        <f>IF('CONT. ESTOQUE'!$B490&lt;&gt;"",SUMIF(SAÍDAS!$C$7:$C$800,'CONT. ESTOQUE'!$B490,SAÍDAS!$J$7:$J$800),"")</f>
        <v>0</v>
      </c>
      <c r="E490" s="92">
        <f>IFERROR('CONT. ESTOQUE'!$C490-'CONT. ESTOQUE'!$D490,"")</f>
        <v>0</v>
      </c>
      <c r="F490" s="92" t="str">
        <f>IFERROR(VLOOKUP('CONT. ESTOQUE'!$B490,PROD!$B$6:$G$1095,4,0),"")</f>
        <v/>
      </c>
      <c r="G490" s="92" t="str">
        <f>IF('CONT. ESTOQUE'!$B490&lt;&gt;"",IF('CONT. ESTOQUE'!$E490=0,"Sem Estoque",IF('CONT. ESTOQUE'!$E490&lt;'CONT. ESTOQUE'!$F490,"Estoque Perigoso","Estoque Confortável")),"")</f>
        <v>Sem Estoque</v>
      </c>
      <c r="H490" s="93">
        <f>SUMIF(SAÍDAS!$C$7:$C$289,'CONT. ESTOQUE'!$B490,SAÍDAS!$L$7:$L$289)</f>
        <v>0</v>
      </c>
      <c r="I490" s="93">
        <f>SUMIF(ENTRADAS!$C$8:$C$1002,'CONT. ESTOQUE'!$B490,ENTRADAS!$H$7:$H$1002)</f>
        <v>0</v>
      </c>
      <c r="J490" s="94">
        <f>'CONT. ESTOQUE'!$H490-'CONT. ESTOQUE'!$I490</f>
        <v>0</v>
      </c>
    </row>
    <row r="491" spans="2:10" ht="15.75" customHeight="1">
      <c r="B491" s="91">
        <f>PROD!B491</f>
        <v>0</v>
      </c>
      <c r="C491" s="92">
        <f>IF('CONT. ESTOQUE'!$B491&lt;&gt;"",SUMIF(ENTRADAS!$C$7:$C$1002,'CONT. ESTOQUE'!$B491,ENTRADAS!$E$7:$E$1002),"")</f>
        <v>0</v>
      </c>
      <c r="D491" s="92">
        <f>IF('CONT. ESTOQUE'!$B491&lt;&gt;"",SUMIF(SAÍDAS!$C$7:$C$800,'CONT. ESTOQUE'!$B491,SAÍDAS!$J$7:$J$800),"")</f>
        <v>0</v>
      </c>
      <c r="E491" s="92">
        <f>IFERROR('CONT. ESTOQUE'!$C491-'CONT. ESTOQUE'!$D491,"")</f>
        <v>0</v>
      </c>
      <c r="F491" s="92" t="str">
        <f>IFERROR(VLOOKUP('CONT. ESTOQUE'!$B491,PROD!$B$6:$G$1095,4,0),"")</f>
        <v/>
      </c>
      <c r="G491" s="92" t="str">
        <f>IF('CONT. ESTOQUE'!$B491&lt;&gt;"",IF('CONT. ESTOQUE'!$E491=0,"Sem Estoque",IF('CONT. ESTOQUE'!$E491&lt;'CONT. ESTOQUE'!$F491,"Estoque Perigoso","Estoque Confortável")),"")</f>
        <v>Sem Estoque</v>
      </c>
      <c r="H491" s="93">
        <f>SUMIF(SAÍDAS!$C$7:$C$289,'CONT. ESTOQUE'!$B491,SAÍDAS!$L$7:$L$289)</f>
        <v>0</v>
      </c>
      <c r="I491" s="93">
        <f>SUMIF(ENTRADAS!$C$8:$C$1002,'CONT. ESTOQUE'!$B491,ENTRADAS!$H$7:$H$1002)</f>
        <v>0</v>
      </c>
      <c r="J491" s="94">
        <f>'CONT. ESTOQUE'!$H491-'CONT. ESTOQUE'!$I491</f>
        <v>0</v>
      </c>
    </row>
    <row r="492" spans="2:10" ht="15.75" customHeight="1">
      <c r="B492" s="91">
        <f>PROD!B492</f>
        <v>0</v>
      </c>
      <c r="C492" s="92">
        <f>IF('CONT. ESTOQUE'!$B492&lt;&gt;"",SUMIF(ENTRADAS!$C$7:$C$1002,'CONT. ESTOQUE'!$B492,ENTRADAS!$E$7:$E$1002),"")</f>
        <v>0</v>
      </c>
      <c r="D492" s="92">
        <f>IF('CONT. ESTOQUE'!$B492&lt;&gt;"",SUMIF(SAÍDAS!$C$7:$C$800,'CONT. ESTOQUE'!$B492,SAÍDAS!$J$7:$J$800),"")</f>
        <v>0</v>
      </c>
      <c r="E492" s="92">
        <f>IFERROR('CONT. ESTOQUE'!$C492-'CONT. ESTOQUE'!$D492,"")</f>
        <v>0</v>
      </c>
      <c r="F492" s="92" t="str">
        <f>IFERROR(VLOOKUP('CONT. ESTOQUE'!$B492,PROD!$B$6:$G$1095,4,0),"")</f>
        <v/>
      </c>
      <c r="G492" s="92" t="str">
        <f>IF('CONT. ESTOQUE'!$B492&lt;&gt;"",IF('CONT. ESTOQUE'!$E492=0,"Sem Estoque",IF('CONT. ESTOQUE'!$E492&lt;'CONT. ESTOQUE'!$F492,"Estoque Perigoso","Estoque Confortável")),"")</f>
        <v>Sem Estoque</v>
      </c>
      <c r="H492" s="93">
        <f>SUMIF(SAÍDAS!$C$7:$C$289,'CONT. ESTOQUE'!$B492,SAÍDAS!$L$7:$L$289)</f>
        <v>0</v>
      </c>
      <c r="I492" s="93">
        <f>SUMIF(ENTRADAS!$C$8:$C$1002,'CONT. ESTOQUE'!$B492,ENTRADAS!$H$7:$H$1002)</f>
        <v>0</v>
      </c>
      <c r="J492" s="94">
        <f>'CONT. ESTOQUE'!$H492-'CONT. ESTOQUE'!$I492</f>
        <v>0</v>
      </c>
    </row>
    <row r="493" spans="2:10" ht="15.75" customHeight="1">
      <c r="B493" s="91">
        <f>PROD!B493</f>
        <v>0</v>
      </c>
      <c r="C493" s="92">
        <f>IF('CONT. ESTOQUE'!$B493&lt;&gt;"",SUMIF(ENTRADAS!$C$7:$C$1002,'CONT. ESTOQUE'!$B493,ENTRADAS!$E$7:$E$1002),"")</f>
        <v>0</v>
      </c>
      <c r="D493" s="92">
        <f>IF('CONT. ESTOQUE'!$B493&lt;&gt;"",SUMIF(SAÍDAS!$C$7:$C$800,'CONT. ESTOQUE'!$B493,SAÍDAS!$J$7:$J$800),"")</f>
        <v>0</v>
      </c>
      <c r="E493" s="92">
        <f>IFERROR('CONT. ESTOQUE'!$C493-'CONT. ESTOQUE'!$D493,"")</f>
        <v>0</v>
      </c>
      <c r="F493" s="92" t="str">
        <f>IFERROR(VLOOKUP('CONT. ESTOQUE'!$B493,PROD!$B$6:$G$1095,4,0),"")</f>
        <v/>
      </c>
      <c r="G493" s="92" t="str">
        <f>IF('CONT. ESTOQUE'!$B493&lt;&gt;"",IF('CONT. ESTOQUE'!$E493=0,"Sem Estoque",IF('CONT. ESTOQUE'!$E493&lt;'CONT. ESTOQUE'!$F493,"Estoque Perigoso","Estoque Confortável")),"")</f>
        <v>Sem Estoque</v>
      </c>
      <c r="H493" s="93">
        <f>SUMIF(SAÍDAS!$C$7:$C$289,'CONT. ESTOQUE'!$B493,SAÍDAS!$L$7:$L$289)</f>
        <v>0</v>
      </c>
      <c r="I493" s="93">
        <f>SUMIF(ENTRADAS!$C$8:$C$1002,'CONT. ESTOQUE'!$B493,ENTRADAS!$H$7:$H$1002)</f>
        <v>0</v>
      </c>
      <c r="J493" s="94">
        <f>'CONT. ESTOQUE'!$H493-'CONT. ESTOQUE'!$I493</f>
        <v>0</v>
      </c>
    </row>
    <row r="494" spans="2:10" ht="15.75" customHeight="1">
      <c r="B494" s="91">
        <f>PROD!B494</f>
        <v>0</v>
      </c>
      <c r="C494" s="92">
        <f>IF('CONT. ESTOQUE'!$B494&lt;&gt;"",SUMIF(ENTRADAS!$C$7:$C$1002,'CONT. ESTOQUE'!$B494,ENTRADAS!$E$7:$E$1002),"")</f>
        <v>0</v>
      </c>
      <c r="D494" s="92">
        <f>IF('CONT. ESTOQUE'!$B494&lt;&gt;"",SUMIF(SAÍDAS!$C$7:$C$800,'CONT. ESTOQUE'!$B494,SAÍDAS!$J$7:$J$800),"")</f>
        <v>0</v>
      </c>
      <c r="E494" s="92">
        <f>IFERROR('CONT. ESTOQUE'!$C494-'CONT. ESTOQUE'!$D494,"")</f>
        <v>0</v>
      </c>
      <c r="F494" s="92" t="str">
        <f>IFERROR(VLOOKUP('CONT. ESTOQUE'!$B494,PROD!$B$6:$G$1095,4,0),"")</f>
        <v/>
      </c>
      <c r="G494" s="92" t="str">
        <f>IF('CONT. ESTOQUE'!$B494&lt;&gt;"",IF('CONT. ESTOQUE'!$E494=0,"Sem Estoque",IF('CONT. ESTOQUE'!$E494&lt;'CONT. ESTOQUE'!$F494,"Estoque Perigoso","Estoque Confortável")),"")</f>
        <v>Sem Estoque</v>
      </c>
      <c r="H494" s="93">
        <f>SUMIF(SAÍDAS!$C$7:$C$289,'CONT. ESTOQUE'!$B494,SAÍDAS!$L$7:$L$289)</f>
        <v>0</v>
      </c>
      <c r="I494" s="93">
        <f>SUMIF(ENTRADAS!$C$8:$C$1002,'CONT. ESTOQUE'!$B494,ENTRADAS!$H$7:$H$1002)</f>
        <v>0</v>
      </c>
      <c r="J494" s="94">
        <f>'CONT. ESTOQUE'!$H494-'CONT. ESTOQUE'!$I494</f>
        <v>0</v>
      </c>
    </row>
    <row r="495" spans="2:10" ht="15.75" customHeight="1">
      <c r="B495" s="91">
        <f>PROD!B495</f>
        <v>0</v>
      </c>
      <c r="C495" s="92">
        <f>IF('CONT. ESTOQUE'!$B495&lt;&gt;"",SUMIF(ENTRADAS!$C$7:$C$1002,'CONT. ESTOQUE'!$B495,ENTRADAS!$E$7:$E$1002),"")</f>
        <v>0</v>
      </c>
      <c r="D495" s="92">
        <f>IF('CONT. ESTOQUE'!$B495&lt;&gt;"",SUMIF(SAÍDAS!$C$7:$C$800,'CONT. ESTOQUE'!$B495,SAÍDAS!$J$7:$J$800),"")</f>
        <v>0</v>
      </c>
      <c r="E495" s="92">
        <f>IFERROR('CONT. ESTOQUE'!$C495-'CONT. ESTOQUE'!$D495,"")</f>
        <v>0</v>
      </c>
      <c r="F495" s="92" t="str">
        <f>IFERROR(VLOOKUP('CONT. ESTOQUE'!$B495,PROD!$B$6:$G$1095,4,0),"")</f>
        <v/>
      </c>
      <c r="G495" s="92" t="str">
        <f>IF('CONT. ESTOQUE'!$B495&lt;&gt;"",IF('CONT. ESTOQUE'!$E495=0,"Sem Estoque",IF('CONT. ESTOQUE'!$E495&lt;'CONT. ESTOQUE'!$F495,"Estoque Perigoso","Estoque Confortável")),"")</f>
        <v>Sem Estoque</v>
      </c>
      <c r="H495" s="93">
        <f>SUMIF(SAÍDAS!$C$7:$C$289,'CONT. ESTOQUE'!$B495,SAÍDAS!$L$7:$L$289)</f>
        <v>0</v>
      </c>
      <c r="I495" s="93">
        <f>SUMIF(ENTRADAS!$C$8:$C$1002,'CONT. ESTOQUE'!$B495,ENTRADAS!$H$7:$H$1002)</f>
        <v>0</v>
      </c>
      <c r="J495" s="94">
        <f>'CONT. ESTOQUE'!$H495-'CONT. ESTOQUE'!$I495</f>
        <v>0</v>
      </c>
    </row>
    <row r="496" spans="2:10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  <row r="1066" ht="15.75" customHeight="1"/>
    <row r="1067" ht="15.75" customHeight="1"/>
    <row r="1068" ht="15.75" customHeight="1"/>
    <row r="1069" ht="15.75" customHeight="1"/>
    <row r="1070" ht="15.75" customHeight="1"/>
    <row r="1071" ht="15.75" customHeight="1"/>
    <row r="1072" ht="15.75" customHeight="1"/>
    <row r="1073" ht="15.75" customHeight="1"/>
    <row r="1074" ht="15.75" customHeight="1"/>
    <row r="1075" ht="15.75" customHeight="1"/>
    <row r="1076" ht="15.75" customHeight="1"/>
    <row r="1077" ht="15.75" customHeight="1"/>
    <row r="1078" ht="15.75" customHeight="1"/>
    <row r="1079" ht="15.75" customHeight="1"/>
    <row r="1080" ht="15.75" customHeight="1"/>
    <row r="1081" ht="15.75" customHeight="1"/>
    <row r="1082" ht="15.75" customHeight="1"/>
    <row r="1083" ht="15.75" customHeight="1"/>
    <row r="1084" ht="15.75" customHeight="1"/>
    <row r="1085" ht="15.75" customHeight="1"/>
    <row r="1086" ht="15.75" customHeight="1"/>
    <row r="1087" ht="15.75" customHeight="1"/>
    <row r="1088" ht="15.75" customHeight="1"/>
    <row r="1089" ht="15.75" customHeight="1"/>
    <row r="1090" ht="15.75" customHeight="1"/>
    <row r="1091" ht="15.75" customHeight="1"/>
    <row r="1092" ht="15.75" customHeight="1"/>
    <row r="1093" ht="15.75" customHeight="1"/>
    <row r="1094" ht="15.75" customHeight="1"/>
  </sheetData>
  <mergeCells count="1">
    <mergeCell ref="B4:E4"/>
  </mergeCells>
  <conditionalFormatting sqref="F4">
    <cfRule type="containsText" dxfId="5" priority="1" operator="containsText" text="Não">
      <formula>NOT(ISERROR(SEARCH(("Não"),(F4))))</formula>
    </cfRule>
  </conditionalFormatting>
  <conditionalFormatting sqref="F4">
    <cfRule type="containsText" dxfId="4" priority="2" operator="containsText" text="Sim">
      <formula>NOT(ISERROR(SEARCH(("Sim"),(F4))))</formula>
    </cfRule>
  </conditionalFormatting>
  <conditionalFormatting sqref="B7:J495">
    <cfRule type="expression" dxfId="3" priority="3">
      <formula>$G7 ="Estoque Confortável"</formula>
    </cfRule>
  </conditionalFormatting>
  <conditionalFormatting sqref="B7:J495">
    <cfRule type="expression" dxfId="2" priority="4">
      <formula>$G7="Sem Estoque"</formula>
    </cfRule>
  </conditionalFormatting>
  <conditionalFormatting sqref="B7:J495">
    <cfRule type="expression" dxfId="1" priority="5">
      <formula>$G7 = "Estoque Perigoso"</formula>
    </cfRule>
  </conditionalFormatting>
  <dataValidations count="1">
    <dataValidation type="custom" allowBlank="1" showInputMessage="1" showErrorMessage="1" prompt="ITEM JÁ EXISTE - O item que você tentou adicionar já foi adicionado anteriormente." sqref="B7:B495">
      <formula1>COUNTIF(INDIRECT("PRODUTO[Item]"),$B7)&lt;2</formula1>
    </dataValidation>
  </dataValidations>
  <hyperlinks>
    <hyperlink ref="L1" location="'Instruções'!A1" display="Dúvidas?"/>
  </hyperlinks>
  <pageMargins left="0.511811024" right="0.511811024" top="0.78740157499999996" bottom="0.78740157499999996" header="0" footer="0"/>
  <pageSetup paperSize="9" orientation="portrait" r:id="rId1"/>
  <drawing r:id="rId2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>
  <dimension ref="B2:I3"/>
  <sheetViews>
    <sheetView showGridLines="0" workbookViewId="0">
      <selection activeCell="F25" sqref="F25"/>
    </sheetView>
  </sheetViews>
  <sheetFormatPr defaultRowHeight="15"/>
  <cols>
    <col min="2" max="2" width="18.42578125" customWidth="1"/>
    <col min="3" max="9" width="11.140625" customWidth="1"/>
  </cols>
  <sheetData>
    <row r="2" spans="2:9">
      <c r="B2" s="108" t="s">
        <v>286</v>
      </c>
      <c r="C2" s="130" t="s">
        <v>287</v>
      </c>
      <c r="D2" s="130" t="s">
        <v>288</v>
      </c>
      <c r="E2" s="130" t="s">
        <v>289</v>
      </c>
      <c r="F2" s="130" t="s">
        <v>290</v>
      </c>
      <c r="G2" s="130" t="s">
        <v>291</v>
      </c>
      <c r="H2" s="130" t="s">
        <v>292</v>
      </c>
      <c r="I2" s="130" t="s">
        <v>293</v>
      </c>
    </row>
    <row r="3" spans="2:9">
      <c r="B3" s="108" t="s">
        <v>285</v>
      </c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>
  <dimension ref="A1:B287"/>
  <sheetViews>
    <sheetView workbookViewId="0">
      <selection activeCell="B2" sqref="B2"/>
    </sheetView>
  </sheetViews>
  <sheetFormatPr defaultRowHeight="31.5" customHeight="1"/>
  <cols>
    <col min="1" max="1" width="32.7109375" customWidth="1"/>
    <col min="2" max="2" width="21.5703125" style="161" customWidth="1"/>
    <col min="3" max="3" width="9.140625" customWidth="1"/>
  </cols>
  <sheetData>
    <row r="1" spans="1:2" s="154" customFormat="1" ht="31.5" customHeight="1">
      <c r="A1" s="154" t="s">
        <v>66</v>
      </c>
      <c r="B1" s="161">
        <v>0</v>
      </c>
    </row>
    <row r="2" spans="1:2" ht="31.5" customHeight="1">
      <c r="A2" t="s">
        <v>92</v>
      </c>
      <c r="B2" s="161">
        <v>42</v>
      </c>
    </row>
    <row r="3" spans="1:2" ht="31.5" customHeight="1">
      <c r="A3" t="s">
        <v>93</v>
      </c>
      <c r="B3" s="161">
        <v>22</v>
      </c>
    </row>
    <row r="4" spans="1:2" ht="31.5" customHeight="1">
      <c r="A4" t="s">
        <v>94</v>
      </c>
      <c r="B4" s="161">
        <v>23</v>
      </c>
    </row>
    <row r="5" spans="1:2" ht="31.5" customHeight="1">
      <c r="A5" t="s">
        <v>95</v>
      </c>
      <c r="B5" s="161">
        <v>9</v>
      </c>
    </row>
    <row r="6" spans="1:2" ht="31.5" customHeight="1">
      <c r="A6" t="s">
        <v>96</v>
      </c>
      <c r="B6" s="161">
        <v>3</v>
      </c>
    </row>
    <row r="7" spans="1:2" ht="31.5" customHeight="1">
      <c r="A7" t="s">
        <v>97</v>
      </c>
      <c r="B7" s="161">
        <v>0</v>
      </c>
    </row>
    <row r="8" spans="1:2" ht="31.5" customHeight="1">
      <c r="A8" t="s">
        <v>98</v>
      </c>
      <c r="B8" s="161">
        <v>0</v>
      </c>
    </row>
    <row r="9" spans="1:2" ht="31.5" customHeight="1">
      <c r="A9" t="s">
        <v>231</v>
      </c>
      <c r="B9" s="161">
        <v>0</v>
      </c>
    </row>
    <row r="10" spans="1:2" ht="31.5" customHeight="1">
      <c r="A10" t="s">
        <v>67</v>
      </c>
      <c r="B10" s="161">
        <v>0</v>
      </c>
    </row>
    <row r="11" spans="1:2" ht="31.5" customHeight="1">
      <c r="A11" t="s">
        <v>99</v>
      </c>
      <c r="B11" s="161">
        <v>2</v>
      </c>
    </row>
    <row r="12" spans="1:2" ht="31.5" customHeight="1">
      <c r="A12" t="s">
        <v>100</v>
      </c>
      <c r="B12" s="161">
        <v>6</v>
      </c>
    </row>
    <row r="13" spans="1:2" ht="31.5" customHeight="1">
      <c r="A13" t="s">
        <v>101</v>
      </c>
      <c r="B13" s="161">
        <v>9</v>
      </c>
    </row>
    <row r="14" spans="1:2" ht="31.5" customHeight="1">
      <c r="A14" t="s">
        <v>102</v>
      </c>
      <c r="B14" s="161">
        <v>112</v>
      </c>
    </row>
    <row r="15" spans="1:2" ht="31.5" customHeight="1">
      <c r="A15" t="s">
        <v>103</v>
      </c>
      <c r="B15" s="161">
        <v>135</v>
      </c>
    </row>
    <row r="16" spans="1:2" ht="31.5" customHeight="1">
      <c r="A16" t="s">
        <v>104</v>
      </c>
      <c r="B16" s="161">
        <v>29</v>
      </c>
    </row>
    <row r="17" spans="1:2" ht="31.5" customHeight="1">
      <c r="A17" t="s">
        <v>105</v>
      </c>
      <c r="B17" s="161">
        <v>22</v>
      </c>
    </row>
    <row r="18" spans="1:2" ht="31.5" customHeight="1">
      <c r="A18" t="s">
        <v>231</v>
      </c>
      <c r="B18" s="161">
        <v>0</v>
      </c>
    </row>
    <row r="19" spans="1:2" ht="31.5" customHeight="1">
      <c r="A19" t="s">
        <v>68</v>
      </c>
      <c r="B19" s="161">
        <v>0</v>
      </c>
    </row>
    <row r="20" spans="1:2" ht="31.5" customHeight="1">
      <c r="A20" t="s">
        <v>262</v>
      </c>
      <c r="B20" s="161">
        <v>6</v>
      </c>
    </row>
    <row r="21" spans="1:2" ht="31.5" customHeight="1">
      <c r="A21" t="s">
        <v>106</v>
      </c>
      <c r="B21" s="161">
        <v>5</v>
      </c>
    </row>
    <row r="22" spans="1:2" ht="31.5" customHeight="1">
      <c r="A22" t="s">
        <v>107</v>
      </c>
      <c r="B22" s="161">
        <v>24</v>
      </c>
    </row>
    <row r="23" spans="1:2" ht="31.5" customHeight="1">
      <c r="A23" t="s">
        <v>108</v>
      </c>
      <c r="B23" s="161">
        <v>38</v>
      </c>
    </row>
    <row r="24" spans="1:2" ht="31.5" customHeight="1">
      <c r="A24" t="s">
        <v>109</v>
      </c>
      <c r="B24" s="161">
        <v>41</v>
      </c>
    </row>
    <row r="25" spans="1:2" ht="31.5" customHeight="1">
      <c r="A25" t="s">
        <v>110</v>
      </c>
      <c r="B25" s="161">
        <v>27</v>
      </c>
    </row>
    <row r="26" spans="1:2" ht="31.5" customHeight="1">
      <c r="A26" t="s">
        <v>111</v>
      </c>
      <c r="B26" s="161">
        <v>10</v>
      </c>
    </row>
    <row r="27" spans="1:2" ht="31.5" customHeight="1">
      <c r="A27" t="s">
        <v>112</v>
      </c>
      <c r="B27" s="161">
        <v>3</v>
      </c>
    </row>
    <row r="28" spans="1:2" ht="31.5" customHeight="1">
      <c r="A28" t="s">
        <v>261</v>
      </c>
      <c r="B28" s="161">
        <v>3</v>
      </c>
    </row>
    <row r="29" spans="1:2" ht="31.5" customHeight="1">
      <c r="A29" t="s">
        <v>324</v>
      </c>
      <c r="B29" s="161">
        <v>0</v>
      </c>
    </row>
    <row r="30" spans="1:2" ht="31.5" customHeight="1">
      <c r="A30" t="s">
        <v>325</v>
      </c>
      <c r="B30" s="161">
        <v>1</v>
      </c>
    </row>
    <row r="31" spans="1:2" ht="31.5" customHeight="1">
      <c r="A31" t="s">
        <v>231</v>
      </c>
      <c r="B31" s="161">
        <v>0</v>
      </c>
    </row>
    <row r="32" spans="1:2" ht="31.5" customHeight="1">
      <c r="A32" t="s">
        <v>90</v>
      </c>
      <c r="B32" s="161">
        <v>0</v>
      </c>
    </row>
    <row r="33" spans="1:2" ht="31.5" customHeight="1">
      <c r="A33" t="s">
        <v>113</v>
      </c>
      <c r="B33" s="161">
        <v>2</v>
      </c>
    </row>
    <row r="34" spans="1:2" ht="31.5" customHeight="1">
      <c r="A34" t="s">
        <v>263</v>
      </c>
      <c r="B34" s="161">
        <v>5</v>
      </c>
    </row>
    <row r="35" spans="1:2" ht="31.5" customHeight="1">
      <c r="A35" t="s">
        <v>114</v>
      </c>
      <c r="B35" s="161">
        <v>4</v>
      </c>
    </row>
    <row r="36" spans="1:2" ht="31.5" customHeight="1">
      <c r="A36" t="s">
        <v>264</v>
      </c>
      <c r="B36" s="161">
        <v>4</v>
      </c>
    </row>
    <row r="37" spans="1:2" ht="31.5" customHeight="1">
      <c r="A37" t="s">
        <v>115</v>
      </c>
      <c r="B37" s="161">
        <v>4</v>
      </c>
    </row>
    <row r="38" spans="1:2" ht="31.5" customHeight="1">
      <c r="A38" t="s">
        <v>265</v>
      </c>
      <c r="B38" s="161">
        <v>4</v>
      </c>
    </row>
    <row r="39" spans="1:2" ht="31.5" customHeight="1">
      <c r="A39" t="s">
        <v>231</v>
      </c>
      <c r="B39" s="161">
        <v>0</v>
      </c>
    </row>
    <row r="40" spans="1:2" ht="31.5" customHeight="1">
      <c r="A40" t="s">
        <v>69</v>
      </c>
      <c r="B40" s="161">
        <v>0</v>
      </c>
    </row>
    <row r="41" spans="1:2" ht="31.5" customHeight="1">
      <c r="A41" t="s">
        <v>116</v>
      </c>
      <c r="B41" s="161">
        <v>6</v>
      </c>
    </row>
    <row r="42" spans="1:2" ht="31.5" customHeight="1">
      <c r="A42" t="s">
        <v>117</v>
      </c>
      <c r="B42" s="161">
        <v>6</v>
      </c>
    </row>
    <row r="43" spans="1:2" ht="31.5" customHeight="1">
      <c r="A43" t="s">
        <v>118</v>
      </c>
      <c r="B43" s="161">
        <v>7</v>
      </c>
    </row>
    <row r="44" spans="1:2" ht="31.5" customHeight="1">
      <c r="A44" t="s">
        <v>119</v>
      </c>
      <c r="B44" s="161">
        <v>7</v>
      </c>
    </row>
    <row r="45" spans="1:2" ht="31.5" customHeight="1">
      <c r="A45" t="s">
        <v>120</v>
      </c>
      <c r="B45" s="161">
        <v>8</v>
      </c>
    </row>
    <row r="46" spans="1:2" ht="31.5" customHeight="1">
      <c r="A46" t="s">
        <v>121</v>
      </c>
      <c r="B46" s="161">
        <v>4</v>
      </c>
    </row>
    <row r="47" spans="1:2" ht="31.5" customHeight="1">
      <c r="A47" t="s">
        <v>122</v>
      </c>
      <c r="B47" s="161">
        <v>2</v>
      </c>
    </row>
    <row r="48" spans="1:2" ht="31.5" customHeight="1">
      <c r="A48" t="s">
        <v>231</v>
      </c>
      <c r="B48" s="161">
        <v>0</v>
      </c>
    </row>
    <row r="49" spans="1:2" ht="31.5" customHeight="1">
      <c r="A49" t="s">
        <v>70</v>
      </c>
      <c r="B49" s="161">
        <v>0</v>
      </c>
    </row>
    <row r="50" spans="1:2" ht="31.5" customHeight="1">
      <c r="A50" t="s">
        <v>123</v>
      </c>
      <c r="B50" s="161">
        <v>6</v>
      </c>
    </row>
    <row r="51" spans="1:2" ht="31.5" customHeight="1">
      <c r="A51" t="s">
        <v>124</v>
      </c>
      <c r="B51" s="161">
        <v>4</v>
      </c>
    </row>
    <row r="52" spans="1:2" ht="31.5" customHeight="1">
      <c r="A52" t="s">
        <v>125</v>
      </c>
      <c r="B52" s="161">
        <v>5</v>
      </c>
    </row>
    <row r="53" spans="1:2" ht="31.5" customHeight="1">
      <c r="A53" t="s">
        <v>126</v>
      </c>
      <c r="B53" s="161">
        <v>6</v>
      </c>
    </row>
    <row r="54" spans="1:2" ht="31.5" customHeight="1">
      <c r="A54" t="s">
        <v>127</v>
      </c>
      <c r="B54" s="161">
        <v>6</v>
      </c>
    </row>
    <row r="55" spans="1:2" ht="31.5" customHeight="1">
      <c r="A55" t="s">
        <v>128</v>
      </c>
      <c r="B55" s="161">
        <v>8</v>
      </c>
    </row>
    <row r="56" spans="1:2" ht="31.5" customHeight="1">
      <c r="A56" t="s">
        <v>129</v>
      </c>
      <c r="B56" s="161">
        <v>5</v>
      </c>
    </row>
    <row r="57" spans="1:2" ht="31.5" customHeight="1">
      <c r="A57" t="s">
        <v>130</v>
      </c>
      <c r="B57" s="161">
        <v>0</v>
      </c>
    </row>
    <row r="58" spans="1:2" ht="31.5" customHeight="1">
      <c r="A58" t="s">
        <v>131</v>
      </c>
      <c r="B58" s="161">
        <v>5</v>
      </c>
    </row>
    <row r="59" spans="1:2" ht="31.5" customHeight="1">
      <c r="A59" t="s">
        <v>132</v>
      </c>
      <c r="B59" s="161">
        <v>6</v>
      </c>
    </row>
    <row r="60" spans="1:2" ht="31.5" customHeight="1">
      <c r="A60" t="s">
        <v>133</v>
      </c>
      <c r="B60" s="161">
        <v>5</v>
      </c>
    </row>
    <row r="61" spans="1:2" ht="31.5" customHeight="1">
      <c r="A61" t="s">
        <v>231</v>
      </c>
      <c r="B61" s="161">
        <v>0</v>
      </c>
    </row>
    <row r="62" spans="1:2" ht="31.5" customHeight="1">
      <c r="A62" t="s">
        <v>71</v>
      </c>
      <c r="B62" s="161">
        <v>0</v>
      </c>
    </row>
    <row r="63" spans="1:2" ht="31.5" customHeight="1">
      <c r="A63" t="s">
        <v>134</v>
      </c>
      <c r="B63" s="161">
        <v>3</v>
      </c>
    </row>
    <row r="64" spans="1:2" ht="31.5" customHeight="1">
      <c r="A64" t="s">
        <v>137</v>
      </c>
      <c r="B64" s="161">
        <v>5</v>
      </c>
    </row>
    <row r="65" spans="1:2" ht="31.5" customHeight="1">
      <c r="A65" t="s">
        <v>136</v>
      </c>
      <c r="B65" s="161">
        <v>5</v>
      </c>
    </row>
    <row r="66" spans="1:2" ht="31.5" customHeight="1">
      <c r="A66" t="s">
        <v>135</v>
      </c>
      <c r="B66" s="161">
        <v>4</v>
      </c>
    </row>
    <row r="67" spans="1:2" ht="31.5" customHeight="1">
      <c r="A67" t="s">
        <v>138</v>
      </c>
      <c r="B67" s="161">
        <v>5</v>
      </c>
    </row>
    <row r="68" spans="1:2" ht="31.5" customHeight="1">
      <c r="A68" t="s">
        <v>139</v>
      </c>
      <c r="B68" s="161">
        <v>1</v>
      </c>
    </row>
    <row r="69" spans="1:2" ht="31.5" customHeight="1">
      <c r="A69" t="s">
        <v>231</v>
      </c>
      <c r="B69" s="161">
        <v>0</v>
      </c>
    </row>
    <row r="70" spans="1:2" ht="31.5" customHeight="1">
      <c r="A70" t="s">
        <v>72</v>
      </c>
      <c r="B70" s="161">
        <v>0</v>
      </c>
    </row>
    <row r="71" spans="1:2" ht="31.5" customHeight="1">
      <c r="A71" t="s">
        <v>321</v>
      </c>
      <c r="B71" s="161">
        <v>1</v>
      </c>
    </row>
    <row r="72" spans="1:2" ht="31.5" customHeight="1">
      <c r="A72" t="s">
        <v>322</v>
      </c>
      <c r="B72" s="161">
        <v>3</v>
      </c>
    </row>
    <row r="73" spans="1:2" ht="31.5" customHeight="1">
      <c r="A73" t="s">
        <v>140</v>
      </c>
      <c r="B73" s="161">
        <v>3</v>
      </c>
    </row>
    <row r="74" spans="1:2" ht="31.5" customHeight="1">
      <c r="A74" t="s">
        <v>141</v>
      </c>
      <c r="B74" s="161">
        <v>2</v>
      </c>
    </row>
    <row r="75" spans="1:2" ht="31.5" customHeight="1">
      <c r="A75" t="s">
        <v>142</v>
      </c>
      <c r="B75" s="161">
        <v>3</v>
      </c>
    </row>
    <row r="76" spans="1:2" ht="31.5" customHeight="1">
      <c r="A76" t="s">
        <v>231</v>
      </c>
      <c r="B76" s="161">
        <v>0</v>
      </c>
    </row>
    <row r="77" spans="1:2" ht="31.5" customHeight="1">
      <c r="A77" t="s">
        <v>73</v>
      </c>
      <c r="B77" s="161">
        <v>0</v>
      </c>
    </row>
    <row r="78" spans="1:2" ht="31.5" customHeight="1">
      <c r="A78" t="s">
        <v>143</v>
      </c>
      <c r="B78" s="161">
        <v>1</v>
      </c>
    </row>
    <row r="79" spans="1:2" ht="31.5" customHeight="1">
      <c r="A79" t="s">
        <v>144</v>
      </c>
      <c r="B79" s="161">
        <v>3</v>
      </c>
    </row>
    <row r="80" spans="1:2" ht="31.5" customHeight="1">
      <c r="A80" t="s">
        <v>145</v>
      </c>
      <c r="B80" s="161">
        <v>2</v>
      </c>
    </row>
    <row r="81" spans="1:2" ht="31.5" customHeight="1">
      <c r="A81" t="s">
        <v>146</v>
      </c>
      <c r="B81" s="161">
        <v>7</v>
      </c>
    </row>
    <row r="82" spans="1:2" ht="31.5" customHeight="1">
      <c r="A82" t="s">
        <v>147</v>
      </c>
      <c r="B82" s="161">
        <v>0</v>
      </c>
    </row>
    <row r="83" spans="1:2" ht="31.5" customHeight="1">
      <c r="A83" t="s">
        <v>148</v>
      </c>
      <c r="B83" s="161">
        <v>7</v>
      </c>
    </row>
    <row r="84" spans="1:2" ht="31.5" customHeight="1">
      <c r="A84" t="s">
        <v>149</v>
      </c>
      <c r="B84" s="161">
        <v>1</v>
      </c>
    </row>
    <row r="85" spans="1:2" ht="31.5" customHeight="1">
      <c r="A85" t="s">
        <v>231</v>
      </c>
      <c r="B85" s="161">
        <v>0</v>
      </c>
    </row>
    <row r="86" spans="1:2" ht="31.5" customHeight="1">
      <c r="A86" t="s">
        <v>74</v>
      </c>
      <c r="B86" s="161">
        <v>0</v>
      </c>
    </row>
    <row r="87" spans="1:2" ht="31.5" customHeight="1">
      <c r="A87" t="s">
        <v>150</v>
      </c>
      <c r="B87" s="161">
        <v>3</v>
      </c>
    </row>
    <row r="88" spans="1:2" ht="31.5" customHeight="1">
      <c r="A88" t="s">
        <v>151</v>
      </c>
      <c r="B88" s="161">
        <v>20</v>
      </c>
    </row>
    <row r="89" spans="1:2" ht="31.5" customHeight="1">
      <c r="A89" t="s">
        <v>152</v>
      </c>
      <c r="B89" s="161">
        <v>11</v>
      </c>
    </row>
    <row r="90" spans="1:2" ht="31.5" customHeight="1">
      <c r="A90" t="s">
        <v>153</v>
      </c>
      <c r="B90" s="161">
        <v>4</v>
      </c>
    </row>
    <row r="91" spans="1:2" ht="31.5" customHeight="1">
      <c r="A91" t="s">
        <v>154</v>
      </c>
      <c r="B91" s="161">
        <v>5</v>
      </c>
    </row>
    <row r="92" spans="1:2" ht="31.5" customHeight="1">
      <c r="A92" t="s">
        <v>155</v>
      </c>
      <c r="B92" s="161">
        <v>10</v>
      </c>
    </row>
    <row r="93" spans="1:2" ht="31.5" customHeight="1">
      <c r="A93" t="s">
        <v>231</v>
      </c>
      <c r="B93" s="161">
        <v>0</v>
      </c>
    </row>
    <row r="94" spans="1:2" ht="31.5" customHeight="1">
      <c r="A94" t="s">
        <v>75</v>
      </c>
      <c r="B94" s="161">
        <v>0</v>
      </c>
    </row>
    <row r="95" spans="1:2" ht="31.5" customHeight="1">
      <c r="A95" t="s">
        <v>156</v>
      </c>
      <c r="B95" s="161">
        <v>4</v>
      </c>
    </row>
    <row r="96" spans="1:2" ht="31.5" customHeight="1">
      <c r="A96" t="s">
        <v>157</v>
      </c>
      <c r="B96" s="161">
        <v>17</v>
      </c>
    </row>
    <row r="97" spans="1:2" ht="31.5" customHeight="1">
      <c r="A97" t="s">
        <v>158</v>
      </c>
      <c r="B97" s="161">
        <v>11</v>
      </c>
    </row>
    <row r="98" spans="1:2" ht="31.5" customHeight="1">
      <c r="A98" t="s">
        <v>159</v>
      </c>
      <c r="B98" s="161">
        <v>3</v>
      </c>
    </row>
    <row r="99" spans="1:2" ht="31.5" customHeight="1">
      <c r="A99" t="s">
        <v>326</v>
      </c>
      <c r="B99" s="161">
        <v>2</v>
      </c>
    </row>
    <row r="100" spans="1:2" ht="31.5" customHeight="1">
      <c r="A100" t="s">
        <v>231</v>
      </c>
      <c r="B100" s="161">
        <v>0</v>
      </c>
    </row>
    <row r="101" spans="1:2" ht="31.5" customHeight="1">
      <c r="A101" t="s">
        <v>77</v>
      </c>
      <c r="B101" s="161">
        <v>0</v>
      </c>
    </row>
    <row r="102" spans="1:2" ht="31.5" customHeight="1">
      <c r="A102" t="s">
        <v>294</v>
      </c>
      <c r="B102" s="161">
        <v>1</v>
      </c>
    </row>
    <row r="103" spans="1:2" ht="31.5" customHeight="1">
      <c r="A103" t="s">
        <v>266</v>
      </c>
      <c r="B103" s="161">
        <v>0</v>
      </c>
    </row>
    <row r="104" spans="1:2" ht="31.5" customHeight="1">
      <c r="A104" t="s">
        <v>160</v>
      </c>
      <c r="B104" s="161">
        <v>3</v>
      </c>
    </row>
    <row r="105" spans="1:2" ht="31.5" customHeight="1">
      <c r="A105" t="s">
        <v>161</v>
      </c>
      <c r="B105" s="161">
        <v>2</v>
      </c>
    </row>
    <row r="106" spans="1:2" ht="31.5" customHeight="1">
      <c r="A106" t="s">
        <v>231</v>
      </c>
      <c r="B106" s="161">
        <v>0</v>
      </c>
    </row>
    <row r="107" spans="1:2" ht="31.5" customHeight="1">
      <c r="A107" t="s">
        <v>76</v>
      </c>
      <c r="B107" s="161">
        <v>0</v>
      </c>
    </row>
    <row r="108" spans="1:2" ht="31.5" customHeight="1">
      <c r="A108" t="s">
        <v>162</v>
      </c>
      <c r="B108" s="161">
        <v>4</v>
      </c>
    </row>
    <row r="109" spans="1:2" ht="31.5" customHeight="1">
      <c r="A109" t="s">
        <v>163</v>
      </c>
      <c r="B109" s="161">
        <v>6</v>
      </c>
    </row>
    <row r="110" spans="1:2" ht="31.5" customHeight="1">
      <c r="A110" t="s">
        <v>164</v>
      </c>
      <c r="B110" s="161">
        <v>5</v>
      </c>
    </row>
    <row r="111" spans="1:2" ht="31.5" customHeight="1">
      <c r="A111" t="s">
        <v>165</v>
      </c>
      <c r="B111" s="161">
        <v>3</v>
      </c>
    </row>
    <row r="112" spans="1:2" ht="31.5" customHeight="1">
      <c r="A112" t="s">
        <v>231</v>
      </c>
      <c r="B112" s="161">
        <v>0</v>
      </c>
    </row>
    <row r="113" spans="1:2" ht="31.5" customHeight="1">
      <c r="A113" t="s">
        <v>78</v>
      </c>
      <c r="B113" s="161">
        <v>0</v>
      </c>
    </row>
    <row r="114" spans="1:2" ht="31.5" customHeight="1">
      <c r="A114" t="s">
        <v>166</v>
      </c>
      <c r="B114" s="161">
        <v>8</v>
      </c>
    </row>
    <row r="115" spans="1:2" ht="31.5" customHeight="1">
      <c r="A115" t="s">
        <v>167</v>
      </c>
      <c r="B115" s="161">
        <v>5</v>
      </c>
    </row>
    <row r="116" spans="1:2" ht="31.5" customHeight="1">
      <c r="A116" t="s">
        <v>231</v>
      </c>
      <c r="B116" s="161">
        <v>0</v>
      </c>
    </row>
    <row r="117" spans="1:2" ht="31.5" customHeight="1">
      <c r="A117" t="s">
        <v>79</v>
      </c>
      <c r="B117" s="161">
        <v>0</v>
      </c>
    </row>
    <row r="118" spans="1:2" ht="31.5" customHeight="1">
      <c r="A118" t="s">
        <v>168</v>
      </c>
      <c r="B118" s="161">
        <v>36</v>
      </c>
    </row>
    <row r="119" spans="1:2" ht="31.5" customHeight="1">
      <c r="A119" t="s">
        <v>169</v>
      </c>
      <c r="B119" s="161">
        <v>15</v>
      </c>
    </row>
    <row r="120" spans="1:2" ht="31.5" customHeight="1">
      <c r="A120" t="s">
        <v>170</v>
      </c>
      <c r="B120" s="161">
        <v>13</v>
      </c>
    </row>
    <row r="121" spans="1:2" ht="31.5" customHeight="1">
      <c r="A121" t="s">
        <v>171</v>
      </c>
      <c r="B121" s="161">
        <v>5</v>
      </c>
    </row>
    <row r="122" spans="1:2" ht="31.5" customHeight="1">
      <c r="A122" t="s">
        <v>172</v>
      </c>
      <c r="B122" s="161">
        <v>9</v>
      </c>
    </row>
    <row r="123" spans="1:2" ht="31.5" customHeight="1">
      <c r="A123" t="s">
        <v>173</v>
      </c>
      <c r="B123" s="161">
        <v>5</v>
      </c>
    </row>
    <row r="124" spans="1:2" ht="31.5" customHeight="1">
      <c r="A124" t="s">
        <v>174</v>
      </c>
      <c r="B124" s="161">
        <v>0</v>
      </c>
    </row>
    <row r="125" spans="1:2" ht="31.5" customHeight="1">
      <c r="A125" t="s">
        <v>175</v>
      </c>
      <c r="B125" s="161">
        <v>4</v>
      </c>
    </row>
    <row r="126" spans="1:2" ht="31.5" customHeight="1">
      <c r="A126" t="s">
        <v>231</v>
      </c>
      <c r="B126" s="161">
        <v>0</v>
      </c>
    </row>
    <row r="127" spans="1:2" ht="31.5" customHeight="1">
      <c r="A127" t="s">
        <v>80</v>
      </c>
      <c r="B127" s="161">
        <v>0</v>
      </c>
    </row>
    <row r="128" spans="1:2" ht="31.5" customHeight="1">
      <c r="A128" t="s">
        <v>176</v>
      </c>
      <c r="B128" s="161">
        <v>16</v>
      </c>
    </row>
    <row r="129" spans="1:2" ht="31.5" customHeight="1">
      <c r="A129" t="s">
        <v>177</v>
      </c>
      <c r="B129" s="161">
        <v>17</v>
      </c>
    </row>
    <row r="130" spans="1:2" ht="31.5" customHeight="1">
      <c r="A130" t="s">
        <v>178</v>
      </c>
      <c r="B130" s="161">
        <v>11</v>
      </c>
    </row>
    <row r="131" spans="1:2" ht="31.5" customHeight="1">
      <c r="A131" t="s">
        <v>179</v>
      </c>
      <c r="B131" s="161">
        <v>13</v>
      </c>
    </row>
    <row r="132" spans="1:2" ht="31.5" customHeight="1">
      <c r="A132" t="s">
        <v>180</v>
      </c>
      <c r="B132" s="161">
        <v>3</v>
      </c>
    </row>
    <row r="133" spans="1:2" ht="31.5" customHeight="1">
      <c r="A133" t="s">
        <v>231</v>
      </c>
      <c r="B133" s="161">
        <v>0</v>
      </c>
    </row>
    <row r="134" spans="1:2" ht="31.5" customHeight="1">
      <c r="A134" t="s">
        <v>81</v>
      </c>
      <c r="B134" s="161">
        <v>0</v>
      </c>
    </row>
    <row r="135" spans="1:2" ht="31.5" customHeight="1">
      <c r="A135" t="s">
        <v>181</v>
      </c>
      <c r="B135" s="161">
        <v>3</v>
      </c>
    </row>
    <row r="136" spans="1:2" ht="31.5" customHeight="1">
      <c r="A136" t="s">
        <v>182</v>
      </c>
      <c r="B136" s="161">
        <v>6</v>
      </c>
    </row>
    <row r="137" spans="1:2" ht="31.5" customHeight="1">
      <c r="A137" t="s">
        <v>183</v>
      </c>
      <c r="B137" s="161">
        <v>3</v>
      </c>
    </row>
    <row r="138" spans="1:2" ht="31.5" customHeight="1">
      <c r="A138" t="s">
        <v>184</v>
      </c>
      <c r="B138" s="161">
        <v>3</v>
      </c>
    </row>
    <row r="139" spans="1:2" ht="31.5" customHeight="1">
      <c r="A139" t="s">
        <v>231</v>
      </c>
      <c r="B139" s="161">
        <v>0</v>
      </c>
    </row>
    <row r="140" spans="1:2" ht="31.5" customHeight="1">
      <c r="A140" t="s">
        <v>82</v>
      </c>
      <c r="B140" s="161">
        <v>0</v>
      </c>
    </row>
    <row r="141" spans="1:2" ht="31.5" customHeight="1">
      <c r="A141" t="s">
        <v>267</v>
      </c>
      <c r="B141" s="161">
        <v>4</v>
      </c>
    </row>
    <row r="142" spans="1:2" ht="31.5" customHeight="1">
      <c r="A142" t="s">
        <v>185</v>
      </c>
      <c r="B142" s="161">
        <v>5</v>
      </c>
    </row>
    <row r="143" spans="1:2" ht="31.5" customHeight="1">
      <c r="A143" t="s">
        <v>186</v>
      </c>
      <c r="B143" s="161">
        <v>5</v>
      </c>
    </row>
    <row r="144" spans="1:2" ht="31.5" customHeight="1">
      <c r="A144" t="s">
        <v>187</v>
      </c>
      <c r="B144" s="161">
        <v>4</v>
      </c>
    </row>
    <row r="145" spans="1:2" ht="31.5" customHeight="1">
      <c r="A145" t="s">
        <v>231</v>
      </c>
      <c r="B145" s="161">
        <v>0</v>
      </c>
    </row>
    <row r="146" spans="1:2" ht="31.5" customHeight="1">
      <c r="A146" t="s">
        <v>83</v>
      </c>
      <c r="B146" s="161">
        <v>0</v>
      </c>
    </row>
    <row r="147" spans="1:2" ht="31.5" customHeight="1">
      <c r="A147" t="s">
        <v>188</v>
      </c>
      <c r="B147" s="161">
        <v>8</v>
      </c>
    </row>
    <row r="148" spans="1:2" ht="31.5" customHeight="1">
      <c r="A148" t="s">
        <v>189</v>
      </c>
      <c r="B148" s="161">
        <v>5</v>
      </c>
    </row>
    <row r="149" spans="1:2" ht="31.5" customHeight="1">
      <c r="A149" t="s">
        <v>190</v>
      </c>
      <c r="B149" s="161">
        <v>4</v>
      </c>
    </row>
    <row r="150" spans="1:2" ht="31.5" customHeight="1">
      <c r="A150" t="s">
        <v>191</v>
      </c>
      <c r="B150" s="161">
        <v>0</v>
      </c>
    </row>
    <row r="151" spans="1:2" ht="31.5" customHeight="1">
      <c r="A151" t="s">
        <v>231</v>
      </c>
      <c r="B151" s="161">
        <v>0</v>
      </c>
    </row>
    <row r="152" spans="1:2" ht="31.5" customHeight="1">
      <c r="A152" t="s">
        <v>84</v>
      </c>
      <c r="B152" s="161">
        <v>0</v>
      </c>
    </row>
    <row r="153" spans="1:2" ht="31.5" customHeight="1">
      <c r="A153" t="s">
        <v>192</v>
      </c>
      <c r="B153" s="161">
        <v>6</v>
      </c>
    </row>
    <row r="154" spans="1:2" ht="31.5" customHeight="1">
      <c r="A154" t="s">
        <v>193</v>
      </c>
      <c r="B154" s="161">
        <v>27</v>
      </c>
    </row>
    <row r="155" spans="1:2" ht="31.5" customHeight="1">
      <c r="A155" t="s">
        <v>194</v>
      </c>
      <c r="B155" s="161">
        <v>33</v>
      </c>
    </row>
    <row r="156" spans="1:2" ht="31.5" customHeight="1">
      <c r="A156" t="s">
        <v>195</v>
      </c>
      <c r="B156" s="161">
        <v>6</v>
      </c>
    </row>
    <row r="157" spans="1:2" ht="31.5" customHeight="1">
      <c r="A157" t="s">
        <v>196</v>
      </c>
      <c r="B157" s="161">
        <v>4</v>
      </c>
    </row>
    <row r="158" spans="1:2" ht="31.5" customHeight="1">
      <c r="A158" t="s">
        <v>197</v>
      </c>
      <c r="B158" s="161">
        <v>3</v>
      </c>
    </row>
    <row r="159" spans="1:2" ht="31.5" customHeight="1">
      <c r="A159" t="s">
        <v>198</v>
      </c>
      <c r="B159" s="161">
        <v>10</v>
      </c>
    </row>
    <row r="160" spans="1:2" ht="31.5" customHeight="1">
      <c r="A160" t="s">
        <v>199</v>
      </c>
      <c r="B160" s="161">
        <v>4</v>
      </c>
    </row>
    <row r="161" spans="1:2" ht="31.5" customHeight="1">
      <c r="A161" t="s">
        <v>200</v>
      </c>
      <c r="B161" s="161">
        <v>5</v>
      </c>
    </row>
    <row r="162" spans="1:2" ht="31.5" customHeight="1">
      <c r="A162" t="s">
        <v>201</v>
      </c>
      <c r="B162" s="161">
        <v>4</v>
      </c>
    </row>
    <row r="163" spans="1:2" ht="31.5" customHeight="1">
      <c r="A163" t="s">
        <v>202</v>
      </c>
      <c r="B163" s="161">
        <v>4</v>
      </c>
    </row>
    <row r="164" spans="1:2" ht="31.5" customHeight="1">
      <c r="A164" t="s">
        <v>231</v>
      </c>
      <c r="B164" s="161">
        <v>0</v>
      </c>
    </row>
    <row r="165" spans="1:2" ht="31.5" customHeight="1">
      <c r="A165" t="s">
        <v>85</v>
      </c>
      <c r="B165" s="161">
        <v>0</v>
      </c>
    </row>
    <row r="166" spans="1:2" ht="31.5" customHeight="1">
      <c r="A166" t="s">
        <v>203</v>
      </c>
      <c r="B166" s="161">
        <v>3</v>
      </c>
    </row>
    <row r="167" spans="1:2" ht="31.5" customHeight="1">
      <c r="A167" t="s">
        <v>204</v>
      </c>
      <c r="B167" s="161">
        <v>6</v>
      </c>
    </row>
    <row r="168" spans="1:2" ht="31.5" customHeight="1">
      <c r="A168" t="s">
        <v>205</v>
      </c>
      <c r="B168" s="161">
        <v>6</v>
      </c>
    </row>
    <row r="169" spans="1:2" ht="31.5" customHeight="1">
      <c r="A169" t="s">
        <v>206</v>
      </c>
      <c r="B169" s="161">
        <v>5</v>
      </c>
    </row>
    <row r="170" spans="1:2" ht="31.5" customHeight="1">
      <c r="A170" t="s">
        <v>231</v>
      </c>
      <c r="B170" s="161">
        <v>0</v>
      </c>
    </row>
    <row r="171" spans="1:2" ht="31.5" customHeight="1">
      <c r="A171" t="s">
        <v>91</v>
      </c>
      <c r="B171" s="161">
        <v>0</v>
      </c>
    </row>
    <row r="172" spans="1:2" ht="31.5" customHeight="1">
      <c r="A172" t="s">
        <v>207</v>
      </c>
      <c r="B172" s="161">
        <v>8</v>
      </c>
    </row>
    <row r="173" spans="1:2" ht="31.5" customHeight="1">
      <c r="A173" t="s">
        <v>208</v>
      </c>
      <c r="B173" s="161">
        <v>3</v>
      </c>
    </row>
    <row r="174" spans="1:2" ht="31.5" customHeight="1">
      <c r="A174" t="s">
        <v>209</v>
      </c>
      <c r="B174" s="161">
        <v>7</v>
      </c>
    </row>
    <row r="175" spans="1:2" ht="31.5" customHeight="1">
      <c r="A175" t="s">
        <v>210</v>
      </c>
      <c r="B175" s="161">
        <v>4</v>
      </c>
    </row>
    <row r="176" spans="1:2" ht="31.5" customHeight="1">
      <c r="A176" t="s">
        <v>211</v>
      </c>
      <c r="B176" s="161">
        <v>3</v>
      </c>
    </row>
    <row r="177" spans="1:2" ht="31.5" customHeight="1">
      <c r="A177" t="s">
        <v>212</v>
      </c>
      <c r="B177" s="161">
        <v>3</v>
      </c>
    </row>
    <row r="178" spans="1:2" ht="31.5" customHeight="1">
      <c r="A178" t="s">
        <v>231</v>
      </c>
      <c r="B178" s="161">
        <v>0</v>
      </c>
    </row>
    <row r="179" spans="1:2" ht="31.5" customHeight="1">
      <c r="A179" t="s">
        <v>86</v>
      </c>
      <c r="B179" s="161">
        <v>0</v>
      </c>
    </row>
    <row r="180" spans="1:2" ht="31.5" customHeight="1">
      <c r="A180" t="s">
        <v>213</v>
      </c>
      <c r="B180" s="161">
        <v>3</v>
      </c>
    </row>
    <row r="181" spans="1:2" ht="31.5" customHeight="1">
      <c r="A181" t="s">
        <v>214</v>
      </c>
      <c r="B181" s="161">
        <v>3</v>
      </c>
    </row>
    <row r="182" spans="1:2" ht="31.5" customHeight="1">
      <c r="A182" t="s">
        <v>215</v>
      </c>
      <c r="B182" s="161">
        <v>4</v>
      </c>
    </row>
    <row r="183" spans="1:2" ht="31.5" customHeight="1">
      <c r="A183" t="s">
        <v>216</v>
      </c>
      <c r="B183" s="161">
        <v>5</v>
      </c>
    </row>
    <row r="184" spans="1:2" ht="31.5" customHeight="1">
      <c r="A184" t="s">
        <v>231</v>
      </c>
      <c r="B184" s="161">
        <v>0</v>
      </c>
    </row>
    <row r="185" spans="1:2" ht="31.5" customHeight="1">
      <c r="A185" t="s">
        <v>87</v>
      </c>
      <c r="B185" s="161">
        <v>0</v>
      </c>
    </row>
    <row r="186" spans="1:2" ht="31.5" customHeight="1">
      <c r="A186" t="s">
        <v>268</v>
      </c>
      <c r="B186" s="161">
        <v>0</v>
      </c>
    </row>
    <row r="187" spans="1:2" ht="31.5" customHeight="1">
      <c r="A187" t="s">
        <v>217</v>
      </c>
      <c r="B187" s="161">
        <v>7</v>
      </c>
    </row>
    <row r="188" spans="1:2" ht="31.5" customHeight="1">
      <c r="A188" t="s">
        <v>218</v>
      </c>
      <c r="B188" s="161">
        <v>15</v>
      </c>
    </row>
    <row r="189" spans="1:2" ht="31.5" customHeight="1">
      <c r="A189" t="s">
        <v>219</v>
      </c>
      <c r="B189" s="161">
        <v>6</v>
      </c>
    </row>
    <row r="190" spans="1:2" ht="31.5" customHeight="1">
      <c r="A190" t="s">
        <v>220</v>
      </c>
      <c r="B190" s="161">
        <v>0</v>
      </c>
    </row>
    <row r="191" spans="1:2" ht="31.5" customHeight="1">
      <c r="A191" t="s">
        <v>221</v>
      </c>
      <c r="B191" s="161">
        <v>8</v>
      </c>
    </row>
    <row r="192" spans="1:2" ht="31.5" customHeight="1">
      <c r="A192" t="s">
        <v>231</v>
      </c>
      <c r="B192" s="161">
        <v>0</v>
      </c>
    </row>
    <row r="193" spans="1:2" ht="31.5" customHeight="1">
      <c r="A193" t="s">
        <v>88</v>
      </c>
      <c r="B193" s="161">
        <v>0</v>
      </c>
    </row>
    <row r="194" spans="1:2" ht="31.5" customHeight="1">
      <c r="A194" t="s">
        <v>222</v>
      </c>
      <c r="B194" s="161">
        <v>2</v>
      </c>
    </row>
    <row r="195" spans="1:2" ht="31.5" customHeight="1">
      <c r="A195" t="s">
        <v>223</v>
      </c>
      <c r="B195" s="161">
        <v>6</v>
      </c>
    </row>
    <row r="196" spans="1:2" ht="31.5" customHeight="1">
      <c r="A196" t="s">
        <v>224</v>
      </c>
      <c r="B196" s="161">
        <v>6</v>
      </c>
    </row>
    <row r="197" spans="1:2" ht="31.5" customHeight="1">
      <c r="A197" t="s">
        <v>225</v>
      </c>
      <c r="B197" s="161">
        <v>2</v>
      </c>
    </row>
    <row r="198" spans="1:2" ht="31.5" customHeight="1">
      <c r="A198" t="s">
        <v>327</v>
      </c>
      <c r="B198" s="161">
        <v>3</v>
      </c>
    </row>
    <row r="199" spans="1:2" ht="31.5" customHeight="1">
      <c r="A199" t="s">
        <v>231</v>
      </c>
      <c r="B199" s="161">
        <v>0</v>
      </c>
    </row>
    <row r="200" spans="1:2" ht="31.5" customHeight="1">
      <c r="A200" t="s">
        <v>89</v>
      </c>
      <c r="B200" s="161">
        <v>0</v>
      </c>
    </row>
    <row r="201" spans="1:2" ht="31.5" customHeight="1">
      <c r="A201" t="s">
        <v>226</v>
      </c>
      <c r="B201" s="161">
        <v>0</v>
      </c>
    </row>
    <row r="202" spans="1:2" ht="31.5" customHeight="1">
      <c r="A202" t="s">
        <v>227</v>
      </c>
      <c r="B202" s="161">
        <v>2</v>
      </c>
    </row>
    <row r="203" spans="1:2" ht="31.5" customHeight="1">
      <c r="A203" t="s">
        <v>228</v>
      </c>
      <c r="B203" s="161">
        <v>9</v>
      </c>
    </row>
    <row r="204" spans="1:2" ht="31.5" customHeight="1">
      <c r="A204" t="s">
        <v>229</v>
      </c>
      <c r="B204" s="161">
        <v>4</v>
      </c>
    </row>
    <row r="205" spans="1:2" ht="31.5" customHeight="1">
      <c r="A205" t="s">
        <v>231</v>
      </c>
      <c r="B205" s="161">
        <v>0</v>
      </c>
    </row>
    <row r="206" spans="1:2" ht="31.5" customHeight="1">
      <c r="A206" t="s">
        <v>269</v>
      </c>
      <c r="B206" s="161">
        <v>0</v>
      </c>
    </row>
    <row r="207" spans="1:2" ht="31.5" customHeight="1">
      <c r="A207" t="s">
        <v>310</v>
      </c>
      <c r="B207" s="161">
        <v>0</v>
      </c>
    </row>
    <row r="208" spans="1:2" ht="31.5" customHeight="1">
      <c r="A208" t="s">
        <v>309</v>
      </c>
      <c r="B208" s="161">
        <v>0</v>
      </c>
    </row>
    <row r="209" spans="1:2" ht="31.5" customHeight="1">
      <c r="A209" t="s">
        <v>308</v>
      </c>
      <c r="B209" s="161">
        <v>0</v>
      </c>
    </row>
    <row r="210" spans="1:2" ht="31.5" customHeight="1">
      <c r="A210" t="s">
        <v>270</v>
      </c>
      <c r="B210" s="161">
        <v>0</v>
      </c>
    </row>
    <row r="211" spans="1:2" ht="31.5" customHeight="1">
      <c r="A211" t="s">
        <v>271</v>
      </c>
      <c r="B211" s="161">
        <v>2</v>
      </c>
    </row>
    <row r="212" spans="1:2" ht="31.5" customHeight="1">
      <c r="A212" t="s">
        <v>272</v>
      </c>
      <c r="B212" s="161">
        <v>2</v>
      </c>
    </row>
    <row r="213" spans="1:2" ht="31.5" customHeight="1">
      <c r="A213" t="s">
        <v>273</v>
      </c>
      <c r="B213" s="161">
        <v>1</v>
      </c>
    </row>
    <row r="214" spans="1:2" ht="31.5" customHeight="1">
      <c r="A214" t="s">
        <v>231</v>
      </c>
      <c r="B214" s="161">
        <v>0</v>
      </c>
    </row>
    <row r="215" spans="1:2" ht="31.5" customHeight="1">
      <c r="A215" t="s">
        <v>274</v>
      </c>
      <c r="B215" s="161">
        <v>0</v>
      </c>
    </row>
    <row r="216" spans="1:2" ht="31.5" customHeight="1">
      <c r="A216" t="s">
        <v>275</v>
      </c>
      <c r="B216" s="161">
        <v>0</v>
      </c>
    </row>
    <row r="217" spans="1:2" ht="31.5" customHeight="1">
      <c r="A217" t="s">
        <v>231</v>
      </c>
      <c r="B217" s="161">
        <v>0</v>
      </c>
    </row>
    <row r="218" spans="1:2" ht="31.5" customHeight="1">
      <c r="A218" t="s">
        <v>276</v>
      </c>
      <c r="B218" s="161">
        <v>0</v>
      </c>
    </row>
    <row r="219" spans="1:2" ht="31.5" customHeight="1">
      <c r="A219" t="s">
        <v>296</v>
      </c>
      <c r="B219" s="161">
        <v>4</v>
      </c>
    </row>
    <row r="220" spans="1:2" ht="31.5" customHeight="1">
      <c r="A220" t="s">
        <v>295</v>
      </c>
      <c r="B220" s="161">
        <v>7</v>
      </c>
    </row>
    <row r="221" spans="1:2" ht="31.5" customHeight="1">
      <c r="A221" t="s">
        <v>277</v>
      </c>
      <c r="B221" s="161">
        <v>5</v>
      </c>
    </row>
    <row r="222" spans="1:2" ht="31.5" customHeight="1">
      <c r="A222" t="s">
        <v>278</v>
      </c>
      <c r="B222" s="161">
        <v>3</v>
      </c>
    </row>
    <row r="223" spans="1:2" ht="31.5" customHeight="1">
      <c r="A223" t="s">
        <v>231</v>
      </c>
      <c r="B223" s="161">
        <v>0</v>
      </c>
    </row>
    <row r="224" spans="1:2" ht="31.5" customHeight="1">
      <c r="A224" t="s">
        <v>279</v>
      </c>
      <c r="B224" s="161">
        <v>0</v>
      </c>
    </row>
    <row r="225" spans="1:2" ht="31.5" customHeight="1">
      <c r="A225" t="s">
        <v>281</v>
      </c>
      <c r="B225" s="161">
        <v>4</v>
      </c>
    </row>
    <row r="226" spans="1:2" ht="31.5" customHeight="1">
      <c r="A226" t="s">
        <v>280</v>
      </c>
      <c r="B226" s="161">
        <v>4</v>
      </c>
    </row>
    <row r="227" spans="1:2" ht="31.5" customHeight="1">
      <c r="A227" t="s">
        <v>231</v>
      </c>
      <c r="B227" s="161">
        <v>0</v>
      </c>
    </row>
    <row r="228" spans="1:2" ht="31.5" customHeight="1">
      <c r="A228" t="s">
        <v>303</v>
      </c>
      <c r="B228" s="161">
        <v>0</v>
      </c>
    </row>
    <row r="229" spans="1:2" ht="31.5" customHeight="1">
      <c r="A229" t="s">
        <v>298</v>
      </c>
      <c r="B229" s="161">
        <v>2</v>
      </c>
    </row>
    <row r="230" spans="1:2" ht="31.5" customHeight="1">
      <c r="A230" t="s">
        <v>299</v>
      </c>
      <c r="B230" s="161">
        <v>7</v>
      </c>
    </row>
    <row r="231" spans="1:2" ht="31.5" customHeight="1">
      <c r="A231" t="s">
        <v>300</v>
      </c>
      <c r="B231" s="161">
        <v>4</v>
      </c>
    </row>
    <row r="232" spans="1:2" ht="31.5" customHeight="1">
      <c r="A232" t="s">
        <v>301</v>
      </c>
      <c r="B232" s="161">
        <v>3</v>
      </c>
    </row>
    <row r="233" spans="1:2" ht="31.5" customHeight="1">
      <c r="A233" t="s">
        <v>302</v>
      </c>
      <c r="B233" s="161">
        <v>2</v>
      </c>
    </row>
    <row r="234" spans="1:2" ht="31.5" customHeight="1">
      <c r="A234" t="s">
        <v>231</v>
      </c>
      <c r="B234" s="161">
        <v>0</v>
      </c>
    </row>
    <row r="235" spans="1:2" ht="31.5" customHeight="1">
      <c r="A235" t="s">
        <v>306</v>
      </c>
      <c r="B235" s="161">
        <v>0</v>
      </c>
    </row>
    <row r="236" spans="1:2" ht="31.5" customHeight="1">
      <c r="A236" t="s">
        <v>307</v>
      </c>
      <c r="B236" s="161">
        <v>2</v>
      </c>
    </row>
    <row r="237" spans="1:2" ht="31.5" customHeight="1">
      <c r="A237" t="s">
        <v>231</v>
      </c>
      <c r="B237" s="161">
        <v>0</v>
      </c>
    </row>
    <row r="238" spans="1:2" ht="31.5" customHeight="1">
      <c r="A238" t="s">
        <v>315</v>
      </c>
      <c r="B238" s="161">
        <v>0</v>
      </c>
    </row>
    <row r="239" spans="1:2" ht="31.5" customHeight="1">
      <c r="A239" t="s">
        <v>318</v>
      </c>
      <c r="B239" s="161">
        <v>1</v>
      </c>
    </row>
    <row r="240" spans="1:2" ht="31.5" customHeight="1">
      <c r="A240" t="s">
        <v>317</v>
      </c>
      <c r="B240" s="161">
        <v>3</v>
      </c>
    </row>
    <row r="241" spans="1:2" ht="31.5" customHeight="1">
      <c r="A241" t="s">
        <v>316</v>
      </c>
      <c r="B241" s="161">
        <v>2</v>
      </c>
    </row>
    <row r="242" spans="1:2" ht="31.5" customHeight="1">
      <c r="A242" t="s">
        <v>319</v>
      </c>
      <c r="B242" s="161">
        <v>3</v>
      </c>
    </row>
    <row r="243" spans="1:2" ht="31.5" customHeight="1">
      <c r="A243" t="s">
        <v>320</v>
      </c>
      <c r="B243" s="161">
        <v>2</v>
      </c>
    </row>
    <row r="244" spans="1:2" ht="31.5" customHeight="1">
      <c r="A244" t="s">
        <v>231</v>
      </c>
      <c r="B244" s="161">
        <v>0</v>
      </c>
    </row>
    <row r="245" spans="1:2" ht="31.5" customHeight="1">
      <c r="A245" t="s">
        <v>230</v>
      </c>
      <c r="B245" s="161">
        <v>0</v>
      </c>
    </row>
    <row r="246" spans="1:2" ht="31.5" customHeight="1">
      <c r="A246" t="s">
        <v>232</v>
      </c>
      <c r="B246" s="161">
        <v>14</v>
      </c>
    </row>
    <row r="247" spans="1:2" ht="31.5" customHeight="1">
      <c r="A247" t="s">
        <v>233</v>
      </c>
      <c r="B247" s="161">
        <v>71</v>
      </c>
    </row>
    <row r="248" spans="1:2" ht="31.5" customHeight="1">
      <c r="A248" t="s">
        <v>234</v>
      </c>
      <c r="B248" s="161">
        <v>44</v>
      </c>
    </row>
    <row r="249" spans="1:2" ht="31.5" customHeight="1">
      <c r="A249" t="s">
        <v>235</v>
      </c>
      <c r="B249" s="161">
        <v>28</v>
      </c>
    </row>
    <row r="250" spans="1:2" ht="31.5" customHeight="1">
      <c r="A250" t="s">
        <v>236</v>
      </c>
      <c r="B250" s="161">
        <v>8</v>
      </c>
    </row>
    <row r="251" spans="1:2" ht="31.5" customHeight="1">
      <c r="A251" t="s">
        <v>237</v>
      </c>
      <c r="B251" s="161">
        <v>52</v>
      </c>
    </row>
    <row r="252" spans="1:2" ht="31.5" customHeight="1">
      <c r="A252" t="s">
        <v>238</v>
      </c>
      <c r="B252" s="161">
        <v>1</v>
      </c>
    </row>
    <row r="253" spans="1:2" ht="31.5" customHeight="1">
      <c r="A253" t="s">
        <v>239</v>
      </c>
      <c r="B253" s="161">
        <v>6</v>
      </c>
    </row>
    <row r="254" spans="1:2" ht="31.5" customHeight="1">
      <c r="A254" t="s">
        <v>240</v>
      </c>
      <c r="B254" s="161">
        <v>0</v>
      </c>
    </row>
    <row r="255" spans="1:2" ht="31.5" customHeight="1">
      <c r="A255" t="s">
        <v>241</v>
      </c>
      <c r="B255" s="161">
        <v>12</v>
      </c>
    </row>
    <row r="256" spans="1:2" ht="31.5" customHeight="1">
      <c r="A256" t="s">
        <v>242</v>
      </c>
      <c r="B256" s="161">
        <v>2</v>
      </c>
    </row>
    <row r="257" spans="1:2" ht="31.5" customHeight="1">
      <c r="A257" t="s">
        <v>231</v>
      </c>
      <c r="B257" s="161">
        <v>0</v>
      </c>
    </row>
    <row r="258" spans="1:2" ht="31.5" customHeight="1">
      <c r="A258" t="s">
        <v>231</v>
      </c>
      <c r="B258" s="161">
        <v>0</v>
      </c>
    </row>
    <row r="259" spans="1:2" ht="31.5" customHeight="1">
      <c r="A259" t="s">
        <v>231</v>
      </c>
      <c r="B259" s="161">
        <v>0</v>
      </c>
    </row>
    <row r="260" spans="1:2" ht="31.5" customHeight="1">
      <c r="A260" t="s">
        <v>243</v>
      </c>
      <c r="B260" s="161">
        <v>0</v>
      </c>
    </row>
    <row r="261" spans="1:2" ht="31.5" customHeight="1">
      <c r="A261" t="s">
        <v>244</v>
      </c>
      <c r="B261" s="161">
        <v>1</v>
      </c>
    </row>
    <row r="262" spans="1:2" ht="31.5" customHeight="1">
      <c r="A262" t="s">
        <v>245</v>
      </c>
      <c r="B262" s="161">
        <v>1</v>
      </c>
    </row>
    <row r="263" spans="1:2" ht="31.5" customHeight="1">
      <c r="A263" t="s">
        <v>246</v>
      </c>
      <c r="B263" s="161">
        <v>2</v>
      </c>
    </row>
    <row r="264" spans="1:2" ht="31.5" customHeight="1">
      <c r="A264" t="s">
        <v>247</v>
      </c>
      <c r="B264" s="161">
        <v>4</v>
      </c>
    </row>
    <row r="265" spans="1:2" ht="31.5" customHeight="1">
      <c r="A265" t="s">
        <v>248</v>
      </c>
      <c r="B265" s="161">
        <v>1</v>
      </c>
    </row>
    <row r="266" spans="1:2" ht="31.5" customHeight="1">
      <c r="A266" t="s">
        <v>249</v>
      </c>
      <c r="B266" s="161">
        <v>1</v>
      </c>
    </row>
    <row r="267" spans="1:2" ht="31.5" customHeight="1">
      <c r="A267" t="s">
        <v>250</v>
      </c>
      <c r="B267" s="161">
        <v>2</v>
      </c>
    </row>
    <row r="268" spans="1:2" ht="31.5" customHeight="1">
      <c r="A268" t="s">
        <v>251</v>
      </c>
      <c r="B268" s="161">
        <v>3</v>
      </c>
    </row>
    <row r="269" spans="1:2" ht="31.5" customHeight="1">
      <c r="A269" t="s">
        <v>252</v>
      </c>
      <c r="B269" s="161">
        <v>4</v>
      </c>
    </row>
    <row r="270" spans="1:2" ht="31.5" customHeight="1">
      <c r="A270" t="s">
        <v>253</v>
      </c>
      <c r="B270" s="161">
        <v>3</v>
      </c>
    </row>
    <row r="271" spans="1:2" ht="31.5" customHeight="1">
      <c r="A271" t="s">
        <v>257</v>
      </c>
      <c r="B271" s="161">
        <v>9</v>
      </c>
    </row>
    <row r="272" spans="1:2" ht="31.5" customHeight="1">
      <c r="A272" t="s">
        <v>258</v>
      </c>
      <c r="B272" s="161">
        <v>2</v>
      </c>
    </row>
    <row r="273" spans="1:2" ht="31.5" customHeight="1">
      <c r="A273" t="s">
        <v>259</v>
      </c>
      <c r="B273" s="161">
        <v>1</v>
      </c>
    </row>
    <row r="274" spans="1:2" ht="31.5" customHeight="1">
      <c r="A274" t="s">
        <v>231</v>
      </c>
      <c r="B274" s="161">
        <v>0</v>
      </c>
    </row>
    <row r="275" spans="1:2" ht="31.5" customHeight="1">
      <c r="A275" t="s">
        <v>231</v>
      </c>
      <c r="B275" s="161">
        <v>0</v>
      </c>
    </row>
    <row r="276" spans="1:2" ht="31.5" customHeight="1">
      <c r="A276" t="s">
        <v>231</v>
      </c>
      <c r="B276" s="161">
        <v>0</v>
      </c>
    </row>
    <row r="277" spans="1:2" ht="31.5" customHeight="1">
      <c r="A277" t="s">
        <v>254</v>
      </c>
      <c r="B277" s="161">
        <v>17</v>
      </c>
    </row>
    <row r="278" spans="1:2" ht="31.5" customHeight="1">
      <c r="A278" t="s">
        <v>255</v>
      </c>
      <c r="B278" s="161">
        <v>15</v>
      </c>
    </row>
    <row r="279" spans="1:2" ht="31.5" customHeight="1">
      <c r="A279" t="s">
        <v>256</v>
      </c>
      <c r="B279" s="161">
        <v>10</v>
      </c>
    </row>
    <row r="280" spans="1:2" ht="31.5" customHeight="1">
      <c r="A280" t="s">
        <v>282</v>
      </c>
      <c r="B280" s="161">
        <v>70</v>
      </c>
    </row>
    <row r="281" spans="1:2" ht="31.5" customHeight="1">
      <c r="A281" t="s">
        <v>283</v>
      </c>
      <c r="B281" s="161">
        <v>17</v>
      </c>
    </row>
    <row r="282" spans="1:2" ht="31.5" customHeight="1">
      <c r="A282" t="s">
        <v>330</v>
      </c>
      <c r="B282" s="161">
        <v>13</v>
      </c>
    </row>
    <row r="283" spans="1:2" ht="31.5" customHeight="1">
      <c r="A283" t="s">
        <v>331</v>
      </c>
      <c r="B283" s="161">
        <v>4</v>
      </c>
    </row>
    <row r="284" spans="1:2" ht="31.5" customHeight="1">
      <c r="A284" t="s">
        <v>332</v>
      </c>
      <c r="B284" s="161">
        <v>4</v>
      </c>
    </row>
    <row r="285" spans="1:2" ht="31.5" customHeight="1">
      <c r="A285" t="s">
        <v>284</v>
      </c>
      <c r="B285" s="161">
        <v>7</v>
      </c>
    </row>
    <row r="286" spans="1:2" ht="31.5" customHeight="1">
      <c r="A286" t="s">
        <v>304</v>
      </c>
      <c r="B286" s="161">
        <v>11</v>
      </c>
    </row>
    <row r="287" spans="1:2" ht="31.5" customHeight="1">
      <c r="A287" t="s">
        <v>305</v>
      </c>
      <c r="B287" s="161">
        <v>1</v>
      </c>
    </row>
  </sheetData>
  <pageMargins left="0.51181102362204722" right="0.51181102362204722" top="0.78740157480314965" bottom="0.78740157480314965" header="0.31496062992125984" footer="0.31496062992125984"/>
  <pageSetup paperSize="9" scale="110" orientation="portrait" horizontalDpi="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10</vt:i4>
      </vt:variant>
    </vt:vector>
  </HeadingPairs>
  <TitlesOfParts>
    <vt:vector size="10" baseType="lpstr">
      <vt:lpstr>CAPA</vt:lpstr>
      <vt:lpstr>Instruções</vt:lpstr>
      <vt:lpstr>FORN</vt:lpstr>
      <vt:lpstr>PROD</vt:lpstr>
      <vt:lpstr>ENTRADAS</vt:lpstr>
      <vt:lpstr>SAÍDAS</vt:lpstr>
      <vt:lpstr>CONT. ESTOQUE</vt:lpstr>
      <vt:lpstr>OBS</vt:lpstr>
      <vt:lpstr>Plan1</vt:lpstr>
      <vt:lpstr>Plan2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Secre</dc:creator>
  <cp:lastModifiedBy>Secre</cp:lastModifiedBy>
  <cp:lastPrinted>2026-02-02T16:30:19Z</cp:lastPrinted>
  <dcterms:created xsi:type="dcterms:W3CDTF">2024-08-14T18:32:25Z</dcterms:created>
  <dcterms:modified xsi:type="dcterms:W3CDTF">2026-02-19T21:09:06Z</dcterms:modified>
</cp:coreProperties>
</file>